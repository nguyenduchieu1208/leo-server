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F528CBA3-A77A-41D4-B8B1-8B9B74ADD471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Progress!$A$3:$BD$298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9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58" i="1" l="1"/>
  <c r="AY260" i="1"/>
  <c r="AO259" i="1"/>
  <c r="AL291" i="1"/>
  <c r="AL292" i="1"/>
  <c r="AL105" i="1"/>
  <c r="AL106" i="1"/>
  <c r="AY262" i="1"/>
  <c r="AY263" i="1"/>
  <c r="A264" i="1"/>
  <c r="C264" i="1"/>
  <c r="A265" i="1"/>
  <c r="C265" i="1"/>
  <c r="A266" i="1"/>
  <c r="C266" i="1"/>
  <c r="A267" i="1"/>
  <c r="C267" i="1"/>
  <c r="A268" i="1"/>
  <c r="C268" i="1"/>
  <c r="A269" i="1"/>
  <c r="C269" i="1"/>
  <c r="A270" i="1"/>
  <c r="C270" i="1"/>
  <c r="A271" i="1"/>
  <c r="C271" i="1"/>
  <c r="A272" i="1"/>
  <c r="C272" i="1"/>
  <c r="A273" i="1"/>
  <c r="C273" i="1"/>
  <c r="A274" i="1"/>
  <c r="C274" i="1"/>
  <c r="A275" i="1"/>
  <c r="C275" i="1"/>
  <c r="A276" i="1"/>
  <c r="C276" i="1"/>
  <c r="A277" i="1"/>
  <c r="C277" i="1"/>
  <c r="A278" i="1"/>
  <c r="C278" i="1"/>
  <c r="A279" i="1"/>
  <c r="C279" i="1"/>
  <c r="A280" i="1"/>
  <c r="C280" i="1"/>
  <c r="A281" i="1"/>
  <c r="C281" i="1"/>
  <c r="A282" i="1"/>
  <c r="C282" i="1"/>
  <c r="A283" i="1"/>
  <c r="C283" i="1"/>
  <c r="A284" i="1"/>
  <c r="C284" i="1"/>
  <c r="A285" i="1"/>
  <c r="C285" i="1"/>
  <c r="A286" i="1"/>
  <c r="C286" i="1"/>
  <c r="A287" i="1"/>
  <c r="C287" i="1"/>
  <c r="A288" i="1"/>
  <c r="C288" i="1"/>
  <c r="A289" i="1"/>
  <c r="C289" i="1"/>
  <c r="A290" i="1"/>
  <c r="C290" i="1"/>
  <c r="A291" i="1"/>
  <c r="C291" i="1"/>
  <c r="A292" i="1"/>
  <c r="C292" i="1"/>
  <c r="AI269" i="1"/>
  <c r="AL269" i="1"/>
  <c r="AO269" i="1"/>
  <c r="AR269" i="1"/>
  <c r="AV269" i="1"/>
  <c r="AY269" i="1"/>
  <c r="AI270" i="1"/>
  <c r="AL270" i="1"/>
  <c r="AO270" i="1"/>
  <c r="AR270" i="1"/>
  <c r="AV270" i="1"/>
  <c r="AY270" i="1"/>
  <c r="AI271" i="1"/>
  <c r="AL271" i="1"/>
  <c r="AO271" i="1"/>
  <c r="AR271" i="1"/>
  <c r="AV271" i="1"/>
  <c r="AY271" i="1"/>
  <c r="AI272" i="1"/>
  <c r="AL272" i="1"/>
  <c r="AO272" i="1"/>
  <c r="AR272" i="1"/>
  <c r="AV272" i="1"/>
  <c r="AY272" i="1"/>
  <c r="AI273" i="1"/>
  <c r="AL273" i="1"/>
  <c r="AO273" i="1"/>
  <c r="AR273" i="1"/>
  <c r="AV273" i="1"/>
  <c r="AY273" i="1"/>
  <c r="AI274" i="1"/>
  <c r="AL274" i="1"/>
  <c r="AO274" i="1"/>
  <c r="AR274" i="1"/>
  <c r="AV274" i="1"/>
  <c r="AY274" i="1"/>
  <c r="AI275" i="1"/>
  <c r="AL275" i="1"/>
  <c r="AO275" i="1"/>
  <c r="AR275" i="1"/>
  <c r="AV275" i="1"/>
  <c r="AY275" i="1"/>
  <c r="AI276" i="1"/>
  <c r="AL276" i="1"/>
  <c r="AO276" i="1"/>
  <c r="AR276" i="1"/>
  <c r="AV276" i="1"/>
  <c r="AY276" i="1"/>
  <c r="AI277" i="1"/>
  <c r="AL277" i="1"/>
  <c r="AO277" i="1"/>
  <c r="AR277" i="1"/>
  <c r="AV277" i="1"/>
  <c r="AY277" i="1"/>
  <c r="AI278" i="1"/>
  <c r="AL278" i="1"/>
  <c r="AO278" i="1"/>
  <c r="AR278" i="1"/>
  <c r="AV278" i="1"/>
  <c r="AY278" i="1"/>
  <c r="AI279" i="1"/>
  <c r="AL279" i="1"/>
  <c r="AO279" i="1"/>
  <c r="AR279" i="1"/>
  <c r="AV279" i="1"/>
  <c r="AY279" i="1"/>
  <c r="AI280" i="1"/>
  <c r="AL280" i="1"/>
  <c r="AO280" i="1"/>
  <c r="AR280" i="1"/>
  <c r="AV280" i="1"/>
  <c r="AY280" i="1"/>
  <c r="AI281" i="1"/>
  <c r="AL281" i="1"/>
  <c r="AO281" i="1"/>
  <c r="AR281" i="1"/>
  <c r="AV281" i="1"/>
  <c r="AY281" i="1"/>
  <c r="AI282" i="1"/>
  <c r="AL282" i="1"/>
  <c r="AO282" i="1"/>
  <c r="AR282" i="1"/>
  <c r="AV282" i="1"/>
  <c r="AY282" i="1"/>
  <c r="AI283" i="1"/>
  <c r="AL283" i="1"/>
  <c r="AO283" i="1"/>
  <c r="AR283" i="1"/>
  <c r="AV283" i="1"/>
  <c r="AY283" i="1"/>
  <c r="AI284" i="1"/>
  <c r="AL284" i="1"/>
  <c r="AO284" i="1"/>
  <c r="AR284" i="1"/>
  <c r="AV284" i="1"/>
  <c r="AY284" i="1"/>
  <c r="AI285" i="1"/>
  <c r="AL285" i="1"/>
  <c r="AO285" i="1"/>
  <c r="AR285" i="1"/>
  <c r="AV285" i="1"/>
  <c r="AY285" i="1"/>
  <c r="AI286" i="1"/>
  <c r="AL286" i="1"/>
  <c r="AO286" i="1"/>
  <c r="AR286" i="1"/>
  <c r="AV286" i="1"/>
  <c r="AY286" i="1"/>
  <c r="AI287" i="1"/>
  <c r="AL287" i="1"/>
  <c r="AO287" i="1"/>
  <c r="AR287" i="1"/>
  <c r="AV287" i="1"/>
  <c r="AY287" i="1"/>
  <c r="AI288" i="1"/>
  <c r="AL288" i="1"/>
  <c r="AO288" i="1"/>
  <c r="AR288" i="1"/>
  <c r="AV288" i="1"/>
  <c r="AY288" i="1"/>
  <c r="AI289" i="1"/>
  <c r="AL289" i="1"/>
  <c r="AO289" i="1"/>
  <c r="AR289" i="1"/>
  <c r="AV289" i="1"/>
  <c r="AY289" i="1"/>
  <c r="AI290" i="1"/>
  <c r="AL290" i="1"/>
  <c r="AO290" i="1"/>
  <c r="AR290" i="1"/>
  <c r="AV290" i="1"/>
  <c r="AY290" i="1"/>
  <c r="AI291" i="1"/>
  <c r="AO291" i="1"/>
  <c r="AR291" i="1"/>
  <c r="AV291" i="1"/>
  <c r="AY291" i="1"/>
  <c r="AI292" i="1"/>
  <c r="AO292" i="1"/>
  <c r="AR292" i="1"/>
  <c r="AV292" i="1"/>
  <c r="AY292" i="1"/>
  <c r="AI265" i="1"/>
  <c r="AL265" i="1"/>
  <c r="AO265" i="1"/>
  <c r="AR265" i="1"/>
  <c r="AV265" i="1"/>
  <c r="AY265" i="1"/>
  <c r="AI266" i="1"/>
  <c r="AL266" i="1"/>
  <c r="AO266" i="1"/>
  <c r="AR266" i="1"/>
  <c r="AV266" i="1"/>
  <c r="AY266" i="1"/>
  <c r="AI267" i="1"/>
  <c r="AL267" i="1"/>
  <c r="AO267" i="1"/>
  <c r="AR267" i="1"/>
  <c r="AV267" i="1"/>
  <c r="AY267" i="1"/>
  <c r="AI268" i="1"/>
  <c r="AL268" i="1"/>
  <c r="AO268" i="1"/>
  <c r="AR268" i="1"/>
  <c r="AV268" i="1"/>
  <c r="AY268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42" i="1"/>
  <c r="C235" i="1"/>
  <c r="C236" i="1"/>
  <c r="C237" i="1"/>
  <c r="C238" i="1"/>
  <c r="C239" i="1"/>
  <c r="C240" i="1"/>
  <c r="C241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AE280" i="1" l="1"/>
  <c r="AF280" i="1" s="1"/>
  <c r="AE269" i="1"/>
  <c r="AF269" i="1" s="1"/>
  <c r="AE292" i="1"/>
  <c r="AF292" i="1" s="1"/>
  <c r="AE291" i="1"/>
  <c r="AF291" i="1" s="1"/>
  <c r="AE273" i="1"/>
  <c r="AF273" i="1" s="1"/>
  <c r="AE287" i="1"/>
  <c r="AF287" i="1" s="1"/>
  <c r="AE281" i="1"/>
  <c r="AF281" i="1" s="1"/>
  <c r="AE275" i="1"/>
  <c r="AF275" i="1" s="1"/>
  <c r="AE270" i="1"/>
  <c r="AF270" i="1" s="1"/>
  <c r="AE290" i="1"/>
  <c r="AF290" i="1" s="1"/>
  <c r="AE286" i="1"/>
  <c r="AF286" i="1" s="1"/>
  <c r="AE284" i="1"/>
  <c r="AF284" i="1" s="1"/>
  <c r="AE274" i="1"/>
  <c r="AF274" i="1" s="1"/>
  <c r="AE283" i="1"/>
  <c r="AF283" i="1" s="1"/>
  <c r="AE277" i="1"/>
  <c r="AF277" i="1" s="1"/>
  <c r="AE271" i="1"/>
  <c r="AF271" i="1" s="1"/>
  <c r="AE288" i="1"/>
  <c r="AF288" i="1" s="1"/>
  <c r="AE278" i="1"/>
  <c r="AF278" i="1" s="1"/>
  <c r="AE285" i="1"/>
  <c r="AF285" i="1" s="1"/>
  <c r="AE282" i="1"/>
  <c r="AF282" i="1" s="1"/>
  <c r="AE272" i="1"/>
  <c r="AF272" i="1" s="1"/>
  <c r="AE289" i="1"/>
  <c r="AF289" i="1" s="1"/>
  <c r="AE279" i="1"/>
  <c r="AF279" i="1" s="1"/>
  <c r="AE276" i="1"/>
  <c r="AF276" i="1" s="1"/>
  <c r="AE266" i="1"/>
  <c r="AF266" i="1" s="1"/>
  <c r="AE267" i="1"/>
  <c r="AF267" i="1" s="1"/>
  <c r="AE268" i="1"/>
  <c r="AF268" i="1" s="1"/>
  <c r="AE265" i="1"/>
  <c r="AF265" i="1" s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5" i="1"/>
  <c r="AI195" i="1"/>
  <c r="AL195" i="1"/>
  <c r="AO195" i="1"/>
  <c r="AR195" i="1"/>
  <c r="AV195" i="1"/>
  <c r="AY195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48" i="1"/>
  <c r="AI248" i="1"/>
  <c r="AL248" i="1"/>
  <c r="AO248" i="1"/>
  <c r="AR248" i="1"/>
  <c r="AV248" i="1"/>
  <c r="AY248" i="1"/>
  <c r="A249" i="1"/>
  <c r="AI249" i="1"/>
  <c r="AL249" i="1"/>
  <c r="AO249" i="1"/>
  <c r="AR249" i="1"/>
  <c r="AV249" i="1"/>
  <c r="AY249" i="1"/>
  <c r="A250" i="1"/>
  <c r="AI250" i="1"/>
  <c r="AL250" i="1"/>
  <c r="AO250" i="1"/>
  <c r="AR250" i="1"/>
  <c r="AV250" i="1"/>
  <c r="AY250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R258" i="1"/>
  <c r="AV258" i="1"/>
  <c r="AY258" i="1"/>
  <c r="A259" i="1"/>
  <c r="AI259" i="1"/>
  <c r="AL259" i="1"/>
  <c r="AR259" i="1"/>
  <c r="AV259" i="1"/>
  <c r="AY259" i="1"/>
  <c r="A260" i="1"/>
  <c r="AI260" i="1"/>
  <c r="AL260" i="1"/>
  <c r="AO260" i="1"/>
  <c r="AR260" i="1"/>
  <c r="AV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263" i="1"/>
  <c r="AI263" i="1"/>
  <c r="AL263" i="1"/>
  <c r="AO263" i="1"/>
  <c r="AR263" i="1"/>
  <c r="AV263" i="1"/>
  <c r="AI264" i="1"/>
  <c r="AL264" i="1"/>
  <c r="AO264" i="1"/>
  <c r="AR264" i="1"/>
  <c r="AV264" i="1"/>
  <c r="AY264" i="1"/>
  <c r="A138" i="1"/>
  <c r="C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84" i="1"/>
  <c r="C84" i="1"/>
  <c r="AI84" i="1"/>
  <c r="AL84" i="1"/>
  <c r="AO84" i="1"/>
  <c r="AR84" i="1"/>
  <c r="AV84" i="1"/>
  <c r="AY84" i="1"/>
  <c r="A85" i="1"/>
  <c r="C85" i="1"/>
  <c r="AI85" i="1"/>
  <c r="AL85" i="1"/>
  <c r="AO85" i="1"/>
  <c r="AR85" i="1"/>
  <c r="AV85" i="1"/>
  <c r="AY85" i="1"/>
  <c r="A86" i="1"/>
  <c r="C86" i="1"/>
  <c r="AI86" i="1"/>
  <c r="AL86" i="1"/>
  <c r="AO86" i="1"/>
  <c r="AR86" i="1"/>
  <c r="AV86" i="1"/>
  <c r="AY86" i="1"/>
  <c r="A87" i="1"/>
  <c r="C87" i="1"/>
  <c r="AI87" i="1"/>
  <c r="AL87" i="1"/>
  <c r="AO87" i="1"/>
  <c r="AR87" i="1"/>
  <c r="AV87" i="1"/>
  <c r="AY87" i="1"/>
  <c r="A88" i="1"/>
  <c r="C88" i="1"/>
  <c r="AI88" i="1"/>
  <c r="AL88" i="1"/>
  <c r="AO88" i="1"/>
  <c r="AR88" i="1"/>
  <c r="AV88" i="1"/>
  <c r="AY88" i="1"/>
  <c r="A89" i="1"/>
  <c r="C89" i="1"/>
  <c r="AI89" i="1"/>
  <c r="AL89" i="1"/>
  <c r="AO89" i="1"/>
  <c r="AR89" i="1"/>
  <c r="AV89" i="1"/>
  <c r="AY89" i="1"/>
  <c r="A90" i="1"/>
  <c r="C90" i="1"/>
  <c r="AI90" i="1"/>
  <c r="AL90" i="1"/>
  <c r="AO90" i="1"/>
  <c r="AR90" i="1"/>
  <c r="AV90" i="1"/>
  <c r="AY90" i="1"/>
  <c r="A91" i="1"/>
  <c r="C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O105" i="1"/>
  <c r="AR105" i="1"/>
  <c r="AV105" i="1"/>
  <c r="AY105" i="1"/>
  <c r="A106" i="1"/>
  <c r="C106" i="1"/>
  <c r="AI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C298" i="1"/>
  <c r="C297" i="1"/>
  <c r="C296" i="1"/>
  <c r="C295" i="1"/>
  <c r="C294" i="1"/>
  <c r="C293" i="1"/>
  <c r="C12" i="1"/>
  <c r="C11" i="1"/>
  <c r="C10" i="1"/>
  <c r="C9" i="1"/>
  <c r="C8" i="1"/>
  <c r="C7" i="1"/>
  <c r="C6" i="1"/>
  <c r="C5" i="1"/>
  <c r="C4" i="1"/>
  <c r="A1" i="1"/>
  <c r="BA2" i="1" s="1"/>
  <c r="AE212" i="1" l="1"/>
  <c r="AF212" i="1" s="1"/>
  <c r="AE186" i="1"/>
  <c r="AF186" i="1" s="1"/>
  <c r="AE171" i="1"/>
  <c r="AF171" i="1" s="1"/>
  <c r="AE200" i="1"/>
  <c r="AF200" i="1" s="1"/>
  <c r="AE258" i="1"/>
  <c r="AF258" i="1" s="1"/>
  <c r="AE227" i="1"/>
  <c r="AF227" i="1" s="1"/>
  <c r="AE191" i="1"/>
  <c r="AF191" i="1" s="1"/>
  <c r="AE264" i="1"/>
  <c r="AF264" i="1" s="1"/>
  <c r="AE194" i="1"/>
  <c r="AF194" i="1" s="1"/>
  <c r="AE214" i="1"/>
  <c r="AF214" i="1" s="1"/>
  <c r="AE222" i="1"/>
  <c r="AF222" i="1" s="1"/>
  <c r="AE188" i="1"/>
  <c r="AF188" i="1" s="1"/>
  <c r="AE176" i="1"/>
  <c r="AF176" i="1" s="1"/>
  <c r="AE164" i="1"/>
  <c r="AF164" i="1" s="1"/>
  <c r="AE220" i="1"/>
  <c r="AF220" i="1" s="1"/>
  <c r="AE237" i="1"/>
  <c r="AF237" i="1" s="1"/>
  <c r="AE230" i="1"/>
  <c r="AF230" i="1" s="1"/>
  <c r="AE184" i="1"/>
  <c r="AF184" i="1" s="1"/>
  <c r="AE228" i="1"/>
  <c r="AF228" i="1" s="1"/>
  <c r="AE165" i="1"/>
  <c r="AF165" i="1" s="1"/>
  <c r="AE233" i="1"/>
  <c r="AF233" i="1" s="1"/>
  <c r="AE260" i="1"/>
  <c r="AF260" i="1" s="1"/>
  <c r="AE236" i="1"/>
  <c r="AF236" i="1" s="1"/>
  <c r="AE197" i="1"/>
  <c r="AF197" i="1" s="1"/>
  <c r="AE178" i="1"/>
  <c r="AF178" i="1" s="1"/>
  <c r="AE249" i="1"/>
  <c r="AF249" i="1" s="1"/>
  <c r="AE263" i="1"/>
  <c r="AF263" i="1" s="1"/>
  <c r="AE209" i="1"/>
  <c r="AF209" i="1" s="1"/>
  <c r="AE206" i="1"/>
  <c r="AF206" i="1" s="1"/>
  <c r="AE157" i="1"/>
  <c r="AF157" i="1" s="1"/>
  <c r="AE154" i="1"/>
  <c r="AF154" i="1" s="1"/>
  <c r="AE145" i="1"/>
  <c r="AF145" i="1" s="1"/>
  <c r="AE219" i="1"/>
  <c r="AF219" i="1" s="1"/>
  <c r="AE216" i="1"/>
  <c r="AF216" i="1" s="1"/>
  <c r="AE210" i="1"/>
  <c r="AF210" i="1" s="1"/>
  <c r="AE204" i="1"/>
  <c r="AF204" i="1" s="1"/>
  <c r="AE173" i="1"/>
  <c r="AF173" i="1" s="1"/>
  <c r="AE170" i="1"/>
  <c r="AF170" i="1" s="1"/>
  <c r="AE158" i="1"/>
  <c r="AF158" i="1" s="1"/>
  <c r="AE146" i="1"/>
  <c r="AF146" i="1" s="1"/>
  <c r="AE234" i="1"/>
  <c r="AF234" i="1" s="1"/>
  <c r="AE182" i="1"/>
  <c r="AF182" i="1" s="1"/>
  <c r="AE207" i="1"/>
  <c r="AF207" i="1" s="1"/>
  <c r="AE201" i="1"/>
  <c r="AF201" i="1" s="1"/>
  <c r="AE155" i="1"/>
  <c r="AF155" i="1" s="1"/>
  <c r="AE152" i="1"/>
  <c r="AF152" i="1" s="1"/>
  <c r="AE253" i="1"/>
  <c r="AF253" i="1" s="1"/>
  <c r="AE250" i="1"/>
  <c r="AF250" i="1" s="1"/>
  <c r="AE247" i="1"/>
  <c r="AF247" i="1" s="1"/>
  <c r="AE198" i="1"/>
  <c r="AF198" i="1" s="1"/>
  <c r="AE192" i="1"/>
  <c r="AF192" i="1" s="1"/>
  <c r="AE232" i="1"/>
  <c r="AF232" i="1" s="1"/>
  <c r="AE183" i="1"/>
  <c r="AF183" i="1" s="1"/>
  <c r="AE180" i="1"/>
  <c r="AF180" i="1" s="1"/>
  <c r="AE174" i="1"/>
  <c r="AF174" i="1" s="1"/>
  <c r="AE168" i="1"/>
  <c r="AF168" i="1" s="1"/>
  <c r="AE254" i="1"/>
  <c r="AF254" i="1" s="1"/>
  <c r="AE144" i="1"/>
  <c r="AF144" i="1" s="1"/>
  <c r="AE248" i="1"/>
  <c r="AF248" i="1" s="1"/>
  <c r="AE242" i="1"/>
  <c r="AF242" i="1" s="1"/>
  <c r="AE196" i="1"/>
  <c r="AF196" i="1" s="1"/>
  <c r="AE224" i="1"/>
  <c r="AF224" i="1" s="1"/>
  <c r="AE218" i="1"/>
  <c r="AF218" i="1" s="1"/>
  <c r="AE262" i="1"/>
  <c r="AF262" i="1" s="1"/>
  <c r="AE243" i="1"/>
  <c r="AF243" i="1" s="1"/>
  <c r="AE217" i="1"/>
  <c r="AF217" i="1" s="1"/>
  <c r="AE181" i="1"/>
  <c r="AF181" i="1" s="1"/>
  <c r="AE149" i="1"/>
  <c r="AF149" i="1" s="1"/>
  <c r="AE259" i="1"/>
  <c r="AF259" i="1" s="1"/>
  <c r="AE256" i="1"/>
  <c r="AF256" i="1" s="1"/>
  <c r="AE211" i="1"/>
  <c r="AF211" i="1" s="1"/>
  <c r="AE175" i="1"/>
  <c r="AF175" i="1" s="1"/>
  <c r="AE162" i="1"/>
  <c r="AF162" i="1" s="1"/>
  <c r="AE159" i="1"/>
  <c r="AF159" i="1" s="1"/>
  <c r="AE231" i="1"/>
  <c r="AF231" i="1" s="1"/>
  <c r="AE221" i="1"/>
  <c r="AF221" i="1" s="1"/>
  <c r="AE208" i="1"/>
  <c r="AF208" i="1" s="1"/>
  <c r="AE195" i="1"/>
  <c r="AF195" i="1" s="1"/>
  <c r="AE185" i="1"/>
  <c r="AF185" i="1" s="1"/>
  <c r="AE172" i="1"/>
  <c r="AF172" i="1" s="1"/>
  <c r="AE156" i="1"/>
  <c r="AF156" i="1" s="1"/>
  <c r="AE153" i="1"/>
  <c r="AF153" i="1" s="1"/>
  <c r="AE244" i="1"/>
  <c r="AF244" i="1" s="1"/>
  <c r="AE205" i="1"/>
  <c r="AF205" i="1" s="1"/>
  <c r="AE169" i="1"/>
  <c r="AF169" i="1" s="1"/>
  <c r="AE150" i="1"/>
  <c r="AF150" i="1" s="1"/>
  <c r="AE147" i="1"/>
  <c r="AF147" i="1" s="1"/>
  <c r="AE241" i="1"/>
  <c r="AF241" i="1" s="1"/>
  <c r="AE238" i="1"/>
  <c r="AF238" i="1" s="1"/>
  <c r="AE225" i="1"/>
  <c r="AF225" i="1" s="1"/>
  <c r="AE215" i="1"/>
  <c r="AF215" i="1" s="1"/>
  <c r="AE202" i="1"/>
  <c r="AF202" i="1" s="1"/>
  <c r="AE189" i="1"/>
  <c r="AF189" i="1" s="1"/>
  <c r="AE179" i="1"/>
  <c r="AF179" i="1" s="1"/>
  <c r="AE166" i="1"/>
  <c r="AF166" i="1" s="1"/>
  <c r="AE257" i="1"/>
  <c r="AF257" i="1" s="1"/>
  <c r="AE235" i="1"/>
  <c r="AF235" i="1" s="1"/>
  <c r="AE199" i="1"/>
  <c r="AF199" i="1" s="1"/>
  <c r="AE163" i="1"/>
  <c r="AF163" i="1" s="1"/>
  <c r="AE160" i="1"/>
  <c r="AF160" i="1" s="1"/>
  <c r="AE251" i="1"/>
  <c r="AF251" i="1" s="1"/>
  <c r="AE261" i="1"/>
  <c r="AF261" i="1" s="1"/>
  <c r="AE252" i="1"/>
  <c r="AF252" i="1" s="1"/>
  <c r="AE245" i="1"/>
  <c r="AF245" i="1" s="1"/>
  <c r="AE229" i="1"/>
  <c r="AF229" i="1" s="1"/>
  <c r="AE193" i="1"/>
  <c r="AF193" i="1" s="1"/>
  <c r="AE151" i="1"/>
  <c r="AF151" i="1" s="1"/>
  <c r="AE148" i="1"/>
  <c r="AF148" i="1" s="1"/>
  <c r="AE246" i="1"/>
  <c r="AF246" i="1" s="1"/>
  <c r="AE239" i="1"/>
  <c r="AF239" i="1" s="1"/>
  <c r="AE226" i="1"/>
  <c r="AF226" i="1" s="1"/>
  <c r="AE213" i="1"/>
  <c r="AF213" i="1" s="1"/>
  <c r="AE203" i="1"/>
  <c r="AF203" i="1" s="1"/>
  <c r="AE190" i="1"/>
  <c r="AF190" i="1" s="1"/>
  <c r="AE177" i="1"/>
  <c r="AF177" i="1" s="1"/>
  <c r="AE167" i="1"/>
  <c r="AF167" i="1" s="1"/>
  <c r="AE255" i="1"/>
  <c r="AF255" i="1" s="1"/>
  <c r="AE240" i="1"/>
  <c r="AF240" i="1" s="1"/>
  <c r="AE223" i="1"/>
  <c r="AF223" i="1" s="1"/>
  <c r="AE187" i="1"/>
  <c r="AF187" i="1" s="1"/>
  <c r="AE161" i="1"/>
  <c r="AF161" i="1" s="1"/>
  <c r="AE141" i="1"/>
  <c r="AF141" i="1" s="1"/>
  <c r="AE143" i="1"/>
  <c r="AF143" i="1" s="1"/>
  <c r="AE142" i="1"/>
  <c r="AF142" i="1" s="1"/>
  <c r="AE138" i="1"/>
  <c r="AF138" i="1" s="1"/>
  <c r="AE117" i="1"/>
  <c r="AF117" i="1" s="1"/>
  <c r="AE139" i="1"/>
  <c r="AF139" i="1" s="1"/>
  <c r="AE140" i="1"/>
  <c r="AF140" i="1" s="1"/>
  <c r="AE26" i="1"/>
  <c r="AF26" i="1" s="1"/>
  <c r="AE23" i="1"/>
  <c r="AF23" i="1" s="1"/>
  <c r="AE20" i="1"/>
  <c r="AF20" i="1" s="1"/>
  <c r="AE17" i="1"/>
  <c r="AF17" i="1" s="1"/>
  <c r="AE19" i="1"/>
  <c r="AF19" i="1" s="1"/>
  <c r="AE67" i="1"/>
  <c r="AF67" i="1" s="1"/>
  <c r="AE55" i="1"/>
  <c r="AF55" i="1" s="1"/>
  <c r="AE52" i="1"/>
  <c r="AF52" i="1" s="1"/>
  <c r="AE49" i="1"/>
  <c r="AF49" i="1" s="1"/>
  <c r="AE46" i="1"/>
  <c r="AF46" i="1" s="1"/>
  <c r="AE37" i="1"/>
  <c r="AF37" i="1" s="1"/>
  <c r="AE25" i="1"/>
  <c r="AF25" i="1" s="1"/>
  <c r="AE80" i="1"/>
  <c r="AF80" i="1" s="1"/>
  <c r="AE77" i="1"/>
  <c r="AF77" i="1" s="1"/>
  <c r="AE74" i="1"/>
  <c r="AF74" i="1" s="1"/>
  <c r="AE71" i="1"/>
  <c r="AF71" i="1" s="1"/>
  <c r="AE56" i="1"/>
  <c r="AF56" i="1" s="1"/>
  <c r="AE111" i="1"/>
  <c r="AF111" i="1" s="1"/>
  <c r="AE105" i="1"/>
  <c r="AF105" i="1" s="1"/>
  <c r="AE90" i="1"/>
  <c r="AF90" i="1" s="1"/>
  <c r="AE87" i="1"/>
  <c r="AF87" i="1" s="1"/>
  <c r="AE81" i="1"/>
  <c r="AF81" i="1" s="1"/>
  <c r="AE75" i="1"/>
  <c r="AF75" i="1" s="1"/>
  <c r="AE66" i="1"/>
  <c r="AF66" i="1" s="1"/>
  <c r="AE27" i="1"/>
  <c r="AF27" i="1" s="1"/>
  <c r="AE51" i="1"/>
  <c r="AF51" i="1" s="1"/>
  <c r="AE103" i="1"/>
  <c r="AF103" i="1" s="1"/>
  <c r="AE100" i="1"/>
  <c r="AF100" i="1" s="1"/>
  <c r="AE79" i="1"/>
  <c r="AF79" i="1" s="1"/>
  <c r="AE76" i="1"/>
  <c r="AF76" i="1" s="1"/>
  <c r="AE16" i="1"/>
  <c r="AF16" i="1" s="1"/>
  <c r="AE34" i="1"/>
  <c r="AF34" i="1" s="1"/>
  <c r="AE112" i="1"/>
  <c r="AF112" i="1" s="1"/>
  <c r="AE88" i="1"/>
  <c r="AF88" i="1" s="1"/>
  <c r="AE64" i="1"/>
  <c r="AF64" i="1" s="1"/>
  <c r="AE91" i="1"/>
  <c r="AF91" i="1" s="1"/>
  <c r="AE99" i="1"/>
  <c r="AF99" i="1" s="1"/>
  <c r="AE127" i="1"/>
  <c r="AF127" i="1" s="1"/>
  <c r="AE124" i="1"/>
  <c r="AF124" i="1" s="1"/>
  <c r="AE115" i="1"/>
  <c r="AF115" i="1" s="1"/>
  <c r="AE33" i="1"/>
  <c r="AF33" i="1" s="1"/>
  <c r="AE30" i="1"/>
  <c r="AF30" i="1" s="1"/>
  <c r="AE130" i="1"/>
  <c r="AF130" i="1" s="1"/>
  <c r="AE106" i="1"/>
  <c r="AF106" i="1" s="1"/>
  <c r="AE94" i="1"/>
  <c r="AF94" i="1" s="1"/>
  <c r="AE21" i="1"/>
  <c r="AF21" i="1" s="1"/>
  <c r="AE15" i="1"/>
  <c r="AF15" i="1" s="1"/>
  <c r="AE118" i="1"/>
  <c r="AF118" i="1" s="1"/>
  <c r="AE82" i="1"/>
  <c r="AF82" i="1" s="1"/>
  <c r="AE70" i="1"/>
  <c r="AF70" i="1" s="1"/>
  <c r="AE63" i="1"/>
  <c r="AF63" i="1" s="1"/>
  <c r="AE45" i="1"/>
  <c r="AF45" i="1" s="1"/>
  <c r="AE133" i="1"/>
  <c r="AF133" i="1" s="1"/>
  <c r="AE58" i="1"/>
  <c r="AF58" i="1" s="1"/>
  <c r="AE40" i="1"/>
  <c r="AF40" i="1" s="1"/>
  <c r="AE122" i="1"/>
  <c r="AF122" i="1" s="1"/>
  <c r="AE119" i="1"/>
  <c r="AF119" i="1" s="1"/>
  <c r="AE28" i="1"/>
  <c r="AF28" i="1" s="1"/>
  <c r="AE104" i="1"/>
  <c r="AF104" i="1" s="1"/>
  <c r="AE101" i="1"/>
  <c r="AF101" i="1" s="1"/>
  <c r="AE98" i="1"/>
  <c r="AF98" i="1" s="1"/>
  <c r="AE95" i="1"/>
  <c r="AF95" i="1" s="1"/>
  <c r="AE22" i="1"/>
  <c r="AF22" i="1" s="1"/>
  <c r="AE93" i="1"/>
  <c r="AF93" i="1" s="1"/>
  <c r="AE69" i="1"/>
  <c r="AF69" i="1" s="1"/>
  <c r="AE53" i="1"/>
  <c r="AF53" i="1" s="1"/>
  <c r="AE57" i="1"/>
  <c r="AF57" i="1" s="1"/>
  <c r="AE36" i="1"/>
  <c r="AF36" i="1" s="1"/>
  <c r="AE135" i="1"/>
  <c r="AF135" i="1" s="1"/>
  <c r="AE129" i="1"/>
  <c r="AF129" i="1" s="1"/>
  <c r="AE123" i="1"/>
  <c r="AF123" i="1" s="1"/>
  <c r="AE114" i="1"/>
  <c r="AF114" i="1" s="1"/>
  <c r="AE39" i="1"/>
  <c r="AF39" i="1" s="1"/>
  <c r="AE136" i="1"/>
  <c r="AF136" i="1" s="1"/>
  <c r="AE128" i="1"/>
  <c r="AF128" i="1" s="1"/>
  <c r="AE109" i="1"/>
  <c r="AF109" i="1" s="1"/>
  <c r="AE85" i="1"/>
  <c r="AF85" i="1" s="1"/>
  <c r="AE61" i="1"/>
  <c r="AF61" i="1" s="1"/>
  <c r="AE24" i="1"/>
  <c r="AF24" i="1" s="1"/>
  <c r="AE14" i="1"/>
  <c r="AF14" i="1" s="1"/>
  <c r="AE126" i="1"/>
  <c r="AF126" i="1" s="1"/>
  <c r="AE102" i="1"/>
  <c r="AF102" i="1" s="1"/>
  <c r="AE78" i="1"/>
  <c r="AF78" i="1" s="1"/>
  <c r="AE54" i="1"/>
  <c r="AF54" i="1" s="1"/>
  <c r="AE44" i="1"/>
  <c r="AF44" i="1" s="1"/>
  <c r="AE41" i="1"/>
  <c r="AF41" i="1" s="1"/>
  <c r="AE18" i="1"/>
  <c r="AF18" i="1" s="1"/>
  <c r="AE48" i="1"/>
  <c r="AF48" i="1" s="1"/>
  <c r="AE116" i="1"/>
  <c r="AF116" i="1" s="1"/>
  <c r="AE113" i="1"/>
  <c r="AF113" i="1" s="1"/>
  <c r="AE92" i="1"/>
  <c r="AF92" i="1" s="1"/>
  <c r="AE89" i="1"/>
  <c r="AF89" i="1" s="1"/>
  <c r="AE68" i="1"/>
  <c r="AF68" i="1" s="1"/>
  <c r="AE65" i="1"/>
  <c r="AF65" i="1" s="1"/>
  <c r="AE38" i="1"/>
  <c r="AF38" i="1" s="1"/>
  <c r="AE35" i="1"/>
  <c r="AF35" i="1" s="1"/>
  <c r="AE137" i="1"/>
  <c r="AF137" i="1" s="1"/>
  <c r="AE120" i="1"/>
  <c r="AF120" i="1" s="1"/>
  <c r="AE96" i="1"/>
  <c r="AF96" i="1" s="1"/>
  <c r="AE72" i="1"/>
  <c r="AF72" i="1" s="1"/>
  <c r="AE13" i="1"/>
  <c r="AF13" i="1" s="1"/>
  <c r="AE134" i="1"/>
  <c r="AF134" i="1" s="1"/>
  <c r="AE121" i="1"/>
  <c r="AF121" i="1" s="1"/>
  <c r="AE97" i="1"/>
  <c r="AF97" i="1" s="1"/>
  <c r="AE73" i="1"/>
  <c r="AF73" i="1" s="1"/>
  <c r="AE42" i="1"/>
  <c r="AF42" i="1" s="1"/>
  <c r="AE32" i="1"/>
  <c r="AF32" i="1" s="1"/>
  <c r="AE29" i="1"/>
  <c r="AF29" i="1" s="1"/>
  <c r="AE131" i="1"/>
  <c r="AF131" i="1" s="1"/>
  <c r="AE110" i="1"/>
  <c r="AF110" i="1" s="1"/>
  <c r="AE107" i="1"/>
  <c r="AF107" i="1" s="1"/>
  <c r="AE86" i="1"/>
  <c r="AF86" i="1" s="1"/>
  <c r="AE83" i="1"/>
  <c r="AF83" i="1" s="1"/>
  <c r="AE62" i="1"/>
  <c r="AF62" i="1" s="1"/>
  <c r="AE59" i="1"/>
  <c r="AF59" i="1" s="1"/>
  <c r="AE43" i="1"/>
  <c r="AF43" i="1" s="1"/>
  <c r="AE125" i="1"/>
  <c r="AF125" i="1" s="1"/>
  <c r="AE132" i="1"/>
  <c r="AF132" i="1" s="1"/>
  <c r="AE108" i="1"/>
  <c r="AF108" i="1" s="1"/>
  <c r="AE84" i="1"/>
  <c r="AF84" i="1" s="1"/>
  <c r="AE60" i="1"/>
  <c r="AF60" i="1" s="1"/>
  <c r="AE50" i="1"/>
  <c r="AF50" i="1" s="1"/>
  <c r="AE47" i="1"/>
  <c r="AF47" i="1" s="1"/>
  <c r="AE31" i="1"/>
  <c r="AF31" i="1" s="1"/>
  <c r="AS2" i="1"/>
  <c r="AY298" i="1"/>
  <c r="AV298" i="1"/>
  <c r="AR298" i="1"/>
  <c r="AO298" i="1"/>
  <c r="AL298" i="1"/>
  <c r="AI298" i="1"/>
  <c r="A298" i="1"/>
  <c r="AY297" i="1"/>
  <c r="AV297" i="1"/>
  <c r="AR297" i="1"/>
  <c r="AO297" i="1"/>
  <c r="AL297" i="1"/>
  <c r="AI297" i="1"/>
  <c r="A297" i="1"/>
  <c r="AY296" i="1"/>
  <c r="AV296" i="1"/>
  <c r="AR296" i="1"/>
  <c r="AO296" i="1"/>
  <c r="AL296" i="1"/>
  <c r="AI296" i="1"/>
  <c r="A296" i="1"/>
  <c r="AY295" i="1"/>
  <c r="AV295" i="1"/>
  <c r="AR295" i="1"/>
  <c r="AO295" i="1"/>
  <c r="AL295" i="1"/>
  <c r="AI295" i="1"/>
  <c r="A295" i="1"/>
  <c r="AY294" i="1"/>
  <c r="AV294" i="1"/>
  <c r="AR294" i="1"/>
  <c r="AO294" i="1"/>
  <c r="AL294" i="1"/>
  <c r="AI294" i="1"/>
  <c r="A294" i="1"/>
  <c r="AY293" i="1"/>
  <c r="AV293" i="1"/>
  <c r="AR293" i="1"/>
  <c r="AO293" i="1"/>
  <c r="AL293" i="1"/>
  <c r="AI293" i="1"/>
  <c r="A293" i="1"/>
  <c r="AY12" i="1"/>
  <c r="AV12" i="1"/>
  <c r="AR12" i="1"/>
  <c r="AO12" i="1"/>
  <c r="AL12" i="1"/>
  <c r="AI12" i="1"/>
  <c r="A12" i="1"/>
  <c r="AY11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7" i="1" l="1"/>
  <c r="AF7" i="1" s="1"/>
  <c r="AE11" i="1"/>
  <c r="AF11" i="1" s="1"/>
  <c r="AE12" i="1"/>
  <c r="AF12" i="1" s="1"/>
  <c r="AR2" i="1"/>
  <c r="AE298" i="1"/>
  <c r="AF298" i="1" s="1"/>
  <c r="AV2" i="1"/>
  <c r="AE297" i="1"/>
  <c r="AF297" i="1" s="1"/>
  <c r="AE295" i="1"/>
  <c r="AF295" i="1" s="1"/>
  <c r="AY2" i="1"/>
  <c r="AE296" i="1"/>
  <c r="AF2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294" i="1"/>
  <c r="AF294" i="1" s="1"/>
  <c r="AE293" i="1"/>
  <c r="AF293" i="1" s="1"/>
  <c r="AE4" i="1"/>
  <c r="AF4" i="1" s="1"/>
</calcChain>
</file>

<file path=xl/sharedStrings.xml><?xml version="1.0" encoding="utf-8"?>
<sst xmlns="http://schemas.openxmlformats.org/spreadsheetml/2006/main" count="3450" uniqueCount="873">
  <si>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</si>
  <si>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</si>
  <si>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</si>
  <si>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</si>
  <si>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</si>
  <si>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</si>
  <si>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</si>
  <si>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</si>
  <si>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</si>
  <si>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</si>
  <si>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</si>
  <si>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</si>
  <si>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</si>
  <si>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</si>
  <si>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</si>
  <si>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</si>
  <si>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</si>
  <si>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</si>
  <si>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</si>
  <si>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</si>
  <si>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</si>
  <si>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</si>
  <si>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</si>
  <si>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</si>
  <si>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</si>
  <si>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</si>
  <si>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</si>
  <si>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</si>
  <si>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</si>
  <si>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</si>
  <si>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</si>
  <si>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</si>
  <si>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</si>
  <si>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</si>
  <si>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</si>
  <si>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</si>
  <si>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</si>
  <si>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</si>
  <si>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</si>
  <si>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</si>
  <si>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</si>
  <si>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</si>
  <si>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</si>
  <si>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</si>
  <si>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</si>
  <si>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</si>
  <si>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</si>
  <si>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</si>
  <si>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</si>
  <si>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</si>
  <si>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</si>
  <si>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</si>
  <si>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</si>
  <si>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</si>
  <si>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</si>
  <si>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</si>
  <si>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</si>
  <si>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</si>
  <si>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</si>
  <si>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</si>
  <si>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</si>
  <si>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</si>
  <si>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</si>
  <si>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</si>
  <si>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</si>
  <si>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</si>
  <si>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</si>
  <si>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</si>
  <si>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</si>
  <si>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V17566-DWXD-7532</t>
  </si>
  <si>
    <t>CO-FL-1</t>
  </si>
  <si>
    <t xml:space="preserve">FIELD LINER </t>
  </si>
  <si>
    <t>V17566-DWXD-7533</t>
  </si>
  <si>
    <t>CO-FL-2</t>
  </si>
  <si>
    <t>V17566-DWXD-7534</t>
  </si>
  <si>
    <t>CO-FL-3</t>
  </si>
  <si>
    <t>V17566-DWXD-7535</t>
  </si>
  <si>
    <t>CO-FL-4</t>
  </si>
  <si>
    <t>V17566-DWXD-7536</t>
  </si>
  <si>
    <t>CO-FL-5</t>
  </si>
  <si>
    <t>V17566-DWXD-7537</t>
  </si>
  <si>
    <t>CO-FL-6</t>
  </si>
  <si>
    <t>V17566-DWXD-7538</t>
  </si>
  <si>
    <t>CO-FL-7</t>
  </si>
  <si>
    <t>V17566-DWXD-7539</t>
  </si>
  <si>
    <t>CO-FL-8</t>
  </si>
  <si>
    <t>V17566-DWXD-7540</t>
  </si>
  <si>
    <t>CO-FL-9</t>
  </si>
  <si>
    <t>V17566-DWXD-7541</t>
  </si>
  <si>
    <t>CO-FL-10</t>
  </si>
  <si>
    <t>V17566-DWXD-7542</t>
  </si>
  <si>
    <t>CO-FL-11</t>
  </si>
  <si>
    <t>V17566-DWXD-7543</t>
  </si>
  <si>
    <t>CO-FL-12</t>
  </si>
  <si>
    <t>V17566-DWXD-7544</t>
  </si>
  <si>
    <t>CO-FL-13</t>
  </si>
  <si>
    <t>V17566-DWXD-7545</t>
  </si>
  <si>
    <t>CO-FL-14</t>
  </si>
  <si>
    <t>V17566-DWXD-7546</t>
  </si>
  <si>
    <t>CO-FL-15</t>
  </si>
  <si>
    <t>V17566-DWXD-7547</t>
  </si>
  <si>
    <t>CO-FL-16</t>
  </si>
  <si>
    <t>V17566-DWXD-7548</t>
  </si>
  <si>
    <t>CO-FL-17</t>
  </si>
  <si>
    <t>V17566-DWXD-7549</t>
  </si>
  <si>
    <t>CO-FL-18</t>
  </si>
  <si>
    <t>V17566-DWXD-7550</t>
  </si>
  <si>
    <t>CO-FL-19</t>
  </si>
  <si>
    <t>V17566-DWXD-7551</t>
  </si>
  <si>
    <t>CO-FL-20</t>
  </si>
  <si>
    <t>V17566-DWXD-7552</t>
  </si>
  <si>
    <t>CO-FL-21</t>
  </si>
  <si>
    <t>V17566-DWXD-7553</t>
  </si>
  <si>
    <t>CO-FL-22</t>
  </si>
  <si>
    <t>V17566-DWXD-7554</t>
  </si>
  <si>
    <t>CO-FL-23</t>
  </si>
  <si>
    <t>V17566-DWXD-7555</t>
  </si>
  <si>
    <t>CO-FL-24</t>
  </si>
  <si>
    <t>V17566-DWXD-7556</t>
  </si>
  <si>
    <t>CO-FL-25</t>
  </si>
  <si>
    <t>V17566-DWXD-7557</t>
  </si>
  <si>
    <t>CO-FL-26</t>
  </si>
  <si>
    <t>V17566-DWXD-7558</t>
  </si>
  <si>
    <t>CO-FL-27</t>
  </si>
  <si>
    <t>V17566-DWXD-7559</t>
  </si>
  <si>
    <t>CO-FL-28</t>
  </si>
  <si>
    <t>V17566-DWXD-7560</t>
  </si>
  <si>
    <t>CO-FL-29</t>
  </si>
  <si>
    <t>V17566-DWXD-7561</t>
  </si>
  <si>
    <t>CO-FL-30</t>
  </si>
  <si>
    <t>V17566-DWXD-7562</t>
  </si>
  <si>
    <t>CO-FL-31</t>
  </si>
  <si>
    <t>V17566-DWXD-7563</t>
  </si>
  <si>
    <t>CO-FL-32</t>
  </si>
  <si>
    <t>V17566-DWXD-7564</t>
  </si>
  <si>
    <t>CO-FL-33</t>
  </si>
  <si>
    <t>V17566-DWXD-7565</t>
  </si>
  <si>
    <t>CO-FL-34</t>
  </si>
  <si>
    <t>V17566-DWXD-7566</t>
  </si>
  <si>
    <t>CO-FL-35</t>
  </si>
  <si>
    <t>V17566-DWXD-7567</t>
  </si>
  <si>
    <t>CO-FL-36</t>
  </si>
  <si>
    <t>V17566-DWXD-7568</t>
  </si>
  <si>
    <t>CO-FL-37</t>
  </si>
  <si>
    <t>V17566-DWXD-7569</t>
  </si>
  <si>
    <t>CO-FL-38</t>
  </si>
  <si>
    <t>V17566-DWXD-7570</t>
  </si>
  <si>
    <t>CO-FL-39</t>
  </si>
  <si>
    <t>V17566-DWXD-7571</t>
  </si>
  <si>
    <t>CO-FL-40</t>
  </si>
  <si>
    <t>V17566-DWXD-7572</t>
  </si>
  <si>
    <t>CO-FL-41</t>
  </si>
  <si>
    <t>V17566-DWXD-7573</t>
  </si>
  <si>
    <t>CO-FL-42</t>
  </si>
  <si>
    <t>V17566-DWXD-7574</t>
  </si>
  <si>
    <t>CO-FL-43</t>
  </si>
  <si>
    <t>V17566-DWXD-7575</t>
  </si>
  <si>
    <t>CO-FL-44</t>
  </si>
  <si>
    <t>V17566-DWXD-7576</t>
  </si>
  <si>
    <t>CO-FL-45</t>
  </si>
  <si>
    <t>V17566-DWXD-7577</t>
  </si>
  <si>
    <t>CO-FL-46</t>
  </si>
  <si>
    <t>V17566-DWXD-7578</t>
  </si>
  <si>
    <t>CO-FL-47</t>
  </si>
  <si>
    <t>V17566-DWXD-7579</t>
  </si>
  <si>
    <t>CO-FL-48</t>
  </si>
  <si>
    <t>V17566-DWXD-7580</t>
  </si>
  <si>
    <t>CO-FL-49</t>
  </si>
  <si>
    <t>V17566-DWXD-7581</t>
  </si>
  <si>
    <t>CO-FL-50</t>
  </si>
  <si>
    <t>V17566-DWXD-7582</t>
  </si>
  <si>
    <t>CO-FL-51</t>
  </si>
  <si>
    <t>V17566-DWXD-7583</t>
  </si>
  <si>
    <t>CO-FL-52</t>
  </si>
  <si>
    <t>V17566-DWXD-7584</t>
  </si>
  <si>
    <t>CO-FL-53</t>
  </si>
  <si>
    <t>V17566-DWXD-7585</t>
  </si>
  <si>
    <t>CO-FL-54</t>
  </si>
  <si>
    <t>V17566-DWXD-7586</t>
  </si>
  <si>
    <t>CO-FL-55</t>
  </si>
  <si>
    <t>V17566-DWXD-7587</t>
  </si>
  <si>
    <t>CO-FL-56</t>
  </si>
  <si>
    <t>V17566-DWXD-7481</t>
  </si>
  <si>
    <t>CO-PL-1</t>
  </si>
  <si>
    <t xml:space="preserve">FIELD PLATE </t>
  </si>
  <si>
    <t>V17566-DWXD-7482</t>
  </si>
  <si>
    <t>CO-PL-2</t>
  </si>
  <si>
    <t xml:space="preserve">FIELD COVER RING </t>
  </si>
  <si>
    <t>V17566-DWXD-7483</t>
  </si>
  <si>
    <t>CO-PL-3</t>
  </si>
  <si>
    <t>V17566-DWXD-7484</t>
  </si>
  <si>
    <t>CO-PL-4</t>
  </si>
  <si>
    <t>V17566-DWXD-7485</t>
  </si>
  <si>
    <t>CO-PL-5</t>
  </si>
  <si>
    <t>V17566-DWXD-7486</t>
  </si>
  <si>
    <t>CO-PL-6</t>
  </si>
  <si>
    <t>V17566-DWXD-7487</t>
  </si>
  <si>
    <t>CO-PL-7</t>
  </si>
  <si>
    <t>FIELD COVER PLATE</t>
  </si>
  <si>
    <t>V17566-DWXD-7488</t>
  </si>
  <si>
    <t>CO-PL-8</t>
  </si>
  <si>
    <t>V17566-DWXD-7489</t>
  </si>
  <si>
    <t>CO-PL-9</t>
  </si>
  <si>
    <t>V17566-DWXD-7490</t>
  </si>
  <si>
    <t>CO-PL-10</t>
  </si>
  <si>
    <t>V17566-DWXD-7491</t>
  </si>
  <si>
    <t>CO-PL-11</t>
  </si>
  <si>
    <t>V17566-DWXD-7492</t>
  </si>
  <si>
    <t>CO-PL-12</t>
  </si>
  <si>
    <t xml:space="preserve">FIELD COVER PLATE </t>
  </si>
  <si>
    <t>V17566-DWXD-7493</t>
  </si>
  <si>
    <t>CO-PL-13</t>
  </si>
  <si>
    <t>V17566-DWXD-7494</t>
  </si>
  <si>
    <t>CO-PL-14</t>
  </si>
  <si>
    <t>V17566-DWXD-7495</t>
  </si>
  <si>
    <t>CO-PL-15</t>
  </si>
  <si>
    <t>V17566-DWXD-0323</t>
  </si>
  <si>
    <t>CO-PL-16</t>
  </si>
  <si>
    <t>V17566-DWXD-7497</t>
  </si>
  <si>
    <t>CO-PL-17</t>
  </si>
  <si>
    <t>V17566-DWXD-7498</t>
  </si>
  <si>
    <t>CO-PL-18</t>
  </si>
  <si>
    <t>V17566-DWXD-7591</t>
  </si>
  <si>
    <t>CO-PL-19</t>
  </si>
  <si>
    <t>V17566-DWXD-7499</t>
  </si>
  <si>
    <t>CO-RC-1</t>
  </si>
  <si>
    <t xml:space="preserve">FIELD RETAINER CLIP </t>
  </si>
  <si>
    <t>V17566-DWXD-7500</t>
  </si>
  <si>
    <t>CO-RC-2</t>
  </si>
  <si>
    <t>CO-RC-3</t>
  </si>
  <si>
    <t>V17566-DWXD-7501</t>
  </si>
  <si>
    <t>CO-SP-4</t>
  </si>
  <si>
    <t xml:space="preserve">SUPPORT CHANNEL </t>
  </si>
  <si>
    <t>V17566-DWXD-7401</t>
  </si>
  <si>
    <t>COB-1</t>
  </si>
  <si>
    <t xml:space="preserve">BOTTOM PANEL </t>
  </si>
  <si>
    <t>V17566-DWXD-7423</t>
  </si>
  <si>
    <t>COB-2</t>
  </si>
  <si>
    <t>V17566-DWXD-7427</t>
  </si>
  <si>
    <t>COB-3</t>
  </si>
  <si>
    <t>V17566-DWXD-7431</t>
  </si>
  <si>
    <t>COL-1</t>
  </si>
  <si>
    <t xml:space="preserve">LEFT PANEL </t>
  </si>
  <si>
    <t>V17566-DRXD-7055</t>
  </si>
  <si>
    <t>DR070L-COL-1</t>
  </si>
  <si>
    <t>V17566-DWXD-7436</t>
  </si>
  <si>
    <t>COL-2</t>
  </si>
  <si>
    <t>V17566-DWXD-7405</t>
  </si>
  <si>
    <t>COL-5</t>
  </si>
  <si>
    <t>DR070L-COL-5</t>
  </si>
  <si>
    <t>V17566-DWXD-7441</t>
  </si>
  <si>
    <t>COL-7</t>
  </si>
  <si>
    <t>DR070L-COL-7</t>
  </si>
  <si>
    <t>V17566-DWXD-7445</t>
  </si>
  <si>
    <t>COL-8</t>
  </si>
  <si>
    <t>V17566-DWXD-7449</t>
  </si>
  <si>
    <t>COR-1</t>
  </si>
  <si>
    <t xml:space="preserve">RIGHT PANEL </t>
  </si>
  <si>
    <t>DR070R-COR-1</t>
  </si>
  <si>
    <t>V17566-DWXD-7454</t>
  </si>
  <si>
    <t>COR-2</t>
  </si>
  <si>
    <t>V17566-DWXD-7408</t>
  </si>
  <si>
    <t>COR-3</t>
  </si>
  <si>
    <t>DR070R-COR-3</t>
  </si>
  <si>
    <t>V17566-DWXD-7459</t>
  </si>
  <si>
    <t>COR-4</t>
  </si>
  <si>
    <t>DR070R-COR-4</t>
  </si>
  <si>
    <t>V17566-DWXD-7463</t>
  </si>
  <si>
    <t>COR-5</t>
  </si>
  <si>
    <t>V17566-DWXD-7467</t>
  </si>
  <si>
    <t>COT-1</t>
  </si>
  <si>
    <t xml:space="preserve">TOP PANEL </t>
  </si>
  <si>
    <t>V17566-DWXD-7411</t>
  </si>
  <si>
    <t>COT-2</t>
  </si>
  <si>
    <t>V17566-DWXD-7471</t>
  </si>
  <si>
    <t>COT-3</t>
  </si>
  <si>
    <t xml:space="preserve">SCR DOOR </t>
  </si>
  <si>
    <t>V17566-DWXD-7473</t>
  </si>
  <si>
    <t>COT-4</t>
  </si>
  <si>
    <t>V17566-DWXD-7475</t>
  </si>
  <si>
    <t>COT-5</t>
  </si>
  <si>
    <t>V17566-DWXD-7477</t>
  </si>
  <si>
    <t>COT-6</t>
  </si>
  <si>
    <t>V17566-DWXD-7503</t>
  </si>
  <si>
    <t>CO-BF-1</t>
  </si>
  <si>
    <t xml:space="preserve">BUILT-UP CHANNEL </t>
  </si>
  <si>
    <t>V17566-DWXD-7504</t>
  </si>
  <si>
    <t>CO-BF-2</t>
  </si>
  <si>
    <t xml:space="preserve">BAFFLE </t>
  </si>
  <si>
    <t>V17566-DWXD-7505</t>
  </si>
  <si>
    <t>CO-BF-3</t>
  </si>
  <si>
    <t>V17566-DWXD-7506</t>
  </si>
  <si>
    <t>CO-BF-4</t>
  </si>
  <si>
    <t>V17566-DWXD-7507</t>
  </si>
  <si>
    <t>CO-BF-5</t>
  </si>
  <si>
    <t xml:space="preserve">BENT PLATE 110B </t>
  </si>
  <si>
    <t>V17566-DWXD-7508</t>
  </si>
  <si>
    <t>CO-BF-6</t>
  </si>
  <si>
    <t>V17566-DWXD-7509</t>
  </si>
  <si>
    <t>CO-BF-7</t>
  </si>
  <si>
    <t>V17566-DWXD-7510</t>
  </si>
  <si>
    <t>CO-BF-8</t>
  </si>
  <si>
    <t xml:space="preserve">BENT PLATE 110A </t>
  </si>
  <si>
    <t>V17566-DWXD-7511</t>
  </si>
  <si>
    <t>CO-BF-9</t>
  </si>
  <si>
    <t>V17566-DWXD-7512</t>
  </si>
  <si>
    <t>CO-BF-10</t>
  </si>
  <si>
    <t>V17566-DWXD-7588</t>
  </si>
  <si>
    <t>CO-BF-11</t>
  </si>
  <si>
    <t xml:space="preserve">STUD 5/8" </t>
  </si>
  <si>
    <t>V17566-DWXD-7513</t>
  </si>
  <si>
    <t>CO-BF-12</t>
  </si>
  <si>
    <t>V17566-DWXD-7514</t>
  </si>
  <si>
    <t>CO-BF-13</t>
  </si>
  <si>
    <t xml:space="preserve">BUILT-UP H-BEAM </t>
  </si>
  <si>
    <t>V17566-DWXD-7515</t>
  </si>
  <si>
    <t>CO-BF-14</t>
  </si>
  <si>
    <t>V17566-DWXD-7516</t>
  </si>
  <si>
    <t>CO-BF-15</t>
  </si>
  <si>
    <t>V17566-DWXD-7517</t>
  </si>
  <si>
    <t>CO-BF-16</t>
  </si>
  <si>
    <t>V17566-DWXD-7518</t>
  </si>
  <si>
    <t>CO-BF-17</t>
  </si>
  <si>
    <t>V17566-DWXD-7519</t>
  </si>
  <si>
    <t>CO-BF-18</t>
  </si>
  <si>
    <t xml:space="preserve">BENT PLATE </t>
  </si>
  <si>
    <t>V17566-DWXD-7520</t>
  </si>
  <si>
    <t>CO-BF-19</t>
  </si>
  <si>
    <t>V17566-DWXD-7521</t>
  </si>
  <si>
    <t>CO-BF-20</t>
  </si>
  <si>
    <t>V17566-DWXD-7522</t>
  </si>
  <si>
    <t>CO-BF-21</t>
  </si>
  <si>
    <t>V17566-DWXD-7523</t>
  </si>
  <si>
    <t>CO-BF-22</t>
  </si>
  <si>
    <t>V17566-DWXD-7524</t>
  </si>
  <si>
    <t>CO-BF-23</t>
  </si>
  <si>
    <t>V17566-DWXD-7525</t>
  </si>
  <si>
    <t>CO-BF-24</t>
  </si>
  <si>
    <t>V17566-DWXD-7526</t>
  </si>
  <si>
    <t>CO-BF-25</t>
  </si>
  <si>
    <t>V17566-DWXD-7527</t>
  </si>
  <si>
    <t>CO-BF-26</t>
  </si>
  <si>
    <t>V17566-DWXD-7528</t>
  </si>
  <si>
    <t>CO-BF-27</t>
  </si>
  <si>
    <t>V17566-DWXD-7529</t>
  </si>
  <si>
    <t>CO-BF-28</t>
  </si>
  <si>
    <t>V17566-DWXD-7530</t>
  </si>
  <si>
    <t>CO-BF-29</t>
  </si>
  <si>
    <t>V17566-DWXD-7531</t>
  </si>
  <si>
    <t>CO-BF-30</t>
  </si>
  <si>
    <t>V17566-DWND-0052</t>
  </si>
  <si>
    <t>V17566-DWND-0072</t>
  </si>
  <si>
    <t>V17566-DWND-0073</t>
  </si>
  <si>
    <t>V17566-DWND-0070</t>
  </si>
  <si>
    <t>V17566-DRND-0023</t>
  </si>
  <si>
    <t>V17566-SRND-0001</t>
  </si>
  <si>
    <t xml:space="preserve">(457x2x1167) </t>
  </si>
  <si>
    <t xml:space="preserve">(457x2x1338) </t>
  </si>
  <si>
    <t xml:space="preserve">(457x2x381) </t>
  </si>
  <si>
    <t xml:space="preserve">(457x2x1219) </t>
  </si>
  <si>
    <t xml:space="preserve">(457x2x838) </t>
  </si>
  <si>
    <t xml:space="preserve">(457x2x622) </t>
  </si>
  <si>
    <t xml:space="preserve">(457x2x876) </t>
  </si>
  <si>
    <t xml:space="preserve">(457x2x1524) </t>
  </si>
  <si>
    <t xml:space="preserve">(457x2x1765) </t>
  </si>
  <si>
    <t xml:space="preserve">(457x2x981) </t>
  </si>
  <si>
    <t xml:space="preserve">(457x2x1143) </t>
  </si>
  <si>
    <t xml:space="preserve">(672x192x192) </t>
  </si>
  <si>
    <t xml:space="preserve">(786x192x192) </t>
  </si>
  <si>
    <t xml:space="preserve">(838x192x192) </t>
  </si>
  <si>
    <t xml:space="preserve">(1138x192x192) </t>
  </si>
  <si>
    <t xml:space="preserve">(871x193x192) </t>
  </si>
  <si>
    <t xml:space="preserve">(1238x193x192) </t>
  </si>
  <si>
    <t xml:space="preserve">(1057x192x192) </t>
  </si>
  <si>
    <t xml:space="preserve">(837x192x192) </t>
  </si>
  <si>
    <t xml:space="preserve">(971x192x192) </t>
  </si>
  <si>
    <t xml:space="preserve">(664x167x257) </t>
  </si>
  <si>
    <t xml:space="preserve">(1087x192x192) </t>
  </si>
  <si>
    <t xml:space="preserve">(1267x167x257) </t>
  </si>
  <si>
    <t xml:space="preserve">(457x192x192) </t>
  </si>
  <si>
    <t xml:space="preserve">(1219x192x192) </t>
  </si>
  <si>
    <t xml:space="preserve">(600x192x192) </t>
  </si>
  <si>
    <t xml:space="preserve">(51x6x19) </t>
  </si>
  <si>
    <t xml:space="preserve">(191x3x191) </t>
  </si>
  <si>
    <t xml:space="preserve">(152x10x210) </t>
  </si>
  <si>
    <t xml:space="preserve">(75x6x210) </t>
  </si>
  <si>
    <t xml:space="preserve">(64x10x220) </t>
  </si>
  <si>
    <t xml:space="preserve">(718x12x330) </t>
  </si>
  <si>
    <t xml:space="preserve">(214x2x178) </t>
  </si>
  <si>
    <t xml:space="preserve">(178x2x195) </t>
  </si>
  <si>
    <t xml:space="preserve">(51x6x50) </t>
  </si>
  <si>
    <t xml:space="preserve">(157x2x350) </t>
  </si>
  <si>
    <t xml:space="preserve">(132x2x276) </t>
  </si>
  <si>
    <t xml:space="preserve">(527x2x157) </t>
  </si>
  <si>
    <t xml:space="preserve">(157x2x527) </t>
  </si>
  <si>
    <t xml:space="preserve">(161x2x161) </t>
  </si>
  <si>
    <t xml:space="preserve">(384x2x104) </t>
  </si>
  <si>
    <t xml:space="preserve">(51x5x102) </t>
  </si>
  <si>
    <t xml:space="preserve">(951x90x200) </t>
  </si>
  <si>
    <t xml:space="preserve">(1671x3448x9823) </t>
  </si>
  <si>
    <t xml:space="preserve">(796x1262x9785) </t>
  </si>
  <si>
    <t xml:space="preserve">(565x2786x9785) </t>
  </si>
  <si>
    <t xml:space="preserve">(568x2786x12332) </t>
  </si>
  <si>
    <t>(251x1197x1841)</t>
  </si>
  <si>
    <t xml:space="preserve">(530x2786x12325) </t>
  </si>
  <si>
    <t xml:space="preserve">(1189x3548x33567) </t>
  </si>
  <si>
    <t xml:space="preserve">(1262x549x12386) </t>
  </si>
  <si>
    <t xml:space="preserve">(1262x412x12259) </t>
  </si>
  <si>
    <t xml:space="preserve">(1262x543x12386) </t>
  </si>
  <si>
    <t xml:space="preserve">(1262x406x12259) </t>
  </si>
  <si>
    <t xml:space="preserve">(582x2786x9785) </t>
  </si>
  <si>
    <t xml:space="preserve">(1638x3448x9823) </t>
  </si>
  <si>
    <t xml:space="preserve">(451x2006x3085) </t>
  </si>
  <si>
    <t xml:space="preserve">(451x2006x3356) </t>
  </si>
  <si>
    <t xml:space="preserve">(364x1262x9785) </t>
  </si>
  <si>
    <t xml:space="preserve">(250x90x9574) </t>
  </si>
  <si>
    <t xml:space="preserve">(38x3x2881) </t>
  </si>
  <si>
    <t xml:space="preserve">(38x3x2914) </t>
  </si>
  <si>
    <t xml:space="preserve">(38x3x2862) </t>
  </si>
  <si>
    <t xml:space="preserve">(300x51x90) </t>
  </si>
  <si>
    <t xml:space="preserve">(1156x51x90) </t>
  </si>
  <si>
    <t xml:space="preserve">(344x51x90) </t>
  </si>
  <si>
    <t xml:space="preserve">(102x40x184) </t>
  </si>
  <si>
    <t xml:space="preserve">(12x3x36) </t>
  </si>
  <si>
    <t xml:space="preserve">(300x353x11000) </t>
  </si>
  <si>
    <t xml:space="preserve">(300x353x13328) </t>
  </si>
  <si>
    <t xml:space="preserve">(300x100x2877) </t>
  </si>
  <si>
    <t xml:space="preserve">(300x400x11000) </t>
  </si>
  <si>
    <t xml:space="preserve">(300x400x13334) </t>
  </si>
  <si>
    <t xml:space="preserve">(3144x313x159) </t>
  </si>
  <si>
    <t xml:space="preserve">(3241x313x159) </t>
  </si>
  <si>
    <t xml:space="preserve">(300x100x2906) </t>
  </si>
  <si>
    <t xml:space="preserve">(300x282x13334) </t>
  </si>
  <si>
    <t xml:space="preserve">(300x200x9574) </t>
  </si>
  <si>
    <t xml:space="preserve">(854x204x51) </t>
  </si>
  <si>
    <t xml:space="preserve">(1156x204x51) </t>
  </si>
  <si>
    <t xml:space="preserve">(835x204x51) </t>
  </si>
  <si>
    <t xml:space="preserve">(9574x90x150) </t>
  </si>
  <si>
    <t xml:space="preserve">(1024x51x90) </t>
  </si>
  <si>
    <t>U284</t>
  </si>
  <si>
    <t>PAC</t>
  </si>
  <si>
    <t>Shipment 2</t>
  </si>
  <si>
    <t>CO-SCR Duct</t>
  </si>
  <si>
    <t>HRSG</t>
  </si>
  <si>
    <t>HSG14</t>
  </si>
  <si>
    <t>HSG01</t>
  </si>
  <si>
    <t>S1</t>
  </si>
  <si>
    <t>S3</t>
  </si>
  <si>
    <t>V17566-SKXD-7001</t>
  </si>
  <si>
    <t>BK-1</t>
  </si>
  <si>
    <t>BLANKING PLATE</t>
  </si>
  <si>
    <t>V17566-SKXD-7002</t>
  </si>
  <si>
    <t>BK-2</t>
  </si>
  <si>
    <t>V17566-SKXD-7003</t>
  </si>
  <si>
    <t>BK-3</t>
  </si>
  <si>
    <t>V17566-SKXD-7004</t>
  </si>
  <si>
    <t>DR-1</t>
  </si>
  <si>
    <t>DRAIN PIPE</t>
  </si>
  <si>
    <t>V17566-SKXD-7005</t>
  </si>
  <si>
    <t>DR-2</t>
  </si>
  <si>
    <t>V17566-SKXD-7193</t>
  </si>
  <si>
    <t>DR-4</t>
  </si>
  <si>
    <t>DRAIN PAN</t>
  </si>
  <si>
    <t>V17566-SKXD-7006</t>
  </si>
  <si>
    <t>EX-1</t>
  </si>
  <si>
    <t>EXPANDED METAL</t>
  </si>
  <si>
    <t>V17566-SKXD-7007</t>
  </si>
  <si>
    <t>EX-2</t>
  </si>
  <si>
    <t>V17566-SKXD-7008</t>
  </si>
  <si>
    <t>EX-3</t>
  </si>
  <si>
    <t>V17566-SKXD-7009</t>
  </si>
  <si>
    <t>EX-4</t>
  </si>
  <si>
    <t>V17566-SKXD-7010</t>
  </si>
  <si>
    <t>EX-5</t>
  </si>
  <si>
    <t>V17566-SKXD-7011</t>
  </si>
  <si>
    <t>EX-6</t>
  </si>
  <si>
    <t>V17566-SKXD-7012</t>
  </si>
  <si>
    <t>EX-7</t>
  </si>
  <si>
    <t>V17566-SKXD-7013</t>
  </si>
  <si>
    <t>EX-8</t>
  </si>
  <si>
    <t>V17566-SKXD-7014</t>
  </si>
  <si>
    <t>EX-9</t>
  </si>
  <si>
    <t>V17566-SKXD-7015</t>
  </si>
  <si>
    <t>EX-10</t>
  </si>
  <si>
    <t>V17566-SKXD-7016</t>
  </si>
  <si>
    <t>EX-11</t>
  </si>
  <si>
    <t>V17566-SKXD-7017</t>
  </si>
  <si>
    <t>EX-12</t>
  </si>
  <si>
    <t>V17566-SKXD-7018</t>
  </si>
  <si>
    <t>EX-13</t>
  </si>
  <si>
    <t>V17566-SKXD-7019</t>
  </si>
  <si>
    <t>EX-14</t>
  </si>
  <si>
    <t>V17566-SKXD-7020</t>
  </si>
  <si>
    <t>EX-15</t>
  </si>
  <si>
    <t>V17566-SKXD-7021</t>
  </si>
  <si>
    <t>EX-16</t>
  </si>
  <si>
    <t>V17566-SKXD-7022</t>
  </si>
  <si>
    <t>EX-17</t>
  </si>
  <si>
    <t>V17566-SKXD-7023</t>
  </si>
  <si>
    <t>EX-18</t>
  </si>
  <si>
    <t>V17566-SKXD-7024</t>
  </si>
  <si>
    <t>EX-19</t>
  </si>
  <si>
    <t>V17566-SKXD-7025</t>
  </si>
  <si>
    <t>EX-20</t>
  </si>
  <si>
    <t>V17566-SKXD-7026</t>
  </si>
  <si>
    <t>EX-21</t>
  </si>
  <si>
    <t>V17566-SKXD-7027</t>
  </si>
  <si>
    <t>EX-22</t>
  </si>
  <si>
    <t>V17566-SKXD-7028</t>
  </si>
  <si>
    <t>EX-23</t>
  </si>
  <si>
    <t>V17566-SKXD-7029</t>
  </si>
  <si>
    <t>EX-24</t>
  </si>
  <si>
    <t>V17566-SKXD-7030</t>
  </si>
  <si>
    <t>EX-25</t>
  </si>
  <si>
    <t>V17566-SKXD-7031</t>
  </si>
  <si>
    <t>EX-26</t>
  </si>
  <si>
    <t>V17566-SKXD-7032</t>
  </si>
  <si>
    <t>EX-27</t>
  </si>
  <si>
    <t>V17566-SKXD-7033</t>
  </si>
  <si>
    <t>EX-28</t>
  </si>
  <si>
    <t>V17566-SKXD-7178</t>
  </si>
  <si>
    <t>EX-29</t>
  </si>
  <si>
    <t>V17566-SKXD-7179</t>
  </si>
  <si>
    <t>EX-30</t>
  </si>
  <si>
    <t>V17566-SKXD-7180</t>
  </si>
  <si>
    <t>EX-31</t>
  </si>
  <si>
    <t>V17566-SKXD-7181</t>
  </si>
  <si>
    <t>EX-32</t>
  </si>
  <si>
    <t>V17566-SKXD-7182</t>
  </si>
  <si>
    <t>EX-33</t>
  </si>
  <si>
    <t>V17566-SKXD-7183</t>
  </si>
  <si>
    <t>EX-34</t>
  </si>
  <si>
    <t>V17566-SKXD-7034</t>
  </si>
  <si>
    <t>FR-1</t>
  </si>
  <si>
    <t>FRAME</t>
  </si>
  <si>
    <t>V17566-SKXD-7035</t>
  </si>
  <si>
    <t>FR-2</t>
  </si>
  <si>
    <t>V17566-SKXD-7036</t>
  </si>
  <si>
    <t>FR-3</t>
  </si>
  <si>
    <t>V17566-SKXD-7037</t>
  </si>
  <si>
    <t>FR-4</t>
  </si>
  <si>
    <t>V17566-SKXD-7038</t>
  </si>
  <si>
    <t>FR-5</t>
  </si>
  <si>
    <t>V17566-SKXD-7039</t>
  </si>
  <si>
    <t>FR-6</t>
  </si>
  <si>
    <t>V17566-SKXD-7040</t>
  </si>
  <si>
    <t>LS-1</t>
  </si>
  <si>
    <t>LOOSE PART</t>
  </si>
  <si>
    <t>V17566-SKXD-7041</t>
  </si>
  <si>
    <t>LS-2</t>
  </si>
  <si>
    <t>V17566-SKXD-7042</t>
  </si>
  <si>
    <t>LS-3</t>
  </si>
  <si>
    <t>V17566-SKXD-7043</t>
  </si>
  <si>
    <t>LS-4</t>
  </si>
  <si>
    <t>V17566-SKXD-7044</t>
  </si>
  <si>
    <t>LS-5</t>
  </si>
  <si>
    <t>V17566-SKXD-7045</t>
  </si>
  <si>
    <t>LS-6</t>
  </si>
  <si>
    <t>V17566-SKXD-7046</t>
  </si>
  <si>
    <t>LS-7</t>
  </si>
  <si>
    <t>V17566-SKXD-7047</t>
  </si>
  <si>
    <t>LS-8</t>
  </si>
  <si>
    <t>V17566-SKXD-7048</t>
  </si>
  <si>
    <t>LS-9</t>
  </si>
  <si>
    <t>V17566-SKXD-7049</t>
  </si>
  <si>
    <t>LS-10</t>
  </si>
  <si>
    <t>V17566-SKXD-7050</t>
  </si>
  <si>
    <t>LS-11</t>
  </si>
  <si>
    <t>V17566-SKXD-7051</t>
  </si>
  <si>
    <t>LS-12</t>
  </si>
  <si>
    <t>V17566-SKXD-7052</t>
  </si>
  <si>
    <t>LS-13</t>
  </si>
  <si>
    <t>V17566-SKXD-7053</t>
  </si>
  <si>
    <t>LS-14</t>
  </si>
  <si>
    <t>V17566-SKXD-7054</t>
  </si>
  <si>
    <t>LS-15</t>
  </si>
  <si>
    <t>V17566-SKXD-7055</t>
  </si>
  <si>
    <t>LS-16</t>
  </si>
  <si>
    <t>V17566-SKXD-7056</t>
  </si>
  <si>
    <t>LS-17</t>
  </si>
  <si>
    <t>V17566-SKXD-7057</t>
  </si>
  <si>
    <t>LS-18</t>
  </si>
  <si>
    <t>V17566-SKXD-7058</t>
  </si>
  <si>
    <t>LS-19</t>
  </si>
  <si>
    <t>V17566-SKXD-7059</t>
  </si>
  <si>
    <t>LS-20</t>
  </si>
  <si>
    <t>V17566-SKXD-7060</t>
  </si>
  <si>
    <t>LS-21</t>
  </si>
  <si>
    <t>V17566-SKXD-7061</t>
  </si>
  <si>
    <t>LS-22</t>
  </si>
  <si>
    <t>V17566-SKXD-7062</t>
  </si>
  <si>
    <t>LS-23</t>
  </si>
  <si>
    <t>V17566-SKXD-7063</t>
  </si>
  <si>
    <t>LS-24</t>
  </si>
  <si>
    <t>V17566-SKXD-7064</t>
  </si>
  <si>
    <t>LS-25</t>
  </si>
  <si>
    <t>V17566-SKXD-7065</t>
  </si>
  <si>
    <t>LS-26</t>
  </si>
  <si>
    <t>V17566-SKXD-7066</t>
  </si>
  <si>
    <t>LS-27</t>
  </si>
  <si>
    <t>V17566-SKXD-7067</t>
  </si>
  <si>
    <t>LS-28</t>
  </si>
  <si>
    <t>V17566-SKXD-7068</t>
  </si>
  <si>
    <t>LS-29</t>
  </si>
  <si>
    <t>V17566-SKXD-7069</t>
  </si>
  <si>
    <t>LS-30</t>
  </si>
  <si>
    <t>V17566-SKXD-7070</t>
  </si>
  <si>
    <t>LS-31</t>
  </si>
  <si>
    <t>V17566-SKXD-7071</t>
  </si>
  <si>
    <t>LS-32</t>
  </si>
  <si>
    <t>V17566-SKXD-7072</t>
  </si>
  <si>
    <t>LS-33</t>
  </si>
  <si>
    <t>V17566-SKXD-7073</t>
  </si>
  <si>
    <t>LS-34</t>
  </si>
  <si>
    <t>V17566-SKXD-7074</t>
  </si>
  <si>
    <t>LS-35</t>
  </si>
  <si>
    <t>V17566-SKXD-7075</t>
  </si>
  <si>
    <t>LS-36</t>
  </si>
  <si>
    <t>V17566-SKXD-7076</t>
  </si>
  <si>
    <t>LS-37</t>
  </si>
  <si>
    <t>V17566-SKXD-7077</t>
  </si>
  <si>
    <t>LS-38</t>
  </si>
  <si>
    <t>V17566-SKXD-7078</t>
  </si>
  <si>
    <t>LS-39</t>
  </si>
  <si>
    <t>V17566-SKXD-7079</t>
  </si>
  <si>
    <t>LS-40</t>
  </si>
  <si>
    <t>V17566-SKXD-7080</t>
  </si>
  <si>
    <t>LS-41</t>
  </si>
  <si>
    <t>V17566-SKXD-7081</t>
  </si>
  <si>
    <t>LS-42</t>
  </si>
  <si>
    <t>V17566-SKXD-7082</t>
  </si>
  <si>
    <t>LS-43</t>
  </si>
  <si>
    <t>V17566-SKXD-7083</t>
  </si>
  <si>
    <t>LS-44</t>
  </si>
  <si>
    <t>V17566-SKXD-7084</t>
  </si>
  <si>
    <t>LS-45</t>
  </si>
  <si>
    <t>V17566-SKXD-7085</t>
  </si>
  <si>
    <t>LS-46</t>
  </si>
  <si>
    <t>V17566-SKXD-7184</t>
  </si>
  <si>
    <t>LS-47</t>
  </si>
  <si>
    <t>V17566-SKXD-7185</t>
  </si>
  <si>
    <t>LS-48</t>
  </si>
  <si>
    <t>V17566-SKXD-7086</t>
  </si>
  <si>
    <t>PT-1</t>
  </si>
  <si>
    <t>PIPE BRACE</t>
  </si>
  <si>
    <t>V17566-SKXD-7087</t>
  </si>
  <si>
    <t>PT-2</t>
  </si>
  <si>
    <t>V17566-SKXD-7088</t>
  </si>
  <si>
    <t>PT-3</t>
  </si>
  <si>
    <t>V17566-SKXD-7089</t>
  </si>
  <si>
    <t>SK1-1</t>
  </si>
  <si>
    <t>SHELL PLATE</t>
  </si>
  <si>
    <t>V17566-SKXD-7093</t>
  </si>
  <si>
    <t>SK1-2</t>
  </si>
  <si>
    <t>V17566-SKXD-7098</t>
  </si>
  <si>
    <t>SK2-1</t>
  </si>
  <si>
    <t>V17566-SKXD-7102</t>
  </si>
  <si>
    <t>SK2-2</t>
  </si>
  <si>
    <t>V17566-SKXD-7106</t>
  </si>
  <si>
    <t>SK2-3</t>
  </si>
  <si>
    <t>V17566-SKXD-7110</t>
  </si>
  <si>
    <t>SK2-4</t>
  </si>
  <si>
    <t>V17566-SKXD-7114</t>
  </si>
  <si>
    <t>SK2-5</t>
  </si>
  <si>
    <t>V17566-SKXD-7118</t>
  </si>
  <si>
    <t>SK3-1</t>
  </si>
  <si>
    <t>V17566-SKXD-7121</t>
  </si>
  <si>
    <t>SK3-2</t>
  </si>
  <si>
    <t>V17566-SKXD-7125</t>
  </si>
  <si>
    <t>SK3-3</t>
  </si>
  <si>
    <t>V17566-SKXD-7128</t>
  </si>
  <si>
    <t>SK3-4</t>
  </si>
  <si>
    <t>V17566-SKXD-7132</t>
  </si>
  <si>
    <t>SK4-1</t>
  </si>
  <si>
    <t>V17566-SKXD-7136</t>
  </si>
  <si>
    <t>SK4-2</t>
  </si>
  <si>
    <t>V17566-SKXD-7139</t>
  </si>
  <si>
    <t>SK4-3</t>
  </si>
  <si>
    <t>V17566-SKXD-7142</t>
  </si>
  <si>
    <t>SK4-4</t>
  </si>
  <si>
    <t>V17566-SKXD-7145</t>
  </si>
  <si>
    <t>SK4-5</t>
  </si>
  <si>
    <t>V17566-SKXD-7149</t>
  </si>
  <si>
    <t>SK5-1</t>
  </si>
  <si>
    <t>V17566-SKXD-7151</t>
  </si>
  <si>
    <t>SK5-2</t>
  </si>
  <si>
    <t>V17566-SKXD-7153</t>
  </si>
  <si>
    <t>SK5-3</t>
  </si>
  <si>
    <t>V17566-SKXD-7155</t>
  </si>
  <si>
    <t>SK5-4</t>
  </si>
  <si>
    <t>V17566-SKXD-7160</t>
  </si>
  <si>
    <t>SK6-1</t>
  </si>
  <si>
    <t>V17566-SKXD-7164</t>
  </si>
  <si>
    <t>SK6-2</t>
  </si>
  <si>
    <t>V17566-SKXD-7168</t>
  </si>
  <si>
    <t>SK6-3</t>
  </si>
  <si>
    <t>V17566-SKXD-7171</t>
  </si>
  <si>
    <t>SK6-4</t>
  </si>
  <si>
    <t>V17566-SKXD-7174</t>
  </si>
  <si>
    <t>SK6-5</t>
  </si>
  <si>
    <t>V17566-SKXD-7186</t>
  </si>
  <si>
    <t>SK7-1</t>
  </si>
  <si>
    <t>V17566-SKXD-7188</t>
  </si>
  <si>
    <t>SK7-2</t>
  </si>
  <si>
    <t>V17566-SKXD-7190</t>
  </si>
  <si>
    <t>SK7-3</t>
  </si>
  <si>
    <t>V17566-SKXD-7192</t>
  </si>
  <si>
    <t>SK7-4</t>
  </si>
  <si>
    <t>(2235x156x4861)</t>
  </si>
  <si>
    <t>(2134x156x4861)</t>
  </si>
  <si>
    <t>(3633x191x191)</t>
  </si>
  <si>
    <t>(3724x158x89)</t>
  </si>
  <si>
    <t>(7008x580x6984)</t>
  </si>
  <si>
    <t>(1153x196x2438)</t>
  </si>
  <si>
    <t>(1172x200x2438)</t>
  </si>
  <si>
    <t>(1153x203x2438)</t>
  </si>
  <si>
    <t>(1153x196x915)</t>
  </si>
  <si>
    <t>(1153x196x863)</t>
  </si>
  <si>
    <t>(887x111x723)</t>
  </si>
  <si>
    <t>(887x111x1007)</t>
  </si>
  <si>
    <t>(887x111x1321)</t>
  </si>
  <si>
    <t>(869x107x1525)</t>
  </si>
  <si>
    <t>(869x107x743)</t>
  </si>
  <si>
    <t>(869x107x1489)</t>
  </si>
  <si>
    <t>(869x107x116)</t>
  </si>
  <si>
    <t>(869x107x2438)</t>
  </si>
  <si>
    <t>(887x111x1284)</t>
  </si>
  <si>
    <t>(887x111x130)</t>
  </si>
  <si>
    <t>(887x111x1285)</t>
  </si>
  <si>
    <t>(869x111x1525)</t>
  </si>
  <si>
    <t>(869x111x743)</t>
  </si>
  <si>
    <t>(869x111x753)</t>
  </si>
  <si>
    <t>(869x111x2438)</t>
  </si>
  <si>
    <t>(869x111x581)</t>
  </si>
  <si>
    <t>(1153x196x1654)</t>
  </si>
  <si>
    <t>(25304x366x1373)</t>
  </si>
  <si>
    <t>(13722x366x1366)</t>
  </si>
  <si>
    <t>(1002x106x4886)</t>
  </si>
  <si>
    <t>(995x106x4886)</t>
  </si>
  <si>
    <t>(519x170x150)</t>
  </si>
  <si>
    <t>(521x150x170)</t>
  </si>
  <si>
    <t>(521x170x150)</t>
  </si>
  <si>
    <t>(524x220x200)</t>
  </si>
  <si>
    <t>(511x100x200)</t>
  </si>
  <si>
    <t>(518x150x130)</t>
  </si>
  <si>
    <t>(518x217x208)</t>
  </si>
  <si>
    <t>(511x177x200)</t>
  </si>
  <si>
    <t>(518x227x208)</t>
  </si>
  <si>
    <t>(511x186x200)</t>
  </si>
  <si>
    <t>(511x183x200)</t>
  </si>
  <si>
    <t>(521x360x241)</t>
  </si>
  <si>
    <t>(4674x152x89)</t>
  </si>
  <si>
    <t>(6871x168x268)</t>
  </si>
  <si>
    <t>(6875x168x268)</t>
  </si>
  <si>
    <t>(4921x7393x3436)</t>
  </si>
  <si>
    <t>(3534x2485x6582)</t>
  </si>
  <si>
    <t>(3534x2435x6582)</t>
  </si>
  <si>
    <t>(3488x2485x6582)</t>
  </si>
  <si>
    <t>(3143x1815x12189)</t>
  </si>
  <si>
    <t>(3488x2435x12189)</t>
  </si>
  <si>
    <t>(3486x2429x12189)</t>
  </si>
  <si>
    <t>(3488x2434x10233)</t>
  </si>
  <si>
    <t>(3491x2553x9928)</t>
  </si>
  <si>
    <t>(3488x2434x2290)</t>
  </si>
  <si>
    <t>(3488x2434x9928)</t>
  </si>
  <si>
    <t>(3488x2498x10233)</t>
  </si>
  <si>
    <t>(3488x2433x10538)</t>
  </si>
  <si>
    <t>(3488x2441x10487)</t>
  </si>
  <si>
    <t>(3488x2772x10182)</t>
  </si>
  <si>
    <t>(3754x4742x10182)</t>
  </si>
  <si>
    <t>(3488x2473x10182)</t>
  </si>
  <si>
    <t>(3822x2433x10487)</t>
  </si>
  <si>
    <t>(3531x2386x1651)</t>
  </si>
  <si>
    <t>(3445x2386x1651)</t>
  </si>
  <si>
    <t>(3445x2385x1651)</t>
  </si>
  <si>
    <t>Outlet Stack</t>
  </si>
  <si>
    <t>HSG07</t>
  </si>
  <si>
    <t>HSG05</t>
  </si>
  <si>
    <t>S4</t>
  </si>
  <si>
    <t>V17566-SKXD-AS-OS-BR-1</t>
  </si>
  <si>
    <t>OS-BR-1</t>
  </si>
  <si>
    <t>CV</t>
  </si>
  <si>
    <t>V17566-SKXD-AS-OS-BR-2</t>
  </si>
  <si>
    <t>OS-BR-2</t>
  </si>
  <si>
    <t>V17566-SKXD-AS-OS-BR-3</t>
  </si>
  <si>
    <t>OS-BR-3</t>
  </si>
  <si>
    <t>V17566-SKXD-AS-OS-BR-4</t>
  </si>
  <si>
    <t>OS-BR-4</t>
  </si>
  <si>
    <t>V17566-SKXD-AS-OS-BR-5</t>
  </si>
  <si>
    <t>OS-BR-5</t>
  </si>
  <si>
    <t>V17566-SKXD-AS-OS-BR-6</t>
  </si>
  <si>
    <t>OS-BR-6</t>
  </si>
  <si>
    <t>V17566-SKXD-AS-OS-BR-7</t>
  </si>
  <si>
    <t>OS-BR-7</t>
  </si>
  <si>
    <t>V17566-SKXD-AS-OS-BR-8</t>
  </si>
  <si>
    <t>OS-BR-8</t>
  </si>
  <si>
    <t>V17566-SKXD-AS-OS-BR-9</t>
  </si>
  <si>
    <t>OS-BR-9</t>
  </si>
  <si>
    <t>V17566-SKXD-AS-OS-BR-10</t>
  </si>
  <si>
    <t>OS-BR-10</t>
  </si>
  <si>
    <t>V17566-SKXD-AS-OS-BR-11</t>
  </si>
  <si>
    <t>OS-BR-11</t>
  </si>
  <si>
    <t>V17566-SKXD-AS-OS-BR-12</t>
  </si>
  <si>
    <t>OS-BR-12</t>
  </si>
  <si>
    <t>V17566-SKXD-AS-OS-BR-13</t>
  </si>
  <si>
    <t>OS-BR-13</t>
  </si>
  <si>
    <t>V17566-SKXD-AS-OS-BR-14</t>
  </si>
  <si>
    <t>OS-BR-14</t>
  </si>
  <si>
    <t>V17566-SKXD-AS-OS-BR-15</t>
  </si>
  <si>
    <t>OS-BR-15</t>
  </si>
  <si>
    <t>V17566-SKXD-AS-OS-BR-16</t>
  </si>
  <si>
    <t>OS-BR-16</t>
  </si>
  <si>
    <t>V17566-SKXD-AS-OS-BR-18</t>
  </si>
  <si>
    <t>OS-BR-18</t>
  </si>
  <si>
    <t>V17566-SKXD-AS-OS-BR-19</t>
  </si>
  <si>
    <t>OS-BR-19</t>
  </si>
  <si>
    <t>V17566-SKXD-AS-OS-BR-20</t>
  </si>
  <si>
    <t>OS-BR-20</t>
  </si>
  <si>
    <t>V17566-SKXD-AS-OS-BR-21</t>
  </si>
  <si>
    <t>OS-BR-21</t>
  </si>
  <si>
    <t>V17566-SKXD-AS-OS-BR-23</t>
  </si>
  <si>
    <t>OS-BR-23</t>
  </si>
  <si>
    <t>V17566-SKXD-AS-OS-BR-24</t>
  </si>
  <si>
    <t>OS-BR-24</t>
  </si>
  <si>
    <t>V17566-SKXD-AS-OS-BR-25</t>
  </si>
  <si>
    <t>OS-BR-25</t>
  </si>
  <si>
    <t>V17566-SKXD-AS-OS-BR-26</t>
  </si>
  <si>
    <t>OS-BR-26</t>
  </si>
  <si>
    <t>V17566-SKXD-AS-OS-BR-27</t>
  </si>
  <si>
    <t>OS-BR-27</t>
  </si>
  <si>
    <t>V17566-SKXD-AS-OS-BR-28</t>
  </si>
  <si>
    <t>OS-BR-28</t>
  </si>
  <si>
    <t>V17566-SKXD-AS-OS-LT-3</t>
  </si>
  <si>
    <t>OS-LT-3</t>
  </si>
  <si>
    <t>LIFTTING LUG</t>
  </si>
  <si>
    <t>V17566-SKXD-AS-OS-LT-4</t>
  </si>
  <si>
    <t>OS-LT-4</t>
  </si>
  <si>
    <t>V17566-SKXD-AS-OS-LT-5</t>
  </si>
  <si>
    <t>OS-LT-5</t>
  </si>
  <si>
    <t>(2146x10x100)</t>
  </si>
  <si>
    <t>(3378x8x1981)</t>
  </si>
  <si>
    <t>(1400x10x100)</t>
  </si>
  <si>
    <t>(9800x10x100)</t>
  </si>
  <si>
    <t>(3371x8x2185)</t>
  </si>
  <si>
    <t>(1263x8x313)</t>
  </si>
  <si>
    <t>(8554x60x100)</t>
  </si>
  <si>
    <t>(6400x10x100)</t>
  </si>
  <si>
    <t>(5120x60x100)</t>
  </si>
  <si>
    <t>(2756x8x1239)</t>
  </si>
  <si>
    <t>(1810x10x100)</t>
  </si>
  <si>
    <t>(2242x8x830)</t>
  </si>
  <si>
    <t>(1788x8x516)</t>
  </si>
  <si>
    <t>(8000x10x100)</t>
  </si>
  <si>
    <t>(8375x60x100)</t>
  </si>
  <si>
    <t>(3069x8x1526)</t>
  </si>
  <si>
    <t>(12000x10x100)</t>
  </si>
  <si>
    <t>(2901x8x1535)</t>
  </si>
  <si>
    <t>(6850x10x100)</t>
  </si>
  <si>
    <t>(6364x60x100)</t>
  </si>
  <si>
    <t>(7005x150x2529)</t>
  </si>
  <si>
    <t>(7005x150x3404)</t>
  </si>
  <si>
    <t>(7017x150x3404)</t>
  </si>
  <si>
    <t>(5468x737x220)</t>
  </si>
  <si>
    <t>(8564x60x100)</t>
  </si>
  <si>
    <t>(250x25x150)</t>
  </si>
  <si>
    <t>(220x101x200)</t>
  </si>
  <si>
    <t>Bracing</t>
  </si>
  <si>
    <t>U284-002</t>
  </si>
  <si>
    <t>S2</t>
  </si>
  <si>
    <t>U284-001</t>
  </si>
  <si>
    <t>U284-007</t>
  </si>
  <si>
    <t>U284-007-1</t>
  </si>
  <si>
    <t>U284-003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</si>
</sst>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8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97.348200694447" createdVersion="8" refreshedVersion="8" minRefreshableVersion="3" recordCount="295" xr:uid="{4067F58C-28E2-44CB-8FA2-A8EFFD878FFB}">
  <cacheSource type="worksheet">
    <worksheetSource ref="A3:BA298" sheet="Progress"/>
  </cacheSource>
  <cacheFields count="53">
    <cacheField name="TT" numFmtId="0">
      <sharedItems containsMixedTypes="1" containsNumber="1" containsInteger="1" minValue="1" maxValue="289"/>
    </cacheField>
    <cacheField name="Số Dự Án" numFmtId="0">
      <sharedItems containsBlank="1" count="2">
        <s v="U284"/>
        <m/>
      </sharedItems>
    </cacheField>
    <cacheField name="Group ID" numFmtId="0">
      <sharedItems/>
    </cacheField>
    <cacheField name="Group/Shipment" numFmtId="0">
      <sharedItems containsBlank="1" count="2">
        <s v="Shipment 2"/>
        <m/>
      </sharedItems>
    </cacheField>
    <cacheField name="Hạng mục" numFmtId="0">
      <sharedItems containsBlank="1" count="3">
        <s v="CO-SCR Duct"/>
        <s v="Outlet Stack"/>
        <m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01T00:00:00" maxDate="2026-07-02T00:00:00"/>
    </cacheField>
    <cacheField name="Dạng sản phẩm" numFmtId="0">
      <sharedItems containsBlank="1"/>
    </cacheField>
    <cacheField name="Phân loại" numFmtId="0">
      <sharedItems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56"/>
    </cacheField>
    <cacheField name="U.Weight" numFmtId="43">
      <sharedItems containsString="0" containsBlank="1" containsNumber="1" minValue="0" maxValue="33890.699999999997"/>
    </cacheField>
    <cacheField name="T.Weight" numFmtId="43">
      <sharedItems containsString="0" containsBlank="1" containsNumber="1" minValue="0" maxValue="33890.699999999997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30501.629999999997"/>
    </cacheField>
    <cacheField name="Còn lại" numFmtId="43">
      <sharedItems containsSemiMixedTypes="0" containsString="0" containsNumber="1" minValue="0" maxValue="4443.8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4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6-30T00:00:00" maxDate="2026-09-27T00:00:00"/>
    </cacheField>
    <cacheField name="SL Gá" numFmtId="0">
      <sharedItems containsString="0" containsBlank="1" containsNumber="1" containsInteger="1" minValue="1" maxValue="55"/>
    </cacheField>
    <cacheField name="KL Gá" numFmtId="43">
      <sharedItems containsSemiMixedTypes="0" containsString="0" containsNumber="1" minValue="0" maxValue="33890.699999999997"/>
    </cacheField>
    <cacheField name="Ngày Hàn" numFmtId="14">
      <sharedItems containsNonDate="0" containsDate="1" containsString="0" containsBlank="1" minDate="2026-07-03T00:00:00" maxDate="2026-10-01T00:00:00"/>
    </cacheField>
    <cacheField name="SL Hàn" numFmtId="0">
      <sharedItems containsString="0" containsBlank="1" containsNumber="1" containsInteger="1" minValue="1" maxValue="55"/>
    </cacheField>
    <cacheField name="KL Hàn" numFmtId="43">
      <sharedItems containsSemiMixedTypes="0" containsString="0" containsNumber="1" minValue="0" maxValue="33890.699999999997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43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8T00:00:00" maxDate="2026-09-25T00:00:00"/>
    </cacheField>
    <cacheField name="SL NT" numFmtId="0">
      <sharedItems containsString="0" containsBlank="1" containsNumber="1" containsInteger="1" minValue="1" maxValue="2"/>
    </cacheField>
    <cacheField name="KL NT" numFmtId="43">
      <sharedItems containsSemiMixedTypes="0" containsString="0" containsNumber="1" minValue="0" maxValue="3463.5"/>
    </cacheField>
    <cacheField name="Ngày BG" numFmtId="14">
      <sharedItems containsNonDate="0" containsDate="1" containsString="0" containsBlank="1" minDate="2026-09-16T00:00:00" maxDate="2026-10-01T00:00:00"/>
    </cacheField>
    <cacheField name="SL BG" numFmtId="0">
      <sharedItems containsString="0" containsBlank="1" containsNumber="1" containsInteger="1" minValue="1" maxValue="2"/>
    </cacheField>
    <cacheField name="KL BG" numFmtId="43">
      <sharedItems containsSemiMixedTypes="0" containsString="0" containsNumber="1" minValue="0" maxValue="3463.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1"/>
    <x v="0"/>
    <s v="Shipment 2 CO-SCR Duct"/>
    <x v="0"/>
    <x v="0"/>
    <m/>
    <d v="2026-07-01T00:00:00"/>
    <s v="HRSG"/>
    <s v="HSG14"/>
    <s v="S3"/>
    <s v="V17566-DWXD-7532"/>
    <s v="CO-FL-1"/>
    <s v="FIELD LINER "/>
    <n v="2"/>
    <n v="8.35"/>
    <n v="16.7"/>
    <s v="(457x2x1167) "/>
    <m/>
    <s v="V17566-DWND-0052"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2 CO-SCR Duct"/>
    <x v="0"/>
    <x v="0"/>
    <m/>
    <d v="2026-07-01T00:00:00"/>
    <s v="HRSG"/>
    <s v="HSG14"/>
    <s v="S3"/>
    <s v="V17566-DWXD-7533"/>
    <s v="CO-FL-2"/>
    <s v="FIELD LINER "/>
    <n v="2"/>
    <n v="9.15"/>
    <n v="18.3"/>
    <s v="(457x2x1338) "/>
    <m/>
    <s v="V17566-DWND-0052"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2 CO-SCR Duct"/>
    <x v="0"/>
    <x v="0"/>
    <m/>
    <d v="2026-07-01T00:00:00"/>
    <s v="HRSG"/>
    <s v="HSG14"/>
    <s v="S3"/>
    <s v="V17566-DWXD-7534"/>
    <s v="CO-FL-3"/>
    <s v="FIELD LINER "/>
    <n v="4"/>
    <n v="2.7250000000000001"/>
    <n v="10.9"/>
    <s v="(457x2x381) "/>
    <m/>
    <s v="V17566-DWND-0052"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2 CO-SCR Duct"/>
    <x v="0"/>
    <x v="0"/>
    <m/>
    <d v="2026-07-01T00:00:00"/>
    <s v="HRSG"/>
    <s v="HSG14"/>
    <s v="S3"/>
    <s v="V17566-DWXD-7535"/>
    <s v="CO-FL-4"/>
    <s v="FIELD LINER "/>
    <n v="20"/>
    <n v="8.745000000000001"/>
    <n v="174.9"/>
    <s v="(457x2x1219) "/>
    <m/>
    <s v="V17566-DWND-0052"/>
    <m/>
    <m/>
    <m/>
    <m/>
    <m/>
    <m/>
    <m/>
    <m/>
    <m/>
    <m/>
    <m/>
    <n v="0"/>
    <n v="174.9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2 CO-SCR Duct"/>
    <x v="0"/>
    <x v="0"/>
    <m/>
    <d v="2026-07-01T00:00:00"/>
    <s v="HRSG"/>
    <s v="HSG14"/>
    <s v="S3"/>
    <s v="V17566-DWXD-7536"/>
    <s v="CO-FL-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2 CO-SCR Duct"/>
    <x v="0"/>
    <x v="0"/>
    <m/>
    <d v="2026-07-01T00:00:00"/>
    <s v="HRSG"/>
    <s v="HSG14"/>
    <s v="S3"/>
    <s v="V17566-DWXD-7537"/>
    <s v="CO-FL-6"/>
    <s v="FIELD LINER "/>
    <n v="1"/>
    <n v="6"/>
    <n v="6"/>
    <s v="(457x2x838) "/>
    <m/>
    <s v="V17566-DWND-0052"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2 CO-SCR Duct"/>
    <x v="0"/>
    <x v="0"/>
    <m/>
    <d v="2026-07-01T00:00:00"/>
    <s v="HRSG"/>
    <s v="HSG14"/>
    <s v="S3"/>
    <s v="V17566-DWXD-7538"/>
    <s v="CO-FL-7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2 CO-SCR Duct"/>
    <x v="0"/>
    <x v="0"/>
    <m/>
    <d v="2026-07-01T00:00:00"/>
    <s v="HRSG"/>
    <s v="HSG14"/>
    <s v="S3"/>
    <s v="V17566-DWXD-7539"/>
    <s v="CO-FL-8"/>
    <s v="FIELD LINER "/>
    <n v="2"/>
    <n v="4.45"/>
    <n v="8.9"/>
    <s v="(457x2x622) "/>
    <m/>
    <s v="V17566-DWND-0052"/>
    <m/>
    <m/>
    <m/>
    <m/>
    <m/>
    <m/>
    <m/>
    <m/>
    <m/>
    <m/>
    <m/>
    <n v="0"/>
    <n v="8.9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2 CO-SCR Duct"/>
    <x v="0"/>
    <x v="0"/>
    <m/>
    <d v="2026-07-01T00:00:00"/>
    <s v="HRSG"/>
    <s v="HSG14"/>
    <s v="S3"/>
    <s v="V17566-DWXD-7540"/>
    <s v="CO-FL-9"/>
    <s v="FIELD LINER "/>
    <n v="68"/>
    <n v="8.7455882352941181"/>
    <n v="594.70000000000005"/>
    <s v="(457x2x1219) "/>
    <m/>
    <s v="V17566-DWND-0052"/>
    <m/>
    <m/>
    <m/>
    <m/>
    <m/>
    <m/>
    <m/>
    <m/>
    <m/>
    <m/>
    <m/>
    <n v="0"/>
    <n v="594.7000000000000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2 CO-SCR Duct"/>
    <x v="0"/>
    <x v="0"/>
    <m/>
    <d v="2026-07-01T00:00:00"/>
    <s v="HRSG"/>
    <s v="HSG14"/>
    <s v="S3"/>
    <s v="V17566-DWXD-7541"/>
    <s v="CO-FL-10"/>
    <s v="FIELD LINER "/>
    <n v="4"/>
    <n v="6.2750000000000004"/>
    <n v="25.1"/>
    <s v="(457x2x876) "/>
    <m/>
    <s v="V17566-DWND-0052"/>
    <m/>
    <m/>
    <m/>
    <m/>
    <m/>
    <m/>
    <m/>
    <m/>
    <m/>
    <m/>
    <m/>
    <n v="0"/>
    <n v="25.1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2 CO-SCR Duct"/>
    <x v="0"/>
    <x v="0"/>
    <m/>
    <d v="2026-07-01T00:00:00"/>
    <s v="HRSG"/>
    <s v="HSG14"/>
    <s v="S3"/>
    <s v="V17566-DWXD-7542"/>
    <s v="CO-FL-11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2 CO-SCR Duct"/>
    <x v="0"/>
    <x v="0"/>
    <m/>
    <d v="2026-07-01T00:00:00"/>
    <s v="HRSG"/>
    <s v="HSG14"/>
    <s v="S3"/>
    <s v="V17566-DWXD-7543"/>
    <s v="CO-FL-12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2 CO-SCR Duct"/>
    <x v="0"/>
    <x v="0"/>
    <m/>
    <d v="2026-07-01T00:00:00"/>
    <s v="HRSG"/>
    <s v="HSG14"/>
    <s v="S3"/>
    <s v="V17566-DWXD-7544"/>
    <s v="CO-FL-13"/>
    <s v="FIELD LINER "/>
    <n v="1"/>
    <n v="8.1"/>
    <n v="8.1"/>
    <s v="(457x2x1219) "/>
    <m/>
    <s v="V17566-DWND-0052"/>
    <m/>
    <m/>
    <m/>
    <m/>
    <m/>
    <m/>
    <m/>
    <m/>
    <m/>
    <m/>
    <m/>
    <n v="0"/>
    <n v="8.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2 CO-SCR Duct"/>
    <x v="0"/>
    <x v="0"/>
    <m/>
    <d v="2026-07-01T00:00:00"/>
    <s v="HRSG"/>
    <s v="HSG14"/>
    <s v="S3"/>
    <s v="V17566-DWXD-7545"/>
    <s v="CO-FL-14"/>
    <s v="FIELD LINER "/>
    <n v="1"/>
    <n v="8.6"/>
    <n v="8.6"/>
    <s v="(457x2x1219) "/>
    <m/>
    <s v="V17566-DWND-0052"/>
    <m/>
    <m/>
    <m/>
    <m/>
    <m/>
    <m/>
    <m/>
    <m/>
    <m/>
    <m/>
    <m/>
    <n v="0"/>
    <n v="8.6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2 CO-SCR Duct"/>
    <x v="0"/>
    <x v="0"/>
    <m/>
    <d v="2026-07-01T00:00:00"/>
    <s v="HRSG"/>
    <s v="HSG14"/>
    <s v="S3"/>
    <s v="V17566-DWXD-7546"/>
    <s v="CO-FL-15"/>
    <s v="FIELD LINER "/>
    <n v="1"/>
    <n v="8.6999999999999993"/>
    <n v="8.6999999999999993"/>
    <s v="(457x2x1219) "/>
    <m/>
    <s v="V17566-DWND-0052"/>
    <m/>
    <m/>
    <m/>
    <m/>
    <m/>
    <m/>
    <m/>
    <m/>
    <m/>
    <m/>
    <m/>
    <n v="0"/>
    <n v="8.6999999999999993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2 CO-SCR Duct"/>
    <x v="0"/>
    <x v="0"/>
    <m/>
    <d v="2026-07-01T00:00:00"/>
    <s v="HRSG"/>
    <s v="HSG14"/>
    <s v="S3"/>
    <s v="V17566-DWXD-7547"/>
    <s v="CO-FL-16"/>
    <s v="FIELD LINER "/>
    <n v="1"/>
    <n v="5.4"/>
    <n v="5.4"/>
    <s v="(457x2x838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2 CO-SCR Duct"/>
    <x v="0"/>
    <x v="0"/>
    <m/>
    <d v="2026-07-01T00:00:00"/>
    <s v="HRSG"/>
    <s v="HSG14"/>
    <s v="S3"/>
    <s v="V17566-DWXD-7548"/>
    <s v="CO-FL-17"/>
    <s v="FIELD LINER "/>
    <n v="1"/>
    <n v="10.5"/>
    <n v="10.5"/>
    <s v="(457x2x1524) "/>
    <m/>
    <s v="V17566-DWND-0052"/>
    <m/>
    <m/>
    <m/>
    <m/>
    <m/>
    <m/>
    <m/>
    <m/>
    <m/>
    <m/>
    <m/>
    <n v="0"/>
    <n v="10.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2 CO-SCR Duct"/>
    <x v="0"/>
    <x v="0"/>
    <m/>
    <d v="2026-07-01T00:00:00"/>
    <s v="HRSG"/>
    <s v="HSG14"/>
    <s v="S3"/>
    <s v="V17566-DWXD-7549"/>
    <s v="CO-FL-18"/>
    <s v="FIELD LINER "/>
    <n v="2"/>
    <n v="11.95"/>
    <n v="23.9"/>
    <s v="(457x2x1765) "/>
    <m/>
    <s v="V17566-DWND-0052"/>
    <m/>
    <m/>
    <m/>
    <m/>
    <m/>
    <m/>
    <m/>
    <m/>
    <m/>
    <m/>
    <m/>
    <n v="0"/>
    <n v="23.9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2 CO-SCR Duct"/>
    <x v="0"/>
    <x v="0"/>
    <m/>
    <d v="2026-07-01T00:00:00"/>
    <s v="HRSG"/>
    <s v="HSG14"/>
    <s v="S3"/>
    <s v="V17566-DWXD-7550"/>
    <s v="CO-FL-19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2 CO-SCR Duct"/>
    <x v="0"/>
    <x v="0"/>
    <m/>
    <d v="2026-07-01T00:00:00"/>
    <s v="HRSG"/>
    <s v="HSG14"/>
    <s v="S3"/>
    <s v="V17566-DWXD-7551"/>
    <s v="CO-FL-20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2 CO-SCR Duct"/>
    <x v="0"/>
    <x v="0"/>
    <m/>
    <d v="2026-07-01T00:00:00"/>
    <s v="HRSG"/>
    <s v="HSG14"/>
    <s v="S3"/>
    <s v="V17566-DWXD-7552"/>
    <s v="CO-FL-21"/>
    <s v="FIELD LINER "/>
    <n v="2"/>
    <n v="8.4499999999999993"/>
    <n v="16.899999999999999"/>
    <s v="(457x2x1219) "/>
    <m/>
    <s v="V17566-DWND-0052"/>
    <m/>
    <m/>
    <m/>
    <m/>
    <m/>
    <m/>
    <m/>
    <m/>
    <m/>
    <m/>
    <m/>
    <n v="0"/>
    <n v="16.89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2 CO-SCR Duct"/>
    <x v="0"/>
    <x v="0"/>
    <m/>
    <d v="2026-07-01T00:00:00"/>
    <s v="HRSG"/>
    <s v="HSG14"/>
    <s v="S3"/>
    <s v="V17566-DWXD-7553"/>
    <s v="CO-FL-22"/>
    <s v="FIELD LINER "/>
    <n v="4"/>
    <n v="8.4749999999999996"/>
    <n v="33.9"/>
    <s v="(457x2x1219) "/>
    <m/>
    <s v="V17566-DWND-0052"/>
    <m/>
    <m/>
    <m/>
    <m/>
    <m/>
    <m/>
    <m/>
    <m/>
    <m/>
    <m/>
    <m/>
    <n v="0"/>
    <n v="33.9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2 CO-SCR Duct"/>
    <x v="0"/>
    <x v="0"/>
    <m/>
    <d v="2026-07-01T00:00:00"/>
    <s v="HRSG"/>
    <s v="HSG14"/>
    <s v="S3"/>
    <s v="V17566-DWXD-7554"/>
    <s v="CO-FL-23"/>
    <s v="FIELD LINER "/>
    <n v="2"/>
    <n v="6.75"/>
    <n v="13.5"/>
    <s v="(457x2x981) "/>
    <m/>
    <s v="V17566-DWND-0052"/>
    <m/>
    <m/>
    <m/>
    <m/>
    <m/>
    <m/>
    <m/>
    <m/>
    <m/>
    <m/>
    <m/>
    <n v="0"/>
    <n v="13.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2 CO-SCR Duct"/>
    <x v="0"/>
    <x v="0"/>
    <m/>
    <d v="2026-07-01T00:00:00"/>
    <s v="HRSG"/>
    <s v="HSG14"/>
    <s v="S3"/>
    <s v="V17566-DWXD-7555"/>
    <s v="CO-FL-24"/>
    <s v="FIELD LINER "/>
    <n v="2"/>
    <n v="8.1999999999999993"/>
    <n v="16.399999999999999"/>
    <s v="(457x2x1143) "/>
    <m/>
    <s v="V17566-DWND-0052"/>
    <m/>
    <m/>
    <m/>
    <m/>
    <m/>
    <m/>
    <m/>
    <m/>
    <m/>
    <m/>
    <m/>
    <n v="0"/>
    <n v="16.399999999999999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2 CO-SCR Duct"/>
    <x v="0"/>
    <x v="0"/>
    <m/>
    <d v="2026-07-01T00:00:00"/>
    <s v="HRSG"/>
    <s v="HSG14"/>
    <s v="S3"/>
    <s v="V17566-DWXD-7556"/>
    <s v="CO-FL-25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2 CO-SCR Duct"/>
    <x v="0"/>
    <x v="0"/>
    <m/>
    <d v="2026-07-01T00:00:00"/>
    <s v="HRSG"/>
    <s v="HSG14"/>
    <s v="S3"/>
    <s v="V17566-DWXD-7557"/>
    <s v="CO-FL-26"/>
    <s v="FIELD LINER "/>
    <n v="2"/>
    <n v="4.7"/>
    <n v="9.4"/>
    <s v="(786x192x192) "/>
    <m/>
    <s v="V17566-DWND-0052"/>
    <m/>
    <m/>
    <m/>
    <m/>
    <m/>
    <m/>
    <m/>
    <m/>
    <m/>
    <m/>
    <m/>
    <n v="0"/>
    <n v="9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2 CO-SCR Duct"/>
    <x v="0"/>
    <x v="0"/>
    <m/>
    <d v="2026-07-01T00:00:00"/>
    <s v="HRSG"/>
    <s v="HSG14"/>
    <s v="S3"/>
    <s v="V17566-DWXD-7558"/>
    <s v="CO-FL-27"/>
    <s v="FIELD LINER "/>
    <n v="1"/>
    <n v="4"/>
    <n v="4"/>
    <s v="(672x192x192) "/>
    <m/>
    <s v="V17566-DWND-0052"/>
    <m/>
    <m/>
    <m/>
    <m/>
    <m/>
    <m/>
    <m/>
    <m/>
    <m/>
    <m/>
    <m/>
    <n v="0"/>
    <n v="4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2 CO-SCR Duct"/>
    <x v="0"/>
    <x v="0"/>
    <m/>
    <d v="2026-07-01T00:00:00"/>
    <s v="HRSG"/>
    <s v="HSG14"/>
    <s v="S3"/>
    <s v="V17566-DWXD-7559"/>
    <s v="CO-FL-28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2 CO-SCR Duct"/>
    <x v="0"/>
    <x v="0"/>
    <m/>
    <d v="2026-07-01T00:00:00"/>
    <s v="HRSG"/>
    <s v="HSG14"/>
    <s v="S3"/>
    <s v="V17566-DWXD-7560"/>
    <s v="CO-FL-29"/>
    <s v="FIELD LINER "/>
    <n v="1"/>
    <n v="5"/>
    <n v="5"/>
    <s v="(838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2 CO-SCR Duct"/>
    <x v="0"/>
    <x v="0"/>
    <m/>
    <d v="2026-07-01T00:00:00"/>
    <s v="HRSG"/>
    <s v="HSG14"/>
    <s v="S3"/>
    <s v="V17566-DWXD-7561"/>
    <s v="CO-FL-30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2 CO-SCR Duct"/>
    <x v="0"/>
    <x v="0"/>
    <m/>
    <d v="2026-07-01T00:00:00"/>
    <s v="HRSG"/>
    <s v="HSG14"/>
    <s v="S3"/>
    <s v="V17566-DWXD-7562"/>
    <s v="CO-FL-31"/>
    <s v="FIELD LINER "/>
    <n v="1"/>
    <n v="6.8"/>
    <n v="6.8"/>
    <s v="(1138x192x192) "/>
    <m/>
    <s v="V17566-DWND-0052"/>
    <m/>
    <m/>
    <m/>
    <m/>
    <m/>
    <m/>
    <m/>
    <m/>
    <m/>
    <m/>
    <m/>
    <n v="0"/>
    <n v="6.8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2 CO-SCR Duct"/>
    <x v="0"/>
    <x v="0"/>
    <m/>
    <d v="2026-07-01T00:00:00"/>
    <s v="HRSG"/>
    <s v="HSG14"/>
    <s v="S3"/>
    <s v="V17566-DWXD-7563"/>
    <s v="CO-FL-32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2 CO-SCR Duct"/>
    <x v="0"/>
    <x v="0"/>
    <m/>
    <d v="2026-07-01T00:00:00"/>
    <s v="HRSG"/>
    <s v="HSG14"/>
    <s v="S3"/>
    <s v="V17566-DWXD-7564"/>
    <s v="CO-FL-33"/>
    <s v="FIELD LINER "/>
    <n v="1"/>
    <n v="5.0999999999999996"/>
    <n v="5.0999999999999996"/>
    <s v="(871x193x192) "/>
    <m/>
    <s v="V17566-DWND-0052"/>
    <m/>
    <m/>
    <m/>
    <m/>
    <m/>
    <m/>
    <m/>
    <m/>
    <m/>
    <m/>
    <m/>
    <n v="0"/>
    <n v="5.0999999999999996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2 CO-SCR Duct"/>
    <x v="0"/>
    <x v="0"/>
    <m/>
    <d v="2026-07-01T00:00:00"/>
    <s v="HRSG"/>
    <s v="HSG14"/>
    <s v="S3"/>
    <s v="V17566-DWXD-7565"/>
    <s v="CO-FL-34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2 CO-SCR Duct"/>
    <x v="0"/>
    <x v="0"/>
    <m/>
    <d v="2026-07-01T00:00:00"/>
    <s v="HRSG"/>
    <s v="HSG14"/>
    <s v="S3"/>
    <s v="V17566-DWXD-7566"/>
    <s v="CO-FL-35"/>
    <s v="FIELD LINER "/>
    <n v="1"/>
    <n v="7.3"/>
    <n v="7.3"/>
    <s v="(1238x193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2 CO-SCR Duct"/>
    <x v="0"/>
    <x v="0"/>
    <m/>
    <d v="2026-07-01T00:00:00"/>
    <s v="HRSG"/>
    <s v="HSG14"/>
    <s v="S3"/>
    <s v="V17566-DWXD-7567"/>
    <s v="CO-FL-36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2 CO-SCR Duct"/>
    <x v="0"/>
    <x v="0"/>
    <m/>
    <d v="2026-07-01T00:00:00"/>
    <s v="HRSG"/>
    <s v="HSG14"/>
    <s v="S3"/>
    <s v="V17566-DWXD-7568"/>
    <s v="CO-FL-37"/>
    <s v="FIELD LINER "/>
    <n v="1"/>
    <n v="6.4"/>
    <n v="6.4"/>
    <s v="(1057x192x192) "/>
    <m/>
    <s v="V17566-DWND-0052"/>
    <m/>
    <m/>
    <m/>
    <m/>
    <m/>
    <m/>
    <m/>
    <m/>
    <m/>
    <m/>
    <m/>
    <n v="0"/>
    <n v="6.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2 CO-SCR Duct"/>
    <x v="0"/>
    <x v="0"/>
    <m/>
    <d v="2026-07-01T00:00:00"/>
    <s v="HRSG"/>
    <s v="HSG14"/>
    <s v="S3"/>
    <s v="V17566-DWXD-7569"/>
    <s v="CO-FL-38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2 CO-SCR Duct"/>
    <x v="0"/>
    <x v="0"/>
    <m/>
    <d v="2026-07-01T00:00:00"/>
    <s v="HRSG"/>
    <s v="HSG14"/>
    <s v="S3"/>
    <s v="V17566-DWXD-7570"/>
    <s v="CO-FL-39"/>
    <s v="FIELD LINER "/>
    <n v="1"/>
    <n v="5"/>
    <n v="5"/>
    <s v="(837x192x192) "/>
    <m/>
    <s v="V17566-DWND-0052"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2 CO-SCR Duct"/>
    <x v="0"/>
    <x v="0"/>
    <m/>
    <d v="2026-07-01T00:00:00"/>
    <s v="HRSG"/>
    <s v="HSG14"/>
    <s v="S3"/>
    <s v="V17566-DWXD-7571"/>
    <s v="CO-FL-40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2 CO-SCR Duct"/>
    <x v="0"/>
    <x v="0"/>
    <m/>
    <d v="2026-07-01T00:00:00"/>
    <s v="HRSG"/>
    <s v="HSG14"/>
    <s v="S3"/>
    <s v="V17566-DWXD-7572"/>
    <s v="CO-FL-41"/>
    <s v="FIELD LINER "/>
    <n v="1"/>
    <n v="5.8"/>
    <n v="5.8"/>
    <s v="(971x192x192) "/>
    <m/>
    <s v="V17566-DWND-0052"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2 CO-SCR Duct"/>
    <x v="0"/>
    <x v="0"/>
    <m/>
    <d v="2026-07-01T00:00:00"/>
    <s v="HRSG"/>
    <s v="HSG14"/>
    <s v="S3"/>
    <s v="V17566-DWXD-7573"/>
    <s v="CO-FL-42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2 CO-SCR Duct"/>
    <x v="0"/>
    <x v="0"/>
    <m/>
    <d v="2026-07-01T00:00:00"/>
    <s v="HRSG"/>
    <s v="HSG14"/>
    <s v="S3"/>
    <s v="V17566-DWXD-7574"/>
    <s v="CO-FL-43"/>
    <s v="FIELD LINER "/>
    <n v="1"/>
    <n v="4.4000000000000004"/>
    <n v="4.4000000000000004"/>
    <s v="(664x167x257) "/>
    <m/>
    <s v="V17566-DWND-0052"/>
    <m/>
    <m/>
    <m/>
    <m/>
    <m/>
    <m/>
    <m/>
    <m/>
    <m/>
    <m/>
    <m/>
    <n v="0"/>
    <n v="4.4000000000000004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2 CO-SCR Duct"/>
    <x v="0"/>
    <x v="0"/>
    <m/>
    <d v="2026-07-01T00:00:00"/>
    <s v="HRSG"/>
    <s v="HSG14"/>
    <s v="S3"/>
    <s v="V17566-DWXD-7575"/>
    <s v="CO-FL-44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2 CO-SCR Duct"/>
    <x v="0"/>
    <x v="0"/>
    <m/>
    <d v="2026-07-01T00:00:00"/>
    <s v="HRSG"/>
    <s v="HSG14"/>
    <s v="S3"/>
    <s v="V17566-DWXD-7576"/>
    <s v="CO-FL-45"/>
    <s v="FIELD LINER "/>
    <n v="1"/>
    <n v="5.4"/>
    <n v="5.4"/>
    <s v="(1087x192x192) "/>
    <m/>
    <s v="V17566-DWND-0052"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2 CO-SCR Duct"/>
    <x v="0"/>
    <x v="0"/>
    <m/>
    <d v="2026-07-01T00:00:00"/>
    <s v="HRSG"/>
    <s v="HSG14"/>
    <s v="S3"/>
    <s v="V17566-DWXD-7577"/>
    <s v="CO-FL-46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2 CO-SCR Duct"/>
    <x v="0"/>
    <x v="0"/>
    <m/>
    <d v="2026-07-01T00:00:00"/>
    <s v="HRSG"/>
    <s v="HSG14"/>
    <s v="S3"/>
    <s v="V17566-DWXD-7578"/>
    <s v="CO-FL-47"/>
    <s v="FIELD LINER "/>
    <n v="1"/>
    <n v="8.4"/>
    <n v="8.4"/>
    <s v="(1267x167x257) "/>
    <m/>
    <s v="V17566-DWND-0052"/>
    <m/>
    <m/>
    <m/>
    <m/>
    <m/>
    <m/>
    <m/>
    <m/>
    <m/>
    <m/>
    <m/>
    <n v="0"/>
    <n v="8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2 CO-SCR Duct"/>
    <x v="0"/>
    <x v="0"/>
    <m/>
    <d v="2026-07-01T00:00:00"/>
    <s v="HRSG"/>
    <s v="HSG14"/>
    <s v="S3"/>
    <s v="V17566-DWXD-7579"/>
    <s v="CO-FL-48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2 CO-SCR Duct"/>
    <x v="0"/>
    <x v="0"/>
    <m/>
    <d v="2026-07-01T00:00:00"/>
    <s v="HRSG"/>
    <s v="HSG14"/>
    <s v="S3"/>
    <s v="V17566-DWXD-7580"/>
    <s v="CO-FL-49"/>
    <s v="FIELD LINER "/>
    <n v="1"/>
    <n v="2.2999999999999998"/>
    <n v="2.2999999999999998"/>
    <s v="(457x192x192) "/>
    <m/>
    <s v="V17566-DWND-0052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2 CO-SCR Duct"/>
    <x v="0"/>
    <x v="0"/>
    <m/>
    <d v="2026-07-01T00:00:00"/>
    <s v="HRSG"/>
    <s v="HSG14"/>
    <s v="S3"/>
    <s v="V17566-DWXD-7581"/>
    <s v="CO-FL-50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2 CO-SCR Duct"/>
    <x v="0"/>
    <x v="0"/>
    <m/>
    <d v="2026-07-01T00:00:00"/>
    <s v="HRSG"/>
    <s v="HSG14"/>
    <s v="S3"/>
    <s v="V17566-DWXD-7582"/>
    <s v="CO-FL-51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2 CO-SCR Duct"/>
    <x v="0"/>
    <x v="0"/>
    <m/>
    <d v="2026-07-01T00:00:00"/>
    <s v="HRSG"/>
    <s v="HSG14"/>
    <s v="S3"/>
    <s v="V17566-DWXD-7583"/>
    <s v="CO-FL-52"/>
    <s v="FIELD LINER "/>
    <n v="1"/>
    <n v="7.3"/>
    <n v="7.3"/>
    <s v="(1219x192x192) "/>
    <m/>
    <s v="V17566-DWND-0052"/>
    <m/>
    <m/>
    <m/>
    <m/>
    <m/>
    <m/>
    <m/>
    <m/>
    <m/>
    <m/>
    <m/>
    <n v="0"/>
    <n v="7.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2 CO-SCR Duct"/>
    <x v="0"/>
    <x v="0"/>
    <m/>
    <d v="2026-07-01T00:00:00"/>
    <s v="HRSG"/>
    <s v="HSG14"/>
    <s v="S3"/>
    <s v="V17566-DWXD-7584"/>
    <s v="CO-FL-53"/>
    <s v="FIELD LINER "/>
    <n v="1"/>
    <n v="6.2"/>
    <n v="6.2"/>
    <s v="(1219x192x192) "/>
    <m/>
    <s v="V17566-DWND-0052"/>
    <m/>
    <m/>
    <m/>
    <m/>
    <m/>
    <m/>
    <m/>
    <m/>
    <m/>
    <m/>
    <m/>
    <n v="0"/>
    <n v="6.2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2 CO-SCR Duct"/>
    <x v="0"/>
    <x v="0"/>
    <m/>
    <d v="2026-07-01T00:00:00"/>
    <s v="HRSG"/>
    <s v="HSG14"/>
    <s v="S3"/>
    <s v="V17566-DWXD-7585"/>
    <s v="CO-FL-54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2 CO-SCR Duct"/>
    <x v="0"/>
    <x v="0"/>
    <m/>
    <d v="2026-07-01T00:00:00"/>
    <s v="HRSG"/>
    <s v="HSG14"/>
    <s v="S3"/>
    <s v="V17566-DWXD-7586"/>
    <s v="CO-FL-55"/>
    <s v="FIELD LINER "/>
    <n v="2"/>
    <n v="3.6"/>
    <n v="7.2"/>
    <s v="(600x192x192) "/>
    <m/>
    <s v="V17566-DWND-0052"/>
    <m/>
    <m/>
    <m/>
    <m/>
    <m/>
    <m/>
    <m/>
    <m/>
    <m/>
    <m/>
    <m/>
    <n v="0"/>
    <n v="7.2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2 CO-SCR Duct"/>
    <x v="0"/>
    <x v="0"/>
    <m/>
    <d v="2026-07-01T00:00:00"/>
    <s v="HRSG"/>
    <s v="HSG14"/>
    <s v="S3"/>
    <s v="V17566-DWXD-7587"/>
    <s v="CO-FL-56"/>
    <s v="FIELD LINER "/>
    <n v="1"/>
    <n v="3.6"/>
    <n v="3.6"/>
    <s v="(600x192x192) "/>
    <m/>
    <s v="V17566-DWND-0052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2 CO-SCR Duct"/>
    <x v="0"/>
    <x v="0"/>
    <m/>
    <d v="2026-07-01T00:00:00"/>
    <s v="HRSG"/>
    <s v="HSG14"/>
    <s v="S3"/>
    <s v="V17566-DWXD-7481"/>
    <s v="CO-PL-1"/>
    <s v="FIELD PLATE "/>
    <n v="6"/>
    <n v="4.9999999999999996E-2"/>
    <n v="0.3"/>
    <s v="(51x6x19) "/>
    <m/>
    <s v="V17566-DWND-0072"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2 CO-SCR Duct"/>
    <x v="0"/>
    <x v="0"/>
    <m/>
    <d v="2026-07-01T00:00:00"/>
    <s v="HRSG"/>
    <s v="HSG14"/>
    <s v="S3"/>
    <s v="V17566-DWXD-7482"/>
    <s v="CO-PL-2"/>
    <s v="FIELD COVER RING "/>
    <n v="4"/>
    <n v="0.45"/>
    <n v="1.8"/>
    <s v="(191x3x191) "/>
    <m/>
    <s v="V17566-DWND-0073"/>
    <m/>
    <m/>
    <m/>
    <m/>
    <m/>
    <m/>
    <m/>
    <m/>
    <m/>
    <m/>
    <m/>
    <n v="0"/>
    <n v="1.8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2 CO-SCR Duct"/>
    <x v="0"/>
    <x v="0"/>
    <m/>
    <d v="2026-07-01T00:00:00"/>
    <s v="HRSG"/>
    <s v="HSG14"/>
    <s v="S3"/>
    <s v="V17566-DWXD-7483"/>
    <s v="CO-PL-3"/>
    <s v="FIELD PLATE "/>
    <n v="14"/>
    <n v="2.5071428571428571"/>
    <n v="35.1"/>
    <s v="(152x10x210) "/>
    <m/>
    <s v="V17566-DWND-0073"/>
    <m/>
    <m/>
    <m/>
    <m/>
    <m/>
    <m/>
    <m/>
    <m/>
    <m/>
    <m/>
    <m/>
    <n v="0"/>
    <n v="35.1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2 CO-SCR Duct"/>
    <x v="0"/>
    <x v="0"/>
    <m/>
    <d v="2026-07-01T00:00:00"/>
    <s v="HRSG"/>
    <s v="HSG14"/>
    <s v="S3"/>
    <s v="V17566-DWXD-7484"/>
    <s v="CO-PL-4"/>
    <s v="FIELD PLATE "/>
    <n v="21"/>
    <n v="0.74285714285714288"/>
    <n v="15.6"/>
    <s v="(75x6x210) "/>
    <m/>
    <s v="V17566-DWND-0073"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2 CO-SCR Duct"/>
    <x v="0"/>
    <x v="0"/>
    <m/>
    <d v="2026-07-01T00:00:00"/>
    <s v="HRSG"/>
    <s v="HSG14"/>
    <s v="S3"/>
    <s v="V17566-DWXD-7485"/>
    <s v="CO-PL-5"/>
    <s v="FIELD PLATE "/>
    <n v="74"/>
    <n v="1.1054054054054054"/>
    <n v="81.8"/>
    <s v="(64x10x220) "/>
    <m/>
    <s v="V17566-DWND-0073"/>
    <m/>
    <m/>
    <m/>
    <m/>
    <m/>
    <m/>
    <m/>
    <m/>
    <m/>
    <m/>
    <m/>
    <n v="0"/>
    <n v="81.8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2 CO-SCR Duct"/>
    <x v="0"/>
    <x v="0"/>
    <m/>
    <d v="2026-07-01T00:00:00"/>
    <s v="HRSG"/>
    <s v="HSG14"/>
    <s v="S3"/>
    <s v="V17566-DWXD-7486"/>
    <s v="CO-PL-6"/>
    <s v="FIELD PLATE "/>
    <n v="2"/>
    <n v="20.3"/>
    <n v="40.6"/>
    <s v="(718x12x330) "/>
    <m/>
    <s v="V17566-DWND-0073"/>
    <m/>
    <m/>
    <m/>
    <m/>
    <m/>
    <m/>
    <m/>
    <m/>
    <m/>
    <m/>
    <m/>
    <n v="0"/>
    <n v="40.6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2 CO-SCR Duct"/>
    <x v="0"/>
    <x v="0"/>
    <m/>
    <d v="2026-07-01T00:00:00"/>
    <s v="HRSG"/>
    <s v="HSG14"/>
    <s v="S3"/>
    <s v="V17566-DWXD-7487"/>
    <s v="CO-PL-7"/>
    <s v="FIELD COVER PLATE"/>
    <n v="2"/>
    <n v="0.5"/>
    <n v="1"/>
    <s v="(214x2x178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2 CO-SCR Duct"/>
    <x v="0"/>
    <x v="0"/>
    <m/>
    <d v="2026-07-01T00:00:00"/>
    <s v="HRSG"/>
    <s v="HSG14"/>
    <s v="S3"/>
    <s v="V17566-DWXD-7488"/>
    <s v="CO-PL-8"/>
    <s v="FIELD COVER PLATE"/>
    <n v="2"/>
    <n v="0.5"/>
    <n v="1"/>
    <s v="(178x2x195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2 CO-SCR Duct"/>
    <x v="0"/>
    <x v="0"/>
    <m/>
    <d v="2026-07-01T00:00:00"/>
    <s v="HRSG"/>
    <s v="HSG14"/>
    <s v="S3"/>
    <s v="V17566-DWXD-7489"/>
    <s v="CO-PL-9"/>
    <s v="FIELD PLATE "/>
    <n v="2"/>
    <n v="0.1"/>
    <n v="0.2"/>
    <s v="(51x6x50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2 CO-SCR Duct"/>
    <x v="0"/>
    <x v="0"/>
    <m/>
    <d v="2026-07-01T00:00:00"/>
    <s v="HRSG"/>
    <s v="HSG14"/>
    <s v="S3"/>
    <s v="V17566-DWXD-7490"/>
    <s v="CO-PL-10"/>
    <s v="FIELD COVER RING "/>
    <n v="5"/>
    <n v="0.45999999999999996"/>
    <n v="2.2999999999999998"/>
    <s v="(191x3x191) "/>
    <m/>
    <s v="V17566-DWND-0073"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2 CO-SCR Duct"/>
    <x v="0"/>
    <x v="0"/>
    <m/>
    <d v="2026-07-01T00:00:00"/>
    <s v="HRSG"/>
    <s v="HSG14"/>
    <s v="S3"/>
    <s v="V17566-DWXD-7491"/>
    <s v="CO-PL-11"/>
    <s v="FIELD COVER RING "/>
    <n v="1"/>
    <n v="0.5"/>
    <n v="0.5"/>
    <s v="(191x3x191) "/>
    <m/>
    <s v="V17566-DWND-0073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2 CO-SCR Duct"/>
    <x v="0"/>
    <x v="0"/>
    <m/>
    <d v="2026-07-01T00:00:00"/>
    <s v="HRSG"/>
    <s v="HSG14"/>
    <s v="S3"/>
    <s v="V17566-DWXD-7492"/>
    <s v="CO-PL-12"/>
    <s v="FIELD COVER PLATE "/>
    <n v="4"/>
    <n v="0.52500000000000002"/>
    <n v="2.1"/>
    <s v="(157x2x350) "/>
    <m/>
    <s v="V17566-DWND-0073"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2 CO-SCR Duct"/>
    <x v="0"/>
    <x v="0"/>
    <m/>
    <d v="2026-07-01T00:00:00"/>
    <s v="HRSG"/>
    <s v="HSG14"/>
    <s v="S3"/>
    <s v="V17566-DWXD-7493"/>
    <s v="CO-PL-13"/>
    <s v="FIELD COVER PLATE "/>
    <n v="8"/>
    <n v="0.4"/>
    <n v="3.2"/>
    <s v="(132x2x276) "/>
    <m/>
    <s v="V17566-DWND-0073"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2 CO-SCR Duct"/>
    <x v="0"/>
    <x v="0"/>
    <m/>
    <d v="2026-07-01T00:00:00"/>
    <s v="HRSG"/>
    <s v="HSG14"/>
    <s v="S3"/>
    <s v="V17566-DWXD-7494"/>
    <s v="CO-PL-14"/>
    <s v="FIELD COVER PLATE "/>
    <n v="8"/>
    <n v="0.51249999999999996"/>
    <n v="4.0999999999999996"/>
    <s v="(214x2x178) "/>
    <m/>
    <s v="V17566-DWND-0073"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2 CO-SCR Duct"/>
    <x v="0"/>
    <x v="0"/>
    <m/>
    <d v="2026-07-01T00:00:00"/>
    <s v="HRSG"/>
    <s v="HSG14"/>
    <s v="S3"/>
    <s v="V17566-DWXD-7495"/>
    <s v="CO-PL-15"/>
    <s v="FIELD COVER PLATE "/>
    <n v="4"/>
    <n v="0.72499999999999998"/>
    <n v="2.9"/>
    <s v="(527x2x15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2 CO-SCR Duct"/>
    <x v="0"/>
    <x v="0"/>
    <m/>
    <d v="2026-07-01T00:00:00"/>
    <s v="HRSG"/>
    <s v="HSG14"/>
    <s v="S3"/>
    <s v="V17566-DWXD-0323"/>
    <s v="CO-PL-16"/>
    <s v="FIELD COVER PLATE "/>
    <n v="4"/>
    <n v="0.72499999999999998"/>
    <n v="2.9"/>
    <s v="(157x2x527) "/>
    <m/>
    <s v="V17566-DWND-0073"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2 CO-SCR Duct"/>
    <x v="0"/>
    <x v="0"/>
    <m/>
    <d v="2026-07-01T00:00:00"/>
    <s v="HRSG"/>
    <s v="HSG14"/>
    <s v="S3"/>
    <s v="V17566-DWXD-7497"/>
    <s v="CO-PL-17"/>
    <s v="FIELD COVER PLATE "/>
    <n v="8"/>
    <n v="0.48749999999999999"/>
    <n v="3.9"/>
    <s v="(178x2x195) "/>
    <m/>
    <s v="V17566-DWND-0073"/>
    <m/>
    <m/>
    <m/>
    <m/>
    <m/>
    <m/>
    <m/>
    <m/>
    <m/>
    <m/>
    <m/>
    <n v="0"/>
    <n v="3.9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2 CO-SCR Duct"/>
    <x v="0"/>
    <x v="0"/>
    <m/>
    <d v="2026-07-01T00:00:00"/>
    <s v="HRSG"/>
    <s v="HSG14"/>
    <s v="S3"/>
    <s v="V17566-DWXD-7498"/>
    <s v="CO-PL-18"/>
    <s v="FIELD COVER RING "/>
    <n v="4"/>
    <n v="0.22500000000000001"/>
    <n v="0.9"/>
    <s v="(161x2x161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2 CO-SCR Duct"/>
    <x v="0"/>
    <x v="0"/>
    <m/>
    <d v="2026-07-01T00:00:00"/>
    <s v="HRSG"/>
    <s v="HSG14"/>
    <s v="S3"/>
    <s v="V17566-DWXD-7591"/>
    <s v="CO-PL-19"/>
    <s v="FIELD COVER PLATE "/>
    <n v="2"/>
    <n v="0.5"/>
    <n v="1"/>
    <s v="(384x2x104) "/>
    <m/>
    <s v="V17566-DWND-0073"/>
    <m/>
    <m/>
    <m/>
    <m/>
    <m/>
    <m/>
    <m/>
    <m/>
    <m/>
    <m/>
    <m/>
    <n v="0"/>
    <n v="1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2 CO-SCR Duct"/>
    <x v="0"/>
    <x v="0"/>
    <m/>
    <d v="2026-07-01T00:00:00"/>
    <s v="HRSG"/>
    <s v="HSG14"/>
    <s v="S3"/>
    <s v="V17566-DWXD-7499"/>
    <s v="CO-RC-1"/>
    <s v="FIELD RETAINER CLIP "/>
    <n v="10"/>
    <n v="0.11000000000000001"/>
    <n v="1.1000000000000001"/>
    <s v="(51x5x102) "/>
    <m/>
    <s v="V17566-DWND-0073"/>
    <m/>
    <m/>
    <m/>
    <m/>
    <m/>
    <m/>
    <m/>
    <m/>
    <m/>
    <m/>
    <m/>
    <n v="0"/>
    <n v="1.1000000000000001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2 CO-SCR Duct"/>
    <x v="0"/>
    <x v="0"/>
    <m/>
    <d v="2026-07-01T00:00:00"/>
    <s v="HRSG"/>
    <s v="HSG14"/>
    <s v="S3"/>
    <s v="V17566-DWXD-7500"/>
    <s v="CO-RC-2"/>
    <s v="FIELD RETAINER CLIP "/>
    <n v="2"/>
    <n v="0.1"/>
    <n v="0.2"/>
    <s v="(51x5x102) "/>
    <m/>
    <s v="V17566-DWND-0073"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2 CO-SCR Duct"/>
    <x v="0"/>
    <x v="0"/>
    <m/>
    <d v="2026-07-01T00:00:00"/>
    <s v="HRSG"/>
    <s v="HSG14"/>
    <s v="S3"/>
    <s v="V17566-DWXD-7503"/>
    <s v="CO-RC-3"/>
    <s v="FIELD RETAINER CLIP "/>
    <n v="8"/>
    <n v="0.1125"/>
    <n v="0.9"/>
    <s v="(51x5x102) "/>
    <m/>
    <s v="V17566-DWND-0073"/>
    <m/>
    <m/>
    <m/>
    <m/>
    <m/>
    <m/>
    <m/>
    <m/>
    <m/>
    <m/>
    <m/>
    <n v="0"/>
    <n v="0.9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2 CO-SCR Duct"/>
    <x v="0"/>
    <x v="0"/>
    <m/>
    <d v="2026-07-01T00:00:00"/>
    <s v="HRSG"/>
    <s v="HSG14"/>
    <s v="S3"/>
    <s v="V17566-DWXD-7501"/>
    <s v="CO-SP-4"/>
    <s v="SUPPORT CHANNEL "/>
    <n v="4"/>
    <n v="31.9"/>
    <n v="127.6"/>
    <s v="(951x90x200) "/>
    <m/>
    <s v="V17566-DWND-0073"/>
    <m/>
    <m/>
    <m/>
    <m/>
    <m/>
    <m/>
    <m/>
    <m/>
    <m/>
    <m/>
    <m/>
    <n v="0"/>
    <n v="127.6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2 CO-SCR Duct"/>
    <x v="0"/>
    <x v="0"/>
    <m/>
    <d v="2026-07-01T00:00:00"/>
    <s v="HRSG"/>
    <s v="HSG01"/>
    <s v="S3"/>
    <s v="V17566-DWXD-7401"/>
    <s v="COB-1"/>
    <s v="BOTTOM PANEL "/>
    <n v="1"/>
    <n v="12022.800000000003"/>
    <n v="12022.800000000003"/>
    <s v="(1671x3448x9823) "/>
    <m/>
    <s v="V17566-DWND-0070"/>
    <m/>
    <m/>
    <m/>
    <m/>
    <m/>
    <m/>
    <m/>
    <m/>
    <m/>
    <m/>
    <m/>
    <n v="10820.520000000004"/>
    <n v="1202.2799999999988"/>
    <m/>
    <m/>
    <n v="0"/>
    <d v="2026-08-15T00:00:00"/>
    <n v="1"/>
    <n v="12022.800000000003"/>
    <d v="2026-08-21T00:00:00"/>
    <n v="1"/>
    <n v="12022.800000000003"/>
    <m/>
    <m/>
    <n v="0"/>
    <m/>
    <m/>
    <m/>
    <n v="0"/>
    <m/>
    <m/>
    <n v="0"/>
    <s v="PAC"/>
    <m/>
  </r>
  <r>
    <n v="81"/>
    <x v="0"/>
    <s v="Shipment 2 CO-SCR Duct"/>
    <x v="0"/>
    <x v="0"/>
    <m/>
    <d v="2026-07-01T00:00:00"/>
    <s v="HRSG"/>
    <s v="HSG01"/>
    <s v="S3"/>
    <s v="V17566-DWXD-7423"/>
    <s v="COB-2"/>
    <s v="BOTTOM PANEL "/>
    <n v="1"/>
    <n v="1189.2999999999997"/>
    <n v="1189.2999999999997"/>
    <s v="(796x1262x9785) "/>
    <m/>
    <s v="V17566-DWND-0070"/>
    <m/>
    <m/>
    <m/>
    <m/>
    <m/>
    <m/>
    <m/>
    <m/>
    <m/>
    <m/>
    <m/>
    <n v="1070.3699999999999"/>
    <n v="118.92999999999984"/>
    <m/>
    <m/>
    <n v="0"/>
    <d v="2026-08-17T00:00:00"/>
    <n v="1"/>
    <n v="1189.2999999999997"/>
    <d v="2026-08-20T00:00:00"/>
    <n v="1"/>
    <n v="1189.2999999999997"/>
    <m/>
    <m/>
    <n v="0"/>
    <m/>
    <m/>
    <m/>
    <n v="0"/>
    <m/>
    <m/>
    <n v="0"/>
    <s v="PAC"/>
    <m/>
  </r>
  <r>
    <n v="82"/>
    <x v="0"/>
    <s v="Shipment 2 CO-SCR Duct"/>
    <x v="0"/>
    <x v="0"/>
    <m/>
    <d v="2026-07-01T00:00:00"/>
    <s v="HRSG"/>
    <s v="HSG01"/>
    <s v="S3"/>
    <s v="V17566-DWXD-7427"/>
    <s v="COB-3"/>
    <s v="BOTTOM PANEL "/>
    <n v="1"/>
    <n v="3279.5"/>
    <n v="3279.5"/>
    <s v="(565x2786x9785) "/>
    <m/>
    <s v="V17566-DWND-0070"/>
    <m/>
    <m/>
    <m/>
    <m/>
    <m/>
    <m/>
    <m/>
    <m/>
    <m/>
    <m/>
    <m/>
    <n v="2951.55"/>
    <n v="327.94999999999982"/>
    <m/>
    <m/>
    <n v="0"/>
    <d v="2026-08-14T00:00:00"/>
    <n v="1"/>
    <n v="3279.5"/>
    <d v="2026-08-19T00:00:00"/>
    <n v="1"/>
    <n v="3279.5"/>
    <m/>
    <m/>
    <n v="0"/>
    <m/>
    <m/>
    <m/>
    <n v="0"/>
    <m/>
    <m/>
    <n v="0"/>
    <s v="PAC"/>
    <m/>
  </r>
  <r>
    <n v="83"/>
    <x v="0"/>
    <s v="Shipment 2 CO-SCR Duct"/>
    <x v="0"/>
    <x v="0"/>
    <m/>
    <d v="2026-07-01T00:00:00"/>
    <s v="HRSG"/>
    <s v="HSG01"/>
    <s v="S1"/>
    <s v="V17566-DWXD-7431"/>
    <s v="COL-1"/>
    <s v="LEFT PANEL "/>
    <n v="1"/>
    <n v="4245.5"/>
    <n v="4245.5"/>
    <s v="(568x2786x12332) "/>
    <m/>
    <s v="V17566-DWND-0070"/>
    <m/>
    <m/>
    <m/>
    <m/>
    <m/>
    <m/>
    <m/>
    <m/>
    <m/>
    <m/>
    <m/>
    <n v="3820.95"/>
    <n v="424.55000000000018"/>
    <m/>
    <m/>
    <n v="0"/>
    <d v="2026-07-29T00:00:00"/>
    <n v="1"/>
    <n v="4245.5"/>
    <d v="2026-08-06T00:00:00"/>
    <n v="1"/>
    <n v="4245.5"/>
    <m/>
    <m/>
    <n v="0"/>
    <m/>
    <m/>
    <m/>
    <n v="0"/>
    <m/>
    <m/>
    <n v="0"/>
    <s v="PAC"/>
    <m/>
  </r>
  <r>
    <n v="84"/>
    <x v="0"/>
    <s v="Shipment 2 CO-SCR Duct"/>
    <x v="0"/>
    <x v="0"/>
    <m/>
    <d v="2026-07-01T00:00:00"/>
    <s v="HRSG"/>
    <s v="HSG01"/>
    <s v="S1"/>
    <s v="V17566-DRXD-7055"/>
    <s v="DR070L-COL-1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85"/>
    <x v="0"/>
    <s v="Shipment 2 CO-SCR Duct"/>
    <x v="0"/>
    <x v="0"/>
    <m/>
    <d v="2026-07-01T00:00:00"/>
    <s v="HRSG"/>
    <s v="HSG01"/>
    <s v="S1"/>
    <s v="V17566-DWXD-7436"/>
    <s v="COL-2"/>
    <s v="LEFT PANEL "/>
    <n v="1"/>
    <n v="4184.0999999999995"/>
    <n v="4184.0999999999995"/>
    <s v="(530x2786x12325) "/>
    <m/>
    <s v="V17566-DWND-0070"/>
    <m/>
    <m/>
    <m/>
    <m/>
    <m/>
    <m/>
    <m/>
    <m/>
    <m/>
    <m/>
    <m/>
    <n v="3765.6899999999996"/>
    <n v="418.40999999999985"/>
    <m/>
    <m/>
    <n v="0"/>
    <d v="2026-08-17T00:00:00"/>
    <n v="1"/>
    <n v="4184.0999999999995"/>
    <d v="2026-08-19T00:00:00"/>
    <n v="1"/>
    <n v="4184.0999999999995"/>
    <m/>
    <m/>
    <n v="0"/>
    <m/>
    <m/>
    <m/>
    <n v="0"/>
    <m/>
    <m/>
    <n v="0"/>
    <s v="PAC"/>
    <m/>
  </r>
  <r>
    <n v="86"/>
    <x v="0"/>
    <s v="Shipment 2 CO-SCR Duct"/>
    <x v="0"/>
    <x v="0"/>
    <m/>
    <d v="2026-07-01T00:00:00"/>
    <s v="HRSG"/>
    <s v="HSG01"/>
    <s v="S3"/>
    <s v="V17566-DWXD-7405"/>
    <s v="COL-5"/>
    <s v="LEFT PANEL "/>
    <n v="1"/>
    <n v="33890.699999999997"/>
    <n v="33890.699999999997"/>
    <s v="(1189x3548x33567) "/>
    <m/>
    <s v="V17566-DWND-0070"/>
    <m/>
    <m/>
    <m/>
    <m/>
    <m/>
    <m/>
    <m/>
    <m/>
    <m/>
    <m/>
    <m/>
    <n v="30501.629999999997"/>
    <n v="3389.0699999999997"/>
    <m/>
    <m/>
    <n v="0"/>
    <d v="2026-08-18T00:00:00"/>
    <n v="1"/>
    <n v="33890.699999999997"/>
    <d v="2026-08-26T00:00:00"/>
    <n v="1"/>
    <n v="33890.699999999997"/>
    <m/>
    <m/>
    <n v="0"/>
    <m/>
    <m/>
    <m/>
    <n v="0"/>
    <m/>
    <m/>
    <n v="0"/>
    <s v="PAC"/>
    <m/>
  </r>
  <r>
    <n v="87"/>
    <x v="0"/>
    <s v="Shipment 2 CO-SCR Duct"/>
    <x v="0"/>
    <x v="0"/>
    <m/>
    <d v="2026-07-01T00:00:00"/>
    <s v="HRSG"/>
    <s v="HSG01"/>
    <s v="S1"/>
    <s v="V17566-DRXD-7055"/>
    <s v="DR070L-COL-5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88"/>
    <x v="0"/>
    <s v="Shipment 2 CO-SCR Duct"/>
    <x v="0"/>
    <x v="0"/>
    <m/>
    <d v="2026-07-01T00:00:00"/>
    <s v="HRSG"/>
    <s v="HSG01"/>
    <s v="S1"/>
    <s v="V17566-DWXD-7441"/>
    <s v="COL-7"/>
    <s v="LEFT PANEL "/>
    <n v="1"/>
    <n v="1802.0999999999997"/>
    <n v="1802.0999999999997"/>
    <s v="(1262x549x12386) "/>
    <m/>
    <s v="V17566-DWND-0070"/>
    <m/>
    <m/>
    <m/>
    <m/>
    <m/>
    <m/>
    <m/>
    <m/>
    <m/>
    <m/>
    <m/>
    <n v="1621.8899999999999"/>
    <n v="180.20999999999981"/>
    <m/>
    <m/>
    <n v="0"/>
    <d v="2026-07-23T00:00:00"/>
    <n v="1"/>
    <n v="1802.0999999999997"/>
    <d v="2026-08-04T00:00:00"/>
    <n v="1"/>
    <n v="1802.0999999999997"/>
    <m/>
    <m/>
    <n v="0"/>
    <m/>
    <m/>
    <m/>
    <n v="0"/>
    <m/>
    <m/>
    <n v="0"/>
    <s v="PAC"/>
    <m/>
  </r>
  <r>
    <n v="89"/>
    <x v="0"/>
    <s v="Shipment 2 CO-SCR Duct"/>
    <x v="0"/>
    <x v="0"/>
    <m/>
    <d v="2026-07-01T00:00:00"/>
    <s v="HRSG"/>
    <s v="HSG01"/>
    <s v="S1"/>
    <s v="V17566-DRXD-7055"/>
    <s v="DR070L-COL-7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0"/>
    <x v="0"/>
    <s v="Shipment 2 CO-SCR Duct"/>
    <x v="0"/>
    <x v="0"/>
    <m/>
    <d v="2026-07-01T00:00:00"/>
    <s v="HRSG"/>
    <s v="HSG01"/>
    <s v="S1"/>
    <s v="V17566-DWXD-7445"/>
    <s v="COL-8"/>
    <s v="LEFT PANEL "/>
    <n v="1"/>
    <n v="1735.8000000000002"/>
    <n v="1735.8000000000002"/>
    <s v="(1262x412x12259) "/>
    <m/>
    <s v="V17566-DWND-0070"/>
    <m/>
    <m/>
    <m/>
    <m/>
    <m/>
    <m/>
    <m/>
    <m/>
    <m/>
    <m/>
    <m/>
    <n v="1562.2200000000003"/>
    <n v="173.57999999999993"/>
    <m/>
    <m/>
    <n v="0"/>
    <d v="2026-07-29T00:00:00"/>
    <n v="1"/>
    <n v="1735.8000000000002"/>
    <d v="2026-08-09T00:00:00"/>
    <n v="1"/>
    <n v="1735.8000000000002"/>
    <m/>
    <m/>
    <n v="0"/>
    <m/>
    <m/>
    <m/>
    <n v="0"/>
    <m/>
    <m/>
    <n v="0"/>
    <s v="PAC"/>
    <m/>
  </r>
  <r>
    <n v="91"/>
    <x v="0"/>
    <s v="Shipment 2 CO-SCR Duct"/>
    <x v="0"/>
    <x v="0"/>
    <m/>
    <d v="2026-07-01T00:00:00"/>
    <s v="HRSG"/>
    <s v="HSG01"/>
    <s v="S1"/>
    <s v="V17566-DWXD-7449"/>
    <s v="COR-1"/>
    <s v="RIGHT PANEL "/>
    <n v="1"/>
    <n v="4245.4999999999991"/>
    <n v="4245.4999999999991"/>
    <s v="(568x2786x12332) "/>
    <m/>
    <s v="V17566-DWND-0070"/>
    <m/>
    <m/>
    <m/>
    <m/>
    <m/>
    <m/>
    <m/>
    <m/>
    <m/>
    <m/>
    <m/>
    <n v="3820.9499999999994"/>
    <n v="424.54999999999973"/>
    <m/>
    <m/>
    <n v="0"/>
    <d v="2026-06-30T00:00:00"/>
    <n v="1"/>
    <n v="4245.4999999999991"/>
    <d v="2026-07-03T00:00:00"/>
    <n v="1"/>
    <n v="4245.4999999999991"/>
    <m/>
    <m/>
    <n v="0"/>
    <m/>
    <m/>
    <m/>
    <n v="0"/>
    <m/>
    <m/>
    <n v="0"/>
    <s v="PAC"/>
    <m/>
  </r>
  <r>
    <n v="92"/>
    <x v="0"/>
    <s v="Shipment 2 CO-SCR Duct"/>
    <x v="0"/>
    <x v="0"/>
    <m/>
    <d v="2026-07-01T00:00:00"/>
    <s v="HRSG"/>
    <s v="HSG01"/>
    <s v="S1"/>
    <s v="V17566-DRXD-7055"/>
    <s v="DR070R-COR-1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3"/>
    <x v="0"/>
    <s v="Shipment 2 CO-SCR Duct"/>
    <x v="0"/>
    <x v="0"/>
    <m/>
    <d v="2026-07-01T00:00:00"/>
    <s v="HRSG"/>
    <s v="HSG01"/>
    <s v="S1"/>
    <s v="V17566-DWXD-7454"/>
    <s v="COR-2"/>
    <s v="RIGHT PANEL "/>
    <n v="1"/>
    <n v="4182.9999999999991"/>
    <n v="4182.9999999999991"/>
    <s v="(530x2786x12325) "/>
    <m/>
    <s v="V17566-DWND-0070"/>
    <m/>
    <m/>
    <m/>
    <m/>
    <m/>
    <m/>
    <m/>
    <m/>
    <m/>
    <m/>
    <m/>
    <n v="3764.6999999999994"/>
    <n v="418.29999999999973"/>
    <m/>
    <m/>
    <n v="0"/>
    <d v="2026-06-30T00:00:00"/>
    <n v="1"/>
    <n v="4182.9999999999991"/>
    <d v="2026-07-09T00:00:00"/>
    <n v="1"/>
    <n v="4182.9999999999991"/>
    <m/>
    <m/>
    <n v="0"/>
    <m/>
    <m/>
    <m/>
    <n v="0"/>
    <m/>
    <m/>
    <n v="0"/>
    <s v="PAC"/>
    <m/>
  </r>
  <r>
    <n v="94"/>
    <x v="0"/>
    <s v="Shipment 2 CO-SCR Duct"/>
    <x v="0"/>
    <x v="0"/>
    <m/>
    <d v="2026-07-01T00:00:00"/>
    <s v="HRSG"/>
    <s v="HSG01"/>
    <s v="S1"/>
    <s v="V17566-DWXD-7408"/>
    <s v="COR-3"/>
    <s v="RIGHT PANEL "/>
    <n v="1"/>
    <n v="33888.5"/>
    <n v="33888.5"/>
    <s v="(1189x3548x33567) "/>
    <m/>
    <s v="V17566-DWND-0070"/>
    <m/>
    <m/>
    <m/>
    <m/>
    <m/>
    <m/>
    <m/>
    <m/>
    <m/>
    <m/>
    <m/>
    <n v="30499.65"/>
    <n v="3388.8499999999985"/>
    <m/>
    <m/>
    <n v="0"/>
    <d v="2026-07-22T00:00:00"/>
    <n v="1"/>
    <n v="33888.5"/>
    <d v="2026-07-27T00:00:00"/>
    <n v="1"/>
    <n v="33888.5"/>
    <m/>
    <m/>
    <n v="0"/>
    <m/>
    <m/>
    <m/>
    <n v="0"/>
    <m/>
    <m/>
    <n v="0"/>
    <s v="PAC"/>
    <m/>
  </r>
  <r>
    <n v="95"/>
    <x v="0"/>
    <s v="Shipment 2 CO-SCR Duct"/>
    <x v="0"/>
    <x v="0"/>
    <m/>
    <d v="2026-07-01T00:00:00"/>
    <s v="HRSG"/>
    <s v="HSG01"/>
    <s v="S1"/>
    <s v="V17566-DRXD-7055"/>
    <s v="DR070R-COR-3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6"/>
    <x v="0"/>
    <s v="Shipment 2 CO-SCR Duct"/>
    <x v="0"/>
    <x v="0"/>
    <m/>
    <d v="2026-07-01T00:00:00"/>
    <s v="HRSG"/>
    <s v="HSG01"/>
    <s v="S1"/>
    <s v="V17566-DWXD-7459"/>
    <s v="COR-4"/>
    <s v="RIGHT PANEL "/>
    <n v="1"/>
    <n v="1800.9999999999998"/>
    <n v="1800.9999999999998"/>
    <s v="(1262x543x12386) "/>
    <m/>
    <s v="V17566-DWND-0070"/>
    <m/>
    <m/>
    <m/>
    <m/>
    <m/>
    <m/>
    <m/>
    <m/>
    <m/>
    <m/>
    <m/>
    <n v="1620.8999999999999"/>
    <n v="180.09999999999991"/>
    <m/>
    <m/>
    <n v="0"/>
    <d v="2026-07-22T00:00:00"/>
    <n v="1"/>
    <n v="1800.9999999999998"/>
    <d v="2026-07-23T00:00:00"/>
    <n v="1"/>
    <n v="1800.9999999999998"/>
    <m/>
    <m/>
    <n v="0"/>
    <m/>
    <m/>
    <m/>
    <n v="0"/>
    <m/>
    <m/>
    <n v="0"/>
    <s v="PAC"/>
    <m/>
  </r>
  <r>
    <n v="97"/>
    <x v="0"/>
    <s v="Shipment 2 CO-SCR Duct"/>
    <x v="0"/>
    <x v="0"/>
    <m/>
    <d v="2026-07-01T00:00:00"/>
    <s v="HRSG"/>
    <s v="HSG01"/>
    <s v="S1"/>
    <s v="V17566-DRXD-7055"/>
    <s v="DR070R-COR-4"/>
    <m/>
    <n v="1"/>
    <n v="272.3"/>
    <n v="272.3"/>
    <s v="(251x1197x1841)"/>
    <m/>
    <s v="V17566-DRND-0023"/>
    <m/>
    <m/>
    <m/>
    <m/>
    <m/>
    <m/>
    <m/>
    <m/>
    <m/>
    <m/>
    <m/>
    <n v="245.07000000000002"/>
    <n v="27.22999999999999"/>
    <m/>
    <m/>
    <n v="0"/>
    <d v="2026-09-21T00:00:00"/>
    <n v="1"/>
    <n v="272.3"/>
    <d v="2026-09-28T00:00:00"/>
    <n v="1"/>
    <n v="272.3"/>
    <m/>
    <m/>
    <n v="0"/>
    <m/>
    <m/>
    <m/>
    <n v="0"/>
    <m/>
    <m/>
    <n v="0"/>
    <s v="PAC"/>
    <m/>
  </r>
  <r>
    <n v="98"/>
    <x v="0"/>
    <s v="Shipment 2 CO-SCR Duct"/>
    <x v="0"/>
    <x v="0"/>
    <m/>
    <d v="2026-07-01T00:00:00"/>
    <s v="HRSG"/>
    <s v="HSG01"/>
    <s v="S1"/>
    <s v="V17566-DWXD-7463"/>
    <s v="COR-5"/>
    <s v="RIGHT PANEL "/>
    <n v="1"/>
    <n v="1734.6999999999998"/>
    <n v="1734.6999999999998"/>
    <s v="(1262x406x12259) "/>
    <m/>
    <s v="V17566-DWND-0070"/>
    <m/>
    <m/>
    <m/>
    <m/>
    <m/>
    <m/>
    <m/>
    <m/>
    <m/>
    <m/>
    <m/>
    <n v="1561.23"/>
    <n v="173.4699999999998"/>
    <m/>
    <m/>
    <n v="0"/>
    <d v="2026-06-30T00:00:00"/>
    <n v="1"/>
    <n v="1734.6999999999998"/>
    <d v="2026-07-23T00:00:00"/>
    <n v="1"/>
    <n v="1734.6999999999998"/>
    <m/>
    <m/>
    <n v="0"/>
    <m/>
    <m/>
    <m/>
    <n v="0"/>
    <m/>
    <m/>
    <n v="0"/>
    <s v="PAC"/>
    <m/>
  </r>
  <r>
    <n v="99"/>
    <x v="0"/>
    <s v="Shipment 2 CO-SCR Duct"/>
    <x v="0"/>
    <x v="0"/>
    <m/>
    <d v="2026-07-01T00:00:00"/>
    <s v="HRSG"/>
    <s v="HSG01"/>
    <s v="S2"/>
    <s v="V17566-DWXD-7467"/>
    <s v="COT-1"/>
    <s v="TOP PANEL "/>
    <n v="1"/>
    <n v="2290.4"/>
    <n v="2290.4"/>
    <s v="(582x2786x9785) "/>
    <m/>
    <s v="V17566-DWND-0070"/>
    <m/>
    <m/>
    <m/>
    <m/>
    <m/>
    <m/>
    <m/>
    <m/>
    <m/>
    <m/>
    <m/>
    <n v="2061.36"/>
    <n v="229.03999999999996"/>
    <m/>
    <m/>
    <n v="0"/>
    <d v="2026-09-19T00:00:00"/>
    <n v="1"/>
    <n v="2290.4"/>
    <d v="2026-09-21T00:00:00"/>
    <n v="1"/>
    <n v="2290.4"/>
    <m/>
    <m/>
    <n v="0"/>
    <m/>
    <m/>
    <m/>
    <n v="0"/>
    <m/>
    <m/>
    <n v="0"/>
    <s v="PAC"/>
    <m/>
  </r>
  <r>
    <n v="100"/>
    <x v="0"/>
    <s v="Shipment 2 CO-SCR Duct"/>
    <x v="0"/>
    <x v="0"/>
    <m/>
    <d v="2026-07-01T00:00:00"/>
    <s v="HRSG"/>
    <s v="HSG01"/>
    <s v="S4"/>
    <s v="V17566-DWXD-7411"/>
    <s v="COT-2"/>
    <s v="TOP PANEL "/>
    <n v="1"/>
    <n v="11207.4"/>
    <n v="11207.4"/>
    <s v="(1638x3448x9823) "/>
    <m/>
    <s v="V17566-DWND-0070"/>
    <m/>
    <m/>
    <m/>
    <m/>
    <m/>
    <m/>
    <m/>
    <m/>
    <m/>
    <m/>
    <m/>
    <n v="10086.66"/>
    <n v="1120.7399999999998"/>
    <m/>
    <m/>
    <n v="0"/>
    <d v="2026-09-16T00:00:00"/>
    <n v="1"/>
    <n v="11207.4"/>
    <d v="2026-09-22T00:00:00"/>
    <n v="1"/>
    <n v="11207.4"/>
    <m/>
    <m/>
    <n v="0"/>
    <m/>
    <m/>
    <m/>
    <n v="0"/>
    <m/>
    <m/>
    <n v="0"/>
    <s v="PAC"/>
    <m/>
  </r>
  <r>
    <n v="101"/>
    <x v="0"/>
    <s v="Shipment 2 CO-SCR Duct"/>
    <x v="0"/>
    <x v="0"/>
    <m/>
    <d v="2026-07-01T00:00:00"/>
    <s v="HRSG"/>
    <s v="HSG01"/>
    <s v="S3"/>
    <s v="V17566-DWXD-7471"/>
    <s v="COT-3"/>
    <s v="SCR DOOR "/>
    <n v="1"/>
    <n v="618.9"/>
    <n v="618.9"/>
    <s v="(451x2006x3085) "/>
    <m/>
    <s v="V17566-DWND-0070"/>
    <m/>
    <m/>
    <m/>
    <m/>
    <m/>
    <m/>
    <m/>
    <m/>
    <m/>
    <m/>
    <m/>
    <n v="557.01"/>
    <n v="61.889999999999986"/>
    <m/>
    <m/>
    <n v="0"/>
    <d v="2026-09-21T00:00:00"/>
    <n v="1"/>
    <n v="618.9"/>
    <d v="2026-09-28T00:00:00"/>
    <n v="1"/>
    <n v="618.9"/>
    <m/>
    <m/>
    <n v="0"/>
    <m/>
    <m/>
    <m/>
    <n v="0"/>
    <m/>
    <m/>
    <n v="0"/>
    <s v="PAC"/>
    <m/>
  </r>
  <r>
    <n v="102"/>
    <x v="0"/>
    <s v="Shipment 2 CO-SCR Duct"/>
    <x v="0"/>
    <x v="0"/>
    <m/>
    <d v="2026-07-01T00:00:00"/>
    <s v="HRSG"/>
    <s v="HSG01"/>
    <s v="S4"/>
    <s v="V17566-DWXD-7473"/>
    <s v="COT-4"/>
    <s v="SCR DOOR "/>
    <n v="1"/>
    <n v="669.3"/>
    <n v="669.3"/>
    <s v="(451x2006x3356) "/>
    <m/>
    <s v="V17566-DWND-0070"/>
    <m/>
    <m/>
    <m/>
    <m/>
    <m/>
    <m/>
    <m/>
    <m/>
    <m/>
    <m/>
    <m/>
    <n v="602.36999999999989"/>
    <n v="66.930000000000064"/>
    <m/>
    <m/>
    <n v="0"/>
    <d v="2026-09-21T00:00:00"/>
    <n v="1"/>
    <n v="669.3"/>
    <d v="2026-09-22T00:00:00"/>
    <n v="1"/>
    <n v="669.3"/>
    <m/>
    <m/>
    <n v="0"/>
    <m/>
    <m/>
    <m/>
    <n v="0"/>
    <m/>
    <m/>
    <n v="0"/>
    <s v="PAC"/>
    <m/>
  </r>
  <r>
    <n v="103"/>
    <x v="0"/>
    <s v="Shipment 2 CO-SCR Duct"/>
    <x v="0"/>
    <x v="0"/>
    <m/>
    <d v="2026-07-01T00:00:00"/>
    <s v="HRSG"/>
    <s v="HSG01"/>
    <s v="S4"/>
    <s v="V17566-DWXD-7475"/>
    <s v="COT-5"/>
    <s v="SCR DOOR "/>
    <n v="1"/>
    <n v="618.70000000000005"/>
    <n v="618.70000000000005"/>
    <s v="(451x2006x3085) "/>
    <m/>
    <s v="V17566-DWND-0070"/>
    <m/>
    <m/>
    <m/>
    <m/>
    <m/>
    <m/>
    <m/>
    <m/>
    <m/>
    <m/>
    <m/>
    <n v="556.83000000000004"/>
    <n v="61.870000000000005"/>
    <m/>
    <m/>
    <n v="0"/>
    <d v="2026-09-21T00:00:00"/>
    <n v="1"/>
    <n v="618.70000000000005"/>
    <d v="2026-09-22T00:00:00"/>
    <n v="1"/>
    <n v="618.70000000000005"/>
    <m/>
    <m/>
    <n v="0"/>
    <m/>
    <m/>
    <m/>
    <n v="0"/>
    <m/>
    <m/>
    <n v="0"/>
    <s v="PAC"/>
    <m/>
  </r>
  <r>
    <n v="104"/>
    <x v="0"/>
    <s v="Shipment 2 CO-SCR Duct"/>
    <x v="0"/>
    <x v="0"/>
    <m/>
    <d v="2026-07-01T00:00:00"/>
    <s v="HRSG"/>
    <s v="HSG01"/>
    <s v="S3"/>
    <s v="V17566-DWXD-7477"/>
    <s v="COT-6"/>
    <s v="TOP PANEL "/>
    <n v="1"/>
    <n v="1090"/>
    <n v="1090"/>
    <s v="(364x1262x9785) "/>
    <m/>
    <s v="V17566-DWND-0070"/>
    <m/>
    <m/>
    <m/>
    <m/>
    <m/>
    <m/>
    <m/>
    <m/>
    <m/>
    <m/>
    <m/>
    <n v="981"/>
    <n v="109"/>
    <m/>
    <m/>
    <n v="0"/>
    <d v="2026-09-14T00:00:00"/>
    <n v="1"/>
    <n v="1090"/>
    <d v="2026-09-30T00:00:00"/>
    <n v="1"/>
    <n v="1090"/>
    <m/>
    <m/>
    <n v="0"/>
    <m/>
    <m/>
    <m/>
    <n v="0"/>
    <m/>
    <m/>
    <n v="0"/>
    <s v="PAC"/>
    <m/>
  </r>
  <r>
    <n v="105"/>
    <x v="0"/>
    <s v="Shipment 2 CO-SCR Duct"/>
    <x v="0"/>
    <x v="0"/>
    <m/>
    <d v="2026-07-01T00:00:00"/>
    <s v="HRSG"/>
    <s v="HSG14"/>
    <s v="S3"/>
    <s v="V17566-DWXD-7503"/>
    <s v="CO-BF-1"/>
    <s v="BUILT-UP CHANNEL "/>
    <n v="2"/>
    <n v="366.15"/>
    <n v="732.3"/>
    <s v="(250x90x9574) "/>
    <m/>
    <s v="V17566-SRND-0001"/>
    <m/>
    <m/>
    <m/>
    <m/>
    <m/>
    <m/>
    <m/>
    <m/>
    <m/>
    <m/>
    <m/>
    <n v="0"/>
    <n v="732.3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2 CO-SCR Duct"/>
    <x v="0"/>
    <x v="0"/>
    <m/>
    <d v="2026-07-01T00:00:00"/>
    <s v="HRSG"/>
    <s v="HSG14"/>
    <s v="S3"/>
    <s v="V17566-DWXD-7504"/>
    <s v="CO-BF-2"/>
    <s v="BAFFLE "/>
    <n v="1"/>
    <n v="2.6"/>
    <n v="2.6"/>
    <s v="(38x3x2881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2 CO-SCR Duct"/>
    <x v="0"/>
    <x v="0"/>
    <m/>
    <d v="2026-07-01T00:00:00"/>
    <s v="HRSG"/>
    <s v="HSG14"/>
    <s v="S3"/>
    <s v="V17566-DWXD-7505"/>
    <s v="CO-BF-3"/>
    <s v="BAFFLE "/>
    <n v="1"/>
    <n v="2.6"/>
    <n v="2.6"/>
    <s v="(38x3x2914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2 CO-SCR Duct"/>
    <x v="0"/>
    <x v="0"/>
    <m/>
    <d v="2026-07-01T00:00:00"/>
    <s v="HRSG"/>
    <s v="HSG14"/>
    <s v="S3"/>
    <s v="V17566-DWXD-7506"/>
    <s v="CO-BF-4"/>
    <s v="BAFFLE "/>
    <n v="1"/>
    <n v="2.6"/>
    <n v="2.6"/>
    <s v="(38x3x2862) "/>
    <m/>
    <s v="V17566-SRND-0001"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2 CO-SCR Duct"/>
    <x v="0"/>
    <x v="0"/>
    <m/>
    <d v="2026-07-01T00:00:00"/>
    <s v="HRSG"/>
    <s v="HSG14"/>
    <s v="S3"/>
    <s v="V17566-DWXD-7507"/>
    <s v="CO-BF-5"/>
    <s v="BENT PLATE 110B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2 CO-SCR Duct"/>
    <x v="0"/>
    <x v="0"/>
    <m/>
    <d v="2026-07-01T00:00:00"/>
    <s v="HRSG"/>
    <s v="HSG14"/>
    <s v="S3"/>
    <s v="V17566-DWXD-7508"/>
    <s v="CO-BF-6"/>
    <s v="BENT PLATE 110B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2 CO-SCR Duct"/>
    <x v="0"/>
    <x v="0"/>
    <m/>
    <d v="2026-07-01T00:00:00"/>
    <s v="HRSG"/>
    <s v="HSG14"/>
    <s v="S3"/>
    <s v="V17566-DWXD-7509"/>
    <s v="CO-BF-7"/>
    <s v="BENT PLATE 110B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2 CO-SCR Duct"/>
    <x v="0"/>
    <x v="0"/>
    <m/>
    <d v="2026-07-01T00:00:00"/>
    <s v="HRSG"/>
    <s v="HSG14"/>
    <s v="S3"/>
    <s v="V17566-DWXD-7510"/>
    <s v="CO-BF-8"/>
    <s v="BENT PLATE 110A "/>
    <n v="1"/>
    <n v="0.5"/>
    <n v="0.5"/>
    <s v="(300x51x90) "/>
    <m/>
    <s v="V17566-SRND-0001"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2 CO-SCR Duct"/>
    <x v="0"/>
    <x v="0"/>
    <m/>
    <d v="2026-07-01T00:00:00"/>
    <s v="HRSG"/>
    <s v="HSG14"/>
    <s v="S3"/>
    <s v="V17566-DWXD-7511"/>
    <s v="CO-BF-9"/>
    <s v="BENT PLATE 110A "/>
    <n v="20"/>
    <n v="2.4950000000000001"/>
    <n v="49.9"/>
    <s v="(1156x51x90) "/>
    <m/>
    <s v="V17566-SRND-0001"/>
    <m/>
    <m/>
    <m/>
    <m/>
    <m/>
    <m/>
    <m/>
    <m/>
    <m/>
    <m/>
    <m/>
    <n v="0"/>
    <n v="49.9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2 CO-SCR Duct"/>
    <x v="0"/>
    <x v="0"/>
    <m/>
    <d v="2026-07-01T00:00:00"/>
    <s v="HRSG"/>
    <s v="HSG14"/>
    <s v="S3"/>
    <s v="V17566-DWXD-7512"/>
    <s v="CO-BF-10"/>
    <s v="BENT PLATE 110A "/>
    <n v="1"/>
    <n v="0.7"/>
    <n v="0.7"/>
    <s v="(344x51x90) "/>
    <m/>
    <s v="V17566-SRND-0001"/>
    <m/>
    <m/>
    <m/>
    <m/>
    <m/>
    <m/>
    <m/>
    <m/>
    <m/>
    <m/>
    <m/>
    <n v="0"/>
    <n v="0.7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2 CO-SCR Duct"/>
    <x v="0"/>
    <x v="0"/>
    <m/>
    <d v="2026-07-01T00:00:00"/>
    <s v="HRSG"/>
    <s v="HSG14"/>
    <s v="S3"/>
    <s v="V17566-DWXD-7588"/>
    <s v="CO-BF-11"/>
    <s v="STUD 5/8&quot; "/>
    <n v="156"/>
    <n v="1.0089743589743589"/>
    <n v="157.4"/>
    <s v="(102x40x184) "/>
    <m/>
    <s v="V17566-SRND-0001"/>
    <m/>
    <m/>
    <m/>
    <m/>
    <m/>
    <m/>
    <m/>
    <m/>
    <m/>
    <m/>
    <m/>
    <n v="0"/>
    <n v="157.4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2 CO-SCR Duct"/>
    <x v="0"/>
    <x v="0"/>
    <m/>
    <d v="2026-07-01T00:00:00"/>
    <s v="HRSG"/>
    <s v="HSG14"/>
    <s v="S3"/>
    <s v="V17566-DWXD-7513"/>
    <s v="CO-BF-12"/>
    <s v="BAFFLE "/>
    <n v="1"/>
    <n v="0"/>
    <n v="0"/>
    <s v="(12x3x36) "/>
    <m/>
    <s v="V17566-SRND-0001"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2 CO-SCR Duct"/>
    <x v="0"/>
    <x v="0"/>
    <m/>
    <d v="2026-07-01T00:00:00"/>
    <s v="HRSG"/>
    <s v="HSG14"/>
    <s v="S3"/>
    <s v="V17566-DWXD-7514"/>
    <s v="CO-BF-13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2 CO-SCR Duct"/>
    <x v="0"/>
    <x v="0"/>
    <m/>
    <d v="2026-07-01T00:00:00"/>
    <s v="HRSG"/>
    <s v="HSG14"/>
    <s v="S3"/>
    <s v="V17566-DWXD-7515"/>
    <s v="CO-BF-14"/>
    <s v="BUILT-UP H-BEAM "/>
    <n v="1"/>
    <n v="757.7"/>
    <n v="757.7"/>
    <s v="(300x353x13328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2 CO-SCR Duct"/>
    <x v="0"/>
    <x v="0"/>
    <m/>
    <d v="2026-07-01T00:00:00"/>
    <s v="HRSG"/>
    <s v="HSG14"/>
    <s v="S3"/>
    <s v="V17566-DWXD-7516"/>
    <s v="CO-BF-15"/>
    <s v="BUILT-UP CHANNEL "/>
    <n v="2"/>
    <n v="129"/>
    <n v="258"/>
    <s v="(300x100x2877) "/>
    <m/>
    <s v="V17566-SRND-0001"/>
    <m/>
    <m/>
    <m/>
    <m/>
    <m/>
    <m/>
    <m/>
    <m/>
    <m/>
    <m/>
    <m/>
    <n v="0"/>
    <n v="258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2 CO-SCR Duct"/>
    <x v="0"/>
    <x v="0"/>
    <m/>
    <d v="2026-07-01T00:00:00"/>
    <s v="HRSG"/>
    <s v="HSG14"/>
    <s v="S3"/>
    <s v="V17566-DWXD-7517"/>
    <s v="CO-BF-16"/>
    <s v="BUILT-UP H-BEAM "/>
    <n v="2"/>
    <n v="632.6"/>
    <n v="1265.2"/>
    <s v="(300x400x11000) "/>
    <m/>
    <s v="V17566-SRND-0001"/>
    <m/>
    <m/>
    <m/>
    <m/>
    <m/>
    <m/>
    <m/>
    <m/>
    <m/>
    <m/>
    <m/>
    <n v="0"/>
    <n v="1265.2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2 CO-SCR Duct"/>
    <x v="0"/>
    <x v="0"/>
    <m/>
    <d v="2026-07-01T00:00:00"/>
    <s v="HRSG"/>
    <s v="HSG14"/>
    <s v="S3"/>
    <s v="V17566-DWXD-7518"/>
    <s v="CO-BF-17"/>
    <s v="BUILT-UP H-BEAM "/>
    <n v="2"/>
    <n v="785.3"/>
    <n v="1570.6"/>
    <s v="(300x400x13334) "/>
    <m/>
    <s v="V17566-SRND-0001"/>
    <m/>
    <m/>
    <m/>
    <m/>
    <m/>
    <m/>
    <m/>
    <m/>
    <m/>
    <m/>
    <m/>
    <n v="0"/>
    <n v="1570.6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2 CO-SCR Duct"/>
    <x v="0"/>
    <x v="0"/>
    <m/>
    <d v="2026-07-01T00:00:00"/>
    <s v="HRSG"/>
    <s v="HSG14"/>
    <s v="S3"/>
    <s v="V17566-DWXD-7519"/>
    <s v="CO-BF-18"/>
    <s v="BENT PLATE "/>
    <n v="1"/>
    <n v="72.099999999999994"/>
    <n v="72.099999999999994"/>
    <s v="(3144x313x159) "/>
    <m/>
    <s v="V17566-SRND-0001"/>
    <m/>
    <m/>
    <m/>
    <m/>
    <m/>
    <m/>
    <m/>
    <m/>
    <m/>
    <m/>
    <m/>
    <n v="0"/>
    <n v="72.099999999999994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2 CO-SCR Duct"/>
    <x v="0"/>
    <x v="0"/>
    <m/>
    <d v="2026-07-01T00:00:00"/>
    <s v="HRSG"/>
    <s v="HSG14"/>
    <s v="S3"/>
    <s v="V17566-DWXD-7520"/>
    <s v="CO-BF-19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2 CO-SCR Duct"/>
    <x v="0"/>
    <x v="0"/>
    <m/>
    <d v="2026-07-01T00:00:00"/>
    <s v="HRSG"/>
    <s v="HSG14"/>
    <s v="S3"/>
    <s v="V17566-DWXD-7521"/>
    <s v="CO-BF-20"/>
    <s v="BUILT-UP CHANNEL "/>
    <n v="1"/>
    <n v="130.30000000000001"/>
    <n v="130.30000000000001"/>
    <s v="(300x100x2906) "/>
    <m/>
    <s v="V17566-SRND-0001"/>
    <m/>
    <m/>
    <m/>
    <m/>
    <m/>
    <m/>
    <m/>
    <m/>
    <m/>
    <m/>
    <m/>
    <n v="0"/>
    <n v="130.30000000000001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2 CO-SCR Duct"/>
    <x v="0"/>
    <x v="0"/>
    <m/>
    <d v="2026-07-01T00:00:00"/>
    <s v="HRSG"/>
    <s v="HSG14"/>
    <s v="S3"/>
    <s v="V17566-DWXD-7522"/>
    <s v="CO-BF-21"/>
    <s v="BENT PLATE "/>
    <n v="1"/>
    <n v="74.099999999999994"/>
    <n v="74.099999999999994"/>
    <s v="(3241x313x159) "/>
    <m/>
    <s v="V17566-SRND-0001"/>
    <m/>
    <m/>
    <m/>
    <m/>
    <m/>
    <m/>
    <m/>
    <m/>
    <m/>
    <m/>
    <m/>
    <n v="0"/>
    <n v="74.099999999999994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2 CO-SCR Duct"/>
    <x v="0"/>
    <x v="0"/>
    <m/>
    <d v="2026-07-01T00:00:00"/>
    <s v="HRSG"/>
    <s v="HSG14"/>
    <s v="S3"/>
    <s v="V17566-DWXD-7523"/>
    <s v="CO-BF-22"/>
    <s v="BUILT-UP H-BEAM "/>
    <n v="1"/>
    <n v="616.29999999999995"/>
    <n v="616.29999999999995"/>
    <s v="(300x353x11000) "/>
    <m/>
    <s v="V17566-SRND-0001"/>
    <m/>
    <m/>
    <m/>
    <m/>
    <m/>
    <m/>
    <m/>
    <m/>
    <m/>
    <m/>
    <m/>
    <n v="0"/>
    <n v="616.29999999999995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2 CO-SCR Duct"/>
    <x v="0"/>
    <x v="0"/>
    <m/>
    <d v="2026-07-01T00:00:00"/>
    <s v="HRSG"/>
    <s v="HSG14"/>
    <s v="S3"/>
    <s v="V17566-DWXD-7524"/>
    <s v="CO-BF-23"/>
    <s v="BUILT-UP H-BEAM "/>
    <n v="1"/>
    <n v="757.7"/>
    <n v="757.7"/>
    <s v="(300x282x13334) "/>
    <m/>
    <s v="V17566-SRND-0001"/>
    <m/>
    <m/>
    <m/>
    <m/>
    <m/>
    <m/>
    <m/>
    <m/>
    <m/>
    <m/>
    <m/>
    <n v="0"/>
    <n v="757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2 CO-SCR Duct"/>
    <x v="0"/>
    <x v="0"/>
    <m/>
    <d v="2026-07-01T00:00:00"/>
    <s v="HRSG"/>
    <s v="HSG14"/>
    <s v="S3"/>
    <s v="V17566-DWXD-7525"/>
    <s v="CO-BF-24"/>
    <s v="BUILT-UP H-BEAM "/>
    <n v="6"/>
    <n v="536.54999999999995"/>
    <n v="3219.2999999999997"/>
    <s v="(300x200x9574) "/>
    <m/>
    <s v="V17566-SRND-0001"/>
    <m/>
    <m/>
    <m/>
    <m/>
    <m/>
    <m/>
    <m/>
    <m/>
    <m/>
    <m/>
    <m/>
    <n v="0"/>
    <n v="3219.2999999999997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2 CO-SCR Duct"/>
    <x v="0"/>
    <x v="0"/>
    <m/>
    <d v="2026-07-01T00:00:00"/>
    <s v="HRSG"/>
    <s v="HSG14"/>
    <s v="S3"/>
    <s v="V17566-DWXD-7526"/>
    <s v="CO-BF-25"/>
    <s v="BENT PLATE "/>
    <n v="1"/>
    <n v="3.6"/>
    <n v="3.6"/>
    <s v="(854x204x51) "/>
    <m/>
    <s v="V17566-SRND-0001"/>
    <m/>
    <m/>
    <m/>
    <m/>
    <m/>
    <m/>
    <m/>
    <m/>
    <m/>
    <m/>
    <m/>
    <n v="0"/>
    <n v="3.6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2 CO-SCR Duct"/>
    <x v="0"/>
    <x v="0"/>
    <m/>
    <d v="2026-07-01T00:00:00"/>
    <s v="HRSG"/>
    <s v="HSG14"/>
    <s v="S3"/>
    <s v="V17566-DWXD-7527"/>
    <s v="CO-BF-26"/>
    <s v="BENT PLATE "/>
    <n v="7"/>
    <n v="4.7142857142857144"/>
    <n v="33"/>
    <s v="(1156x204x51) "/>
    <m/>
    <s v="V17566-SRND-0001"/>
    <m/>
    <m/>
    <m/>
    <m/>
    <m/>
    <m/>
    <m/>
    <m/>
    <m/>
    <m/>
    <m/>
    <n v="0"/>
    <n v="33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2 CO-SCR Duct"/>
    <x v="0"/>
    <x v="0"/>
    <m/>
    <d v="2026-07-01T00:00:00"/>
    <s v="HRSG"/>
    <s v="HSG14"/>
    <s v="S3"/>
    <s v="V17566-DWXD-7528"/>
    <s v="CO-BF-27"/>
    <s v="BENT PLATE "/>
    <n v="1"/>
    <n v="3.4"/>
    <n v="3.4"/>
    <s v="(835x204x51) "/>
    <m/>
    <s v="V17566-SRND-0001"/>
    <m/>
    <m/>
    <m/>
    <m/>
    <m/>
    <m/>
    <m/>
    <m/>
    <m/>
    <m/>
    <m/>
    <n v="0"/>
    <n v="3.4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2 CO-SCR Duct"/>
    <x v="0"/>
    <x v="0"/>
    <m/>
    <d v="2026-07-01T00:00:00"/>
    <s v="HRSG"/>
    <s v="HSG14"/>
    <s v="S3"/>
    <s v="V17566-DWXD-7529"/>
    <s v="CO-BF-28"/>
    <s v="BENT PLATE "/>
    <n v="16"/>
    <n v="173.1875"/>
    <n v="2771"/>
    <s v="(9574x90x150) "/>
    <m/>
    <s v="V17566-SRND-0001"/>
    <m/>
    <m/>
    <m/>
    <m/>
    <m/>
    <m/>
    <m/>
    <m/>
    <m/>
    <m/>
    <m/>
    <n v="0"/>
    <n v="2771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2 CO-SCR Duct"/>
    <x v="0"/>
    <x v="0"/>
    <m/>
    <d v="2026-07-01T00:00:00"/>
    <s v="HRSG"/>
    <s v="HSG14"/>
    <s v="S3"/>
    <s v="V17566-DWXD-7530"/>
    <s v="CO-BF-29"/>
    <s v="BENT PLATE 110B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2 CO-SCR Duct"/>
    <x v="0"/>
    <x v="0"/>
    <m/>
    <d v="2026-07-01T00:00:00"/>
    <s v="HRSG"/>
    <s v="HSG14"/>
    <s v="S3"/>
    <s v="V17566-DWXD-7531"/>
    <s v="CO-BF-30"/>
    <s v="BENT PLATE 110A "/>
    <n v="1"/>
    <n v="2.2000000000000002"/>
    <n v="2.2000000000000002"/>
    <s v="(1024x51x90) "/>
    <m/>
    <s v="V17566-SRND-0001"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2 Outlet Stack"/>
    <x v="0"/>
    <x v="1"/>
    <m/>
    <d v="2026-07-01T00:00:00"/>
    <s v="HRSG"/>
    <s v="HSG14"/>
    <s v="S3"/>
    <s v="V17566-SKXD-7001"/>
    <s v="BK-1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2 Outlet Stack"/>
    <x v="0"/>
    <x v="1"/>
    <m/>
    <d v="2026-07-01T00:00:00"/>
    <s v="HRSG"/>
    <s v="HSG14"/>
    <s v="S3"/>
    <s v="V17566-SKXD-7002"/>
    <s v="BK-2"/>
    <s v="BLANKING PLATE"/>
    <n v="4"/>
    <n v="1110.9000000000001"/>
    <n v="4443.8"/>
    <s v="(2134x156x4861)"/>
    <m/>
    <m/>
    <m/>
    <m/>
    <m/>
    <m/>
    <m/>
    <m/>
    <m/>
    <m/>
    <m/>
    <m/>
    <m/>
    <n v="0"/>
    <n v="4443.8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2 Outlet Stack"/>
    <x v="0"/>
    <x v="1"/>
    <m/>
    <d v="2026-07-01T00:00:00"/>
    <s v="HRSG"/>
    <s v="HSG14"/>
    <s v="S3"/>
    <s v="V17566-SKXD-7003"/>
    <s v="BK-3"/>
    <s v="BLANKING PLATE"/>
    <n v="1"/>
    <n v="1141.0999999999999"/>
    <n v="1141.0999999999999"/>
    <s v="(2235x156x4861)"/>
    <m/>
    <m/>
    <m/>
    <m/>
    <m/>
    <m/>
    <m/>
    <m/>
    <m/>
    <m/>
    <m/>
    <m/>
    <m/>
    <n v="0"/>
    <n v="1141.0999999999999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2 Outlet Stack"/>
    <x v="0"/>
    <x v="1"/>
    <m/>
    <d v="2026-07-01T00:00:00"/>
    <s v="HRSG"/>
    <s v="HSG14"/>
    <s v="S3"/>
    <s v="V17566-SKXD-7004"/>
    <s v="DR-1"/>
    <s v="DRAIN PIPE"/>
    <n v="1"/>
    <n v="45"/>
    <n v="45"/>
    <s v="(3633x191x191)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39"/>
    <x v="0"/>
    <s v="Shipment 2 Outlet Stack"/>
    <x v="0"/>
    <x v="1"/>
    <m/>
    <d v="2026-07-01T00:00:00"/>
    <s v="HRSG"/>
    <s v="HSG14"/>
    <s v="S3"/>
    <s v="V17566-SKXD-7005"/>
    <s v="DR-2"/>
    <s v="DRAIN PIPE"/>
    <n v="1"/>
    <n v="41.5"/>
    <n v="41.5"/>
    <s v="(3724x158x89)"/>
    <m/>
    <m/>
    <m/>
    <m/>
    <m/>
    <m/>
    <m/>
    <m/>
    <m/>
    <m/>
    <m/>
    <m/>
    <m/>
    <n v="0"/>
    <n v="41.5"/>
    <m/>
    <m/>
    <n v="0"/>
    <m/>
    <m/>
    <n v="0"/>
    <m/>
    <m/>
    <n v="0"/>
    <m/>
    <m/>
    <n v="0"/>
    <m/>
    <m/>
    <m/>
    <n v="0"/>
    <m/>
    <m/>
    <n v="0"/>
    <s v="PAC"/>
    <m/>
  </r>
  <r>
    <n v="140"/>
    <x v="0"/>
    <s v="Shipment 2 Outlet Stack"/>
    <x v="0"/>
    <x v="1"/>
    <m/>
    <d v="2026-07-01T00:00:00"/>
    <s v="HRSG"/>
    <s v="HSG14"/>
    <s v="S3"/>
    <s v="V17566-SKXD-7193"/>
    <s v="DR-4"/>
    <s v="DRAIN PAN"/>
    <n v="1"/>
    <n v="2429.1999999999998"/>
    <n v="2429.1999999999998"/>
    <s v="(7008x580x6984)"/>
    <m/>
    <m/>
    <m/>
    <m/>
    <m/>
    <m/>
    <m/>
    <m/>
    <m/>
    <m/>
    <m/>
    <m/>
    <m/>
    <n v="0"/>
    <n v="2429.1999999999998"/>
    <m/>
    <m/>
    <n v="0"/>
    <m/>
    <m/>
    <n v="0"/>
    <m/>
    <m/>
    <n v="0"/>
    <m/>
    <m/>
    <n v="0"/>
    <m/>
    <m/>
    <m/>
    <n v="0"/>
    <m/>
    <m/>
    <n v="0"/>
    <s v="PAC"/>
    <m/>
  </r>
  <r>
    <n v="141"/>
    <x v="0"/>
    <s v="Shipment 2 Outlet Stack"/>
    <x v="0"/>
    <x v="1"/>
    <m/>
    <d v="2026-07-01T00:00:00"/>
    <s v="HRSG"/>
    <s v="HSG14"/>
    <s v="S3"/>
    <s v="V17566-SKXD-7006"/>
    <s v="EX-1"/>
    <s v="EXPANDED METAL"/>
    <n v="5"/>
    <n v="7.4"/>
    <n v="37"/>
    <s v="(1153x196x2438)"/>
    <m/>
    <m/>
    <m/>
    <m/>
    <m/>
    <m/>
    <m/>
    <m/>
    <m/>
    <m/>
    <m/>
    <m/>
    <m/>
    <n v="0"/>
    <n v="37"/>
    <m/>
    <m/>
    <n v="0"/>
    <m/>
    <m/>
    <n v="0"/>
    <m/>
    <m/>
    <n v="0"/>
    <m/>
    <m/>
    <n v="0"/>
    <m/>
    <m/>
    <m/>
    <n v="0"/>
    <m/>
    <m/>
    <n v="0"/>
    <s v="PAC"/>
    <m/>
  </r>
  <r>
    <n v="142"/>
    <x v="0"/>
    <s v="Shipment 2 Outlet Stack"/>
    <x v="0"/>
    <x v="1"/>
    <m/>
    <d v="2026-07-01T00:00:00"/>
    <s v="HRSG"/>
    <s v="HSG14"/>
    <s v="S3"/>
    <s v="V17566-SKXD-7007"/>
    <s v="EX-2"/>
    <s v="EXPANDED METAL"/>
    <n v="2"/>
    <n v="7.2"/>
    <n v="14.3"/>
    <s v="(1153x196x2438)"/>
    <m/>
    <m/>
    <m/>
    <m/>
    <m/>
    <m/>
    <m/>
    <m/>
    <m/>
    <m/>
    <m/>
    <m/>
    <m/>
    <n v="0"/>
    <n v="14.3"/>
    <m/>
    <m/>
    <n v="0"/>
    <m/>
    <m/>
    <n v="0"/>
    <m/>
    <m/>
    <n v="0"/>
    <m/>
    <m/>
    <n v="0"/>
    <m/>
    <m/>
    <m/>
    <n v="0"/>
    <m/>
    <m/>
    <n v="0"/>
    <s v="PAC"/>
    <m/>
  </r>
  <r>
    <n v="143"/>
    <x v="0"/>
    <s v="Shipment 2 Outlet Stack"/>
    <x v="0"/>
    <x v="1"/>
    <m/>
    <d v="2026-07-01T00:00:00"/>
    <s v="HRSG"/>
    <s v="HSG14"/>
    <s v="S3"/>
    <s v="V17566-SKXD-7008"/>
    <s v="EX-3"/>
    <s v="EXPANDED METAL"/>
    <n v="2"/>
    <n v="7.3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44"/>
    <x v="0"/>
    <s v="Shipment 2 Outlet Stack"/>
    <x v="0"/>
    <x v="1"/>
    <m/>
    <d v="2026-07-01T00:00:00"/>
    <s v="HRSG"/>
    <s v="HSG14"/>
    <s v="S3"/>
    <s v="V17566-SKXD-7009"/>
    <s v="EX-4"/>
    <s v="EXPANDED METAL"/>
    <n v="8"/>
    <n v="7.4"/>
    <n v="59.1"/>
    <s v="(1153x196x2438)"/>
    <m/>
    <m/>
    <m/>
    <m/>
    <m/>
    <m/>
    <m/>
    <m/>
    <m/>
    <m/>
    <m/>
    <m/>
    <m/>
    <n v="0"/>
    <n v="59.1"/>
    <m/>
    <m/>
    <n v="0"/>
    <m/>
    <m/>
    <n v="0"/>
    <m/>
    <m/>
    <n v="0"/>
    <m/>
    <m/>
    <n v="0"/>
    <m/>
    <m/>
    <m/>
    <n v="0"/>
    <m/>
    <m/>
    <n v="0"/>
    <s v="PAC"/>
    <m/>
  </r>
  <r>
    <n v="145"/>
    <x v="0"/>
    <s v="Shipment 2 Outlet Stack"/>
    <x v="0"/>
    <x v="1"/>
    <m/>
    <d v="2026-07-01T00:00:00"/>
    <s v="HRSG"/>
    <s v="HSG14"/>
    <s v="S3"/>
    <s v="V17566-SKXD-7010"/>
    <s v="EX-5"/>
    <s v="EXPANDED METAL"/>
    <n v="2"/>
    <n v="7.2"/>
    <n v="14.4"/>
    <s v="(1153x196x2438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2 Outlet Stack"/>
    <x v="0"/>
    <x v="1"/>
    <m/>
    <d v="2026-07-01T00:00:00"/>
    <s v="HRSG"/>
    <s v="HSG14"/>
    <s v="S3"/>
    <s v="V17566-SKXD-7011"/>
    <s v="EX-6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2 Outlet Stack"/>
    <x v="0"/>
    <x v="1"/>
    <m/>
    <d v="2026-07-01T00:00:00"/>
    <s v="HRSG"/>
    <s v="HSG14"/>
    <s v="S3"/>
    <s v="V17566-SKXD-7012"/>
    <s v="EX-7"/>
    <s v="EXPANDED METAL"/>
    <n v="4"/>
    <n v="6.9"/>
    <n v="27.7"/>
    <s v="(1153x203x2438)"/>
    <m/>
    <m/>
    <m/>
    <m/>
    <m/>
    <m/>
    <m/>
    <m/>
    <m/>
    <m/>
    <m/>
    <m/>
    <m/>
    <n v="0"/>
    <n v="27.7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2 Outlet Stack"/>
    <x v="0"/>
    <x v="1"/>
    <m/>
    <d v="2026-07-01T00:00:00"/>
    <s v="HRSG"/>
    <s v="HSG14"/>
    <s v="S3"/>
    <s v="V17566-SKXD-7013"/>
    <s v="EX-8"/>
    <s v="EXPANDED METAL"/>
    <n v="10"/>
    <n v="2.8"/>
    <n v="27.6"/>
    <s v="(1153x196x915)"/>
    <m/>
    <m/>
    <m/>
    <m/>
    <m/>
    <m/>
    <m/>
    <m/>
    <m/>
    <m/>
    <m/>
    <m/>
    <m/>
    <n v="0"/>
    <n v="27.6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2 Outlet Stack"/>
    <x v="0"/>
    <x v="1"/>
    <m/>
    <d v="2026-07-01T00:00:00"/>
    <s v="HRSG"/>
    <s v="HSG14"/>
    <s v="S3"/>
    <s v="V17566-SKXD-7014"/>
    <s v="EX-9"/>
    <s v="EXPANDED METAL"/>
    <n v="10"/>
    <n v="2.6"/>
    <n v="26"/>
    <s v="(1153x196x863)"/>
    <m/>
    <m/>
    <m/>
    <m/>
    <m/>
    <m/>
    <m/>
    <m/>
    <m/>
    <m/>
    <m/>
    <m/>
    <m/>
    <n v="0"/>
    <n v="26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2 Outlet Stack"/>
    <x v="0"/>
    <x v="1"/>
    <m/>
    <d v="2026-07-01T00:00:00"/>
    <s v="HRSG"/>
    <s v="HSG14"/>
    <s v="S3"/>
    <s v="V17566-SKXD-7015"/>
    <s v="EX-10"/>
    <s v="EXPANDED METAL"/>
    <n v="2"/>
    <n v="7.2"/>
    <n v="14.5"/>
    <s v="(1172x200x2438)"/>
    <m/>
    <m/>
    <m/>
    <m/>
    <m/>
    <m/>
    <m/>
    <m/>
    <m/>
    <m/>
    <m/>
    <m/>
    <m/>
    <n v="0"/>
    <n v="14.5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2 Outlet Stack"/>
    <x v="0"/>
    <x v="1"/>
    <m/>
    <d v="2026-07-01T00:00:00"/>
    <s v="HRSG"/>
    <s v="HSG14"/>
    <s v="S3"/>
    <s v="V17566-SKXD-7016"/>
    <s v="EX-11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2 Outlet Stack"/>
    <x v="0"/>
    <x v="1"/>
    <m/>
    <d v="2026-07-01T00:00:00"/>
    <s v="HRSG"/>
    <s v="HSG14"/>
    <s v="S3"/>
    <s v="V17566-SKXD-7017"/>
    <s v="EX-12"/>
    <s v="EXPANDED METAL"/>
    <n v="1"/>
    <n v="7.1"/>
    <n v="7.1"/>
    <s v="(1153x196x2438)"/>
    <m/>
    <m/>
    <m/>
    <m/>
    <m/>
    <m/>
    <m/>
    <m/>
    <m/>
    <m/>
    <m/>
    <m/>
    <m/>
    <n v="0"/>
    <n v="7.1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2 Outlet Stack"/>
    <x v="0"/>
    <x v="1"/>
    <m/>
    <d v="2026-07-01T00:00:00"/>
    <s v="HRSG"/>
    <s v="HSG14"/>
    <s v="S3"/>
    <s v="V17566-SKXD-7018"/>
    <s v="EX-13"/>
    <s v="EXPANDED METAL"/>
    <n v="1"/>
    <n v="1.5"/>
    <n v="1.5"/>
    <s v="(887x111x72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2 Outlet Stack"/>
    <x v="0"/>
    <x v="1"/>
    <m/>
    <d v="2026-07-01T00:00:00"/>
    <s v="HRSG"/>
    <s v="HSG14"/>
    <s v="S3"/>
    <s v="V17566-SKXD-7019"/>
    <s v="EX-14"/>
    <s v="EXPANDED METAL"/>
    <n v="1"/>
    <n v="2.2999999999999998"/>
    <n v="1.5"/>
    <s v="(887x111x1007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2 Outlet Stack"/>
    <x v="0"/>
    <x v="1"/>
    <m/>
    <d v="2026-07-01T00:00:00"/>
    <s v="HRSG"/>
    <s v="HSG14"/>
    <s v="S3"/>
    <s v="V17566-SKXD-7020"/>
    <s v="EX-15"/>
    <s v="EXPANDED METAL"/>
    <n v="1"/>
    <n v="2.9"/>
    <n v="2.9"/>
    <s v="(887x111x1321)"/>
    <m/>
    <m/>
    <m/>
    <m/>
    <m/>
    <m/>
    <m/>
    <m/>
    <m/>
    <m/>
    <m/>
    <m/>
    <m/>
    <n v="0"/>
    <n v="2.9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2 Outlet Stack"/>
    <x v="0"/>
    <x v="1"/>
    <m/>
    <d v="2026-07-01T00:00:00"/>
    <s v="HRSG"/>
    <s v="HSG14"/>
    <s v="S3"/>
    <s v="V17566-SKXD-7021"/>
    <s v="EX-16"/>
    <s v="EXPANDED METAL"/>
    <n v="1"/>
    <n v="3.3"/>
    <n v="3.3"/>
    <s v="(869x107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2 Outlet Stack"/>
    <x v="0"/>
    <x v="1"/>
    <m/>
    <d v="2026-07-01T00:00:00"/>
    <s v="HRSG"/>
    <s v="HSG14"/>
    <s v="S3"/>
    <s v="V17566-SKXD-7022"/>
    <s v="EX-17"/>
    <s v="EXPANDED METAL"/>
    <n v="1"/>
    <n v="1.7"/>
    <n v="1.7"/>
    <s v="(869x107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2 Outlet Stack"/>
    <x v="0"/>
    <x v="1"/>
    <m/>
    <d v="2026-07-01T00:00:00"/>
    <s v="HRSG"/>
    <s v="HSG14"/>
    <s v="S3"/>
    <s v="V17566-SKXD-7023"/>
    <s v="EX-18"/>
    <s v="EXPANDED METAL"/>
    <n v="1"/>
    <n v="3.2"/>
    <n v="3.2"/>
    <s v="(869x107x1489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2 Outlet Stack"/>
    <x v="0"/>
    <x v="1"/>
    <m/>
    <d v="2026-07-01T00:00:00"/>
    <s v="HRSG"/>
    <s v="HSG14"/>
    <s v="S3"/>
    <s v="V17566-SKXD-7024"/>
    <s v="EX-19"/>
    <s v="EXPANDED METAL"/>
    <n v="1"/>
    <n v="0.3"/>
    <n v="0.3"/>
    <s v="(869x107x116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2 Outlet Stack"/>
    <x v="0"/>
    <x v="1"/>
    <m/>
    <d v="2026-07-01T00:00:00"/>
    <s v="HRSG"/>
    <s v="HSG14"/>
    <s v="S3"/>
    <s v="V17566-SKXD-7025"/>
    <s v="EX-20"/>
    <s v="EXPANDED METAL"/>
    <n v="1"/>
    <n v="5.4"/>
    <n v="5.4"/>
    <s v="(869x107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2 Outlet Stack"/>
    <x v="0"/>
    <x v="1"/>
    <m/>
    <d v="2026-07-01T00:00:00"/>
    <s v="HRSG"/>
    <s v="HSG14"/>
    <s v="S3"/>
    <s v="V17566-SKXD-7026"/>
    <s v="EX-21"/>
    <s v="EXPANDED METAL"/>
    <n v="1"/>
    <n v="2.8"/>
    <n v="2.8"/>
    <s v="(887x111x1284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2 Outlet Stack"/>
    <x v="0"/>
    <x v="1"/>
    <m/>
    <d v="2026-07-01T00:00:00"/>
    <s v="HRSG"/>
    <s v="HSG14"/>
    <s v="S3"/>
    <s v="V17566-SKXD-7027"/>
    <s v="EX-22"/>
    <s v="EXPANDED METAL"/>
    <n v="1"/>
    <n v="0.3"/>
    <n v="0.3"/>
    <s v="(887x111x130)"/>
    <m/>
    <m/>
    <m/>
    <m/>
    <m/>
    <m/>
    <m/>
    <m/>
    <m/>
    <m/>
    <m/>
    <m/>
    <m/>
    <n v="0"/>
    <n v="0.3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2 Outlet Stack"/>
    <x v="0"/>
    <x v="1"/>
    <m/>
    <d v="2026-07-01T00:00:00"/>
    <s v="HRSG"/>
    <s v="HSG14"/>
    <s v="S3"/>
    <s v="V17566-SKXD-7028"/>
    <s v="EX-23"/>
    <s v="EXPANDED METAL"/>
    <n v="1"/>
    <n v="2.8"/>
    <n v="2.8"/>
    <s v="(887x111x1285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2 Outlet Stack"/>
    <x v="0"/>
    <x v="1"/>
    <m/>
    <d v="2026-07-01T00:00:00"/>
    <s v="HRSG"/>
    <s v="HSG14"/>
    <s v="S3"/>
    <s v="V17566-SKXD-7029"/>
    <s v="EX-24"/>
    <s v="EXPANDED METAL"/>
    <n v="1"/>
    <n v="3.3"/>
    <n v="3.3"/>
    <s v="(869x111x1525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2 Outlet Stack"/>
    <x v="0"/>
    <x v="1"/>
    <m/>
    <d v="2026-07-01T00:00:00"/>
    <s v="HRSG"/>
    <s v="HSG14"/>
    <s v="S3"/>
    <s v="V17566-SKXD-7030"/>
    <s v="EX-25"/>
    <s v="EXPANDED METAL"/>
    <n v="1"/>
    <n v="1.7"/>
    <n v="1.7"/>
    <s v="(869x111x743)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2 Outlet Stack"/>
    <x v="0"/>
    <x v="1"/>
    <m/>
    <d v="2026-07-01T00:00:00"/>
    <s v="HRSG"/>
    <s v="HSG14"/>
    <s v="S3"/>
    <s v="V17566-SKXD-7031"/>
    <s v="EX-26"/>
    <s v="EXPANDED METAL"/>
    <n v="1"/>
    <n v="1.5"/>
    <n v="1.5"/>
    <s v="(869x111x753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2 Outlet Stack"/>
    <x v="0"/>
    <x v="1"/>
    <m/>
    <d v="2026-07-01T00:00:00"/>
    <s v="HRSG"/>
    <s v="HSG14"/>
    <s v="S3"/>
    <s v="V17566-SKXD-7032"/>
    <s v="EX-27"/>
    <s v="EXPANDED METAL"/>
    <n v="1"/>
    <n v="5.4"/>
    <n v="5.4"/>
    <s v="(869x111x2438)"/>
    <m/>
    <m/>
    <m/>
    <m/>
    <m/>
    <m/>
    <m/>
    <m/>
    <m/>
    <m/>
    <m/>
    <m/>
    <m/>
    <n v="0"/>
    <n v="5.4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2 Outlet Stack"/>
    <x v="0"/>
    <x v="1"/>
    <m/>
    <d v="2026-07-01T00:00:00"/>
    <s v="HRSG"/>
    <s v="HSG14"/>
    <s v="S3"/>
    <s v="V17566-SKXD-7033"/>
    <s v="EX-28"/>
    <s v="EXPANDED METAL"/>
    <n v="1"/>
    <n v="1.3"/>
    <n v="1.3"/>
    <s v="(869x111x581)"/>
    <m/>
    <m/>
    <m/>
    <m/>
    <m/>
    <m/>
    <m/>
    <m/>
    <m/>
    <m/>
    <m/>
    <m/>
    <m/>
    <n v="0"/>
    <n v="1.3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2 Outlet Stack"/>
    <x v="0"/>
    <x v="1"/>
    <m/>
    <d v="2026-07-01T00:00:00"/>
    <s v="HRSG"/>
    <s v="HSG14"/>
    <s v="S3"/>
    <s v="V17566-SKXD-7178"/>
    <s v="EX-29"/>
    <s v="EXPANDED METAL"/>
    <n v="17"/>
    <n v="5"/>
    <n v="85.1"/>
    <s v="(1153x196x1654)"/>
    <m/>
    <m/>
    <m/>
    <m/>
    <m/>
    <m/>
    <m/>
    <m/>
    <m/>
    <m/>
    <m/>
    <m/>
    <m/>
    <n v="0"/>
    <n v="85.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2 Outlet Stack"/>
    <x v="0"/>
    <x v="1"/>
    <m/>
    <d v="2026-07-01T00:00:00"/>
    <s v="HRSG"/>
    <s v="HSG14"/>
    <s v="S3"/>
    <s v="V17566-SKXD-7179"/>
    <s v="EX-30"/>
    <s v="EXPANDED METAL"/>
    <n v="1"/>
    <n v="6.7"/>
    <n v="6.7"/>
    <s v="(1153x196x2438)"/>
    <m/>
    <m/>
    <m/>
    <m/>
    <m/>
    <m/>
    <m/>
    <m/>
    <m/>
    <m/>
    <m/>
    <m/>
    <m/>
    <n v="0"/>
    <n v="6.7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2 Outlet Stack"/>
    <x v="0"/>
    <x v="1"/>
    <m/>
    <d v="2026-07-01T00:00:00"/>
    <s v="HRSG"/>
    <s v="HSG14"/>
    <s v="S3"/>
    <s v="V17566-SKXD-7180"/>
    <s v="EX-31"/>
    <s v="EXPANDED METAL"/>
    <n v="1"/>
    <n v="5.9"/>
    <n v="5.9"/>
    <s v="(1153x196x2438)"/>
    <m/>
    <m/>
    <m/>
    <m/>
    <m/>
    <m/>
    <m/>
    <m/>
    <m/>
    <m/>
    <m/>
    <m/>
    <m/>
    <n v="0"/>
    <n v="5.9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2 Outlet Stack"/>
    <x v="0"/>
    <x v="1"/>
    <m/>
    <d v="2026-07-01T00:00:00"/>
    <s v="HRSG"/>
    <s v="HSG14"/>
    <s v="S3"/>
    <s v="V17566-SKXD-7181"/>
    <s v="EX-32"/>
    <s v="EXPANDED METAL"/>
    <n v="1"/>
    <n v="4.7"/>
    <n v="4.7"/>
    <s v="(1153x196x1654)"/>
    <m/>
    <m/>
    <m/>
    <m/>
    <m/>
    <m/>
    <m/>
    <m/>
    <m/>
    <m/>
    <m/>
    <m/>
    <m/>
    <n v="0"/>
    <n v="4.7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2 Outlet Stack"/>
    <x v="0"/>
    <x v="1"/>
    <m/>
    <d v="2026-07-01T00:00:00"/>
    <s v="HRSG"/>
    <s v="HSG14"/>
    <s v="S3"/>
    <s v="V17566-SKXD-7182"/>
    <s v="EX-33"/>
    <s v="EXPANDED METAL"/>
    <n v="1"/>
    <n v="2.2999999999999998"/>
    <n v="2.2999999999999998"/>
    <s v="(1153x196x1654)"/>
    <m/>
    <m/>
    <m/>
    <m/>
    <m/>
    <m/>
    <m/>
    <m/>
    <m/>
    <m/>
    <m/>
    <m/>
    <m/>
    <n v="0"/>
    <n v="2.2999999999999998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2 Outlet Stack"/>
    <x v="0"/>
    <x v="1"/>
    <m/>
    <d v="2026-07-01T00:00:00"/>
    <s v="HRSG"/>
    <s v="HSG14"/>
    <s v="S3"/>
    <s v="V17566-SKXD-7183"/>
    <s v="EX-34"/>
    <s v="EXPANDED METAL"/>
    <n v="1"/>
    <n v="2.1"/>
    <n v="2.1"/>
    <s v="(1153x196x1654)"/>
    <m/>
    <m/>
    <m/>
    <m/>
    <m/>
    <m/>
    <m/>
    <m/>
    <m/>
    <m/>
    <m/>
    <m/>
    <m/>
    <n v="0"/>
    <n v="2.1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2 Outlet Stack"/>
    <x v="0"/>
    <x v="1"/>
    <m/>
    <d v="2026-07-01T00:00:00"/>
    <s v="HRSG"/>
    <s v="HSG14"/>
    <s v="S3"/>
    <s v="V17566-SKXD-7034"/>
    <s v="FR-1"/>
    <s v="FRAME"/>
    <n v="1"/>
    <n v="8915.1"/>
    <n v="8915.1"/>
    <s v="(25304x366x1373)"/>
    <m/>
    <m/>
    <m/>
    <m/>
    <m/>
    <m/>
    <m/>
    <m/>
    <m/>
    <m/>
    <m/>
    <m/>
    <m/>
    <n v="8023.59"/>
    <n v="891.51000000000022"/>
    <m/>
    <m/>
    <n v="0"/>
    <d v="2026-09-21T00:00:00"/>
    <n v="1"/>
    <n v="8915.1"/>
    <d v="2026-09-22T00:00:00"/>
    <n v="1"/>
    <n v="8915.1"/>
    <m/>
    <m/>
    <n v="0"/>
    <m/>
    <m/>
    <m/>
    <n v="0"/>
    <m/>
    <m/>
    <n v="0"/>
    <s v="PAC"/>
    <m/>
  </r>
  <r>
    <n v="176"/>
    <x v="0"/>
    <s v="Shipment 2 Outlet Stack"/>
    <x v="0"/>
    <x v="1"/>
    <m/>
    <d v="2026-07-01T00:00:00"/>
    <s v="HRSG"/>
    <s v="HSG14"/>
    <s v="S3"/>
    <s v="V17566-SKXD-7035"/>
    <s v="FR-2"/>
    <s v="FRAME"/>
    <n v="1"/>
    <n v="4806.6000000000004"/>
    <n v="4806.6000000000004"/>
    <s v="(13722x366x1366)"/>
    <m/>
    <m/>
    <m/>
    <m/>
    <m/>
    <m/>
    <m/>
    <m/>
    <m/>
    <m/>
    <m/>
    <m/>
    <m/>
    <n v="4325.9400000000005"/>
    <n v="480.65999999999985"/>
    <m/>
    <m/>
    <n v="0"/>
    <d v="2026-09-21T00:00:00"/>
    <n v="1"/>
    <n v="4806.6000000000004"/>
    <d v="2026-09-22T00:00:00"/>
    <n v="1"/>
    <n v="4806.6000000000004"/>
    <m/>
    <m/>
    <n v="0"/>
    <m/>
    <m/>
    <m/>
    <n v="0"/>
    <m/>
    <m/>
    <n v="0"/>
    <s v="PAC"/>
    <m/>
  </r>
  <r>
    <n v="177"/>
    <x v="0"/>
    <s v="Shipment 2 Outlet Stack"/>
    <x v="0"/>
    <x v="1"/>
    <m/>
    <d v="2026-07-01T00:00:00"/>
    <s v="HRSG"/>
    <s v="HSG14"/>
    <s v="S3"/>
    <s v="V17566-SKXD-7036"/>
    <s v="FR-3"/>
    <s v="FRAME"/>
    <n v="1"/>
    <n v="8915.1"/>
    <n v="8915.1"/>
    <s v="(25304x366x1373)"/>
    <m/>
    <m/>
    <m/>
    <m/>
    <m/>
    <m/>
    <m/>
    <m/>
    <m/>
    <m/>
    <m/>
    <m/>
    <m/>
    <n v="8023.59"/>
    <n v="891.51000000000022"/>
    <m/>
    <m/>
    <n v="0"/>
    <d v="2026-09-21T00:00:00"/>
    <n v="1"/>
    <n v="8915.1"/>
    <d v="2026-09-23T00:00:00"/>
    <n v="1"/>
    <n v="8915.1"/>
    <m/>
    <m/>
    <n v="0"/>
    <m/>
    <m/>
    <m/>
    <n v="0"/>
    <m/>
    <m/>
    <n v="0"/>
    <s v="PAC"/>
    <m/>
  </r>
  <r>
    <n v="178"/>
    <x v="0"/>
    <s v="Shipment 2 Outlet Stack"/>
    <x v="0"/>
    <x v="1"/>
    <m/>
    <d v="2026-07-01T00:00:00"/>
    <s v="HRSG"/>
    <s v="HSG14"/>
    <s v="S3"/>
    <s v="V17566-SKXD-7037"/>
    <s v="FR-4"/>
    <s v="FRAME"/>
    <n v="1"/>
    <n v="4806.6000000000004"/>
    <n v="4806.6000000000004"/>
    <s v="(13722x366x1366)"/>
    <m/>
    <m/>
    <m/>
    <m/>
    <m/>
    <m/>
    <m/>
    <m/>
    <m/>
    <m/>
    <m/>
    <m/>
    <m/>
    <n v="4325.9400000000005"/>
    <n v="480.65999999999985"/>
    <m/>
    <m/>
    <n v="0"/>
    <d v="2026-09-22T00:00:00"/>
    <n v="1"/>
    <n v="4806.6000000000004"/>
    <d v="2026-09-25T00:00:00"/>
    <n v="1"/>
    <n v="4806.6000000000004"/>
    <m/>
    <m/>
    <n v="0"/>
    <m/>
    <m/>
    <m/>
    <n v="0"/>
    <m/>
    <m/>
    <n v="0"/>
    <s v="PAC"/>
    <m/>
  </r>
  <r>
    <n v="179"/>
    <x v="0"/>
    <s v="Shipment 2 Outlet Stack"/>
    <x v="0"/>
    <x v="1"/>
    <m/>
    <d v="2026-07-01T00:00:00"/>
    <s v="HRSG"/>
    <s v="HSG14"/>
    <s v="S3"/>
    <s v="V17566-SKXD-7038"/>
    <s v="FR-5"/>
    <s v="FRAME"/>
    <n v="2"/>
    <n v="151.30000000000001"/>
    <n v="302.7"/>
    <s v="(1002x106x4886)"/>
    <m/>
    <m/>
    <m/>
    <m/>
    <m/>
    <m/>
    <m/>
    <m/>
    <m/>
    <m/>
    <m/>
    <m/>
    <m/>
    <n v="272.43"/>
    <n v="30.269999999999982"/>
    <m/>
    <m/>
    <n v="0"/>
    <d v="2026-09-25T00:00:00"/>
    <n v="2"/>
    <n v="302.7"/>
    <d v="2026-09-30T00:00:00"/>
    <n v="2"/>
    <n v="302.7"/>
    <m/>
    <m/>
    <n v="0"/>
    <m/>
    <m/>
    <m/>
    <n v="0"/>
    <m/>
    <m/>
    <n v="0"/>
    <s v="PAC"/>
    <m/>
  </r>
  <r>
    <n v="180"/>
    <x v="0"/>
    <s v="Shipment 2 Outlet Stack"/>
    <x v="0"/>
    <x v="1"/>
    <m/>
    <d v="2026-07-01T00:00:00"/>
    <s v="HRSG"/>
    <s v="HSG14"/>
    <s v="S3"/>
    <s v="V17566-SKXD-7039"/>
    <s v="FR-6"/>
    <s v="FRAME"/>
    <n v="2"/>
    <n v="148.5"/>
    <n v="296.89999999999998"/>
    <s v="(995x106x4886)"/>
    <m/>
    <m/>
    <m/>
    <m/>
    <m/>
    <m/>
    <m/>
    <m/>
    <m/>
    <m/>
    <m/>
    <m/>
    <m/>
    <n v="267.20999999999998"/>
    <n v="29.689999999999998"/>
    <m/>
    <m/>
    <n v="0"/>
    <d v="2026-09-25T00:00:00"/>
    <n v="2"/>
    <n v="296.89999999999998"/>
    <d v="2026-09-30T00:00:00"/>
    <n v="2"/>
    <n v="296.89999999999998"/>
    <m/>
    <m/>
    <n v="0"/>
    <m/>
    <m/>
    <m/>
    <n v="0"/>
    <m/>
    <m/>
    <n v="0"/>
    <s v="PAC"/>
    <m/>
  </r>
  <r>
    <n v="181"/>
    <x v="0"/>
    <s v="Shipment 2 Outlet Stack"/>
    <x v="0"/>
    <x v="1"/>
    <m/>
    <d v="2026-07-01T00:00:00"/>
    <s v="HRSG"/>
    <s v="HSG14"/>
    <s v="S3"/>
    <s v="V17566-SKXD-7040"/>
    <s v="LS-1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2 Outlet Stack"/>
    <x v="0"/>
    <x v="1"/>
    <m/>
    <d v="2026-07-01T00:00:00"/>
    <s v="HRSG"/>
    <s v="HSG14"/>
    <s v="S3"/>
    <s v="V17566-SKXD-7041"/>
    <s v="LS-2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2 Outlet Stack"/>
    <x v="0"/>
    <x v="1"/>
    <m/>
    <d v="2026-07-01T00:00:00"/>
    <s v="HRSG"/>
    <s v="HSG14"/>
    <s v="S3"/>
    <s v="V17566-SKXD-7042"/>
    <s v="LS-3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2 Outlet Stack"/>
    <x v="0"/>
    <x v="1"/>
    <m/>
    <d v="2026-07-01T00:00:00"/>
    <s v="HRSG"/>
    <s v="HSG14"/>
    <s v="S3"/>
    <s v="V17566-SKXD-7043"/>
    <s v="LS-4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2 Outlet Stack"/>
    <x v="0"/>
    <x v="1"/>
    <m/>
    <d v="2026-07-01T00:00:00"/>
    <s v="HRSG"/>
    <s v="HSG14"/>
    <s v="S3"/>
    <s v="V17566-SKXD-7044"/>
    <s v="LS-5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2 Outlet Stack"/>
    <x v="0"/>
    <x v="1"/>
    <m/>
    <d v="2026-07-01T00:00:00"/>
    <s v="HRSG"/>
    <s v="HSG14"/>
    <s v="S3"/>
    <s v="V17566-SKXD-7045"/>
    <s v="LS-6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2 Outlet Stack"/>
    <x v="0"/>
    <x v="1"/>
    <m/>
    <d v="2026-07-01T00:00:00"/>
    <s v="HRSG"/>
    <s v="HSG14"/>
    <s v="S3"/>
    <s v="V17566-SKXD-7046"/>
    <s v="LS-7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2 Outlet Stack"/>
    <x v="0"/>
    <x v="1"/>
    <m/>
    <d v="2026-07-01T00:00:00"/>
    <s v="HRSG"/>
    <s v="HSG14"/>
    <s v="S3"/>
    <s v="V17566-SKXD-7047"/>
    <s v="LS-8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2 Outlet Stack"/>
    <x v="0"/>
    <x v="1"/>
    <m/>
    <d v="2026-07-01T00:00:00"/>
    <s v="HRSG"/>
    <s v="HSG14"/>
    <s v="S3"/>
    <s v="V17566-SKXD-7048"/>
    <s v="LS-9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2 Outlet Stack"/>
    <x v="0"/>
    <x v="1"/>
    <m/>
    <d v="2026-07-01T00:00:00"/>
    <s v="HRSG"/>
    <s v="HSG14"/>
    <s v="S3"/>
    <s v="V17566-SKXD-7049"/>
    <s v="LS-10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2 Outlet Stack"/>
    <x v="0"/>
    <x v="1"/>
    <m/>
    <d v="2026-07-01T00:00:00"/>
    <s v="HRSG"/>
    <s v="HSG14"/>
    <s v="S3"/>
    <s v="V17566-SKXD-7050"/>
    <s v="LS-11"/>
    <s v="LOOSE PART"/>
    <n v="1"/>
    <n v="13.9"/>
    <n v="13.9"/>
    <s v="(521x150x17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2 Outlet Stack"/>
    <x v="0"/>
    <x v="1"/>
    <m/>
    <d v="2026-07-01T00:00:00"/>
    <s v="HRSG"/>
    <s v="HSG14"/>
    <s v="S3"/>
    <s v="V17566-SKXD-7051"/>
    <s v="LS-1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2 Outlet Stack"/>
    <x v="0"/>
    <x v="1"/>
    <m/>
    <d v="2026-07-01T00:00:00"/>
    <s v="HRSG"/>
    <s v="HSG14"/>
    <s v="S3"/>
    <s v="V17566-SKXD-7052"/>
    <s v="LS-13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2 Outlet Stack"/>
    <x v="0"/>
    <x v="1"/>
    <m/>
    <d v="2026-07-01T00:00:00"/>
    <s v="HRSG"/>
    <s v="HSG14"/>
    <s v="S3"/>
    <s v="V17566-SKXD-7053"/>
    <s v="LS-1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2 Outlet Stack"/>
    <x v="0"/>
    <x v="1"/>
    <m/>
    <d v="2026-07-01T00:00:00"/>
    <s v="HRSG"/>
    <s v="HSG14"/>
    <s v="S3"/>
    <s v="V17566-SKXD-7054"/>
    <s v="LS-15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2 Outlet Stack"/>
    <x v="0"/>
    <x v="1"/>
    <m/>
    <d v="2026-07-01T00:00:00"/>
    <s v="HRSG"/>
    <s v="HSG14"/>
    <s v="S3"/>
    <s v="V17566-SKXD-7055"/>
    <s v="LS-16"/>
    <s v="LOOSE PART"/>
    <n v="1"/>
    <n v="10.9"/>
    <n v="10.9"/>
    <s v="(518x21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2 Outlet Stack"/>
    <x v="0"/>
    <x v="1"/>
    <m/>
    <d v="2026-07-01T00:00:00"/>
    <s v="HRSG"/>
    <s v="HSG14"/>
    <s v="S3"/>
    <s v="V17566-SKXD-7056"/>
    <s v="LS-17"/>
    <s v="LOOSE PART"/>
    <n v="1"/>
    <n v="14.4"/>
    <n v="14.4"/>
    <s v="(511x177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2 Outlet Stack"/>
    <x v="0"/>
    <x v="1"/>
    <m/>
    <d v="2026-07-01T00:00:00"/>
    <s v="HRSG"/>
    <s v="HSG14"/>
    <s v="S3"/>
    <s v="V17566-SKXD-7057"/>
    <s v="LS-1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2 Outlet Stack"/>
    <x v="0"/>
    <x v="1"/>
    <m/>
    <d v="2026-07-01T00:00:00"/>
    <s v="HRSG"/>
    <s v="HSG14"/>
    <s v="S3"/>
    <s v="V17566-SKXD-7058"/>
    <s v="LS-19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2 Outlet Stack"/>
    <x v="0"/>
    <x v="1"/>
    <m/>
    <d v="2026-07-01T00:00:00"/>
    <s v="HRSG"/>
    <s v="HSG14"/>
    <s v="S3"/>
    <s v="V17566-SKXD-7059"/>
    <s v="LS-20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2 Outlet Stack"/>
    <x v="0"/>
    <x v="1"/>
    <m/>
    <d v="2026-07-01T00:00:00"/>
    <s v="HRSG"/>
    <s v="HSG14"/>
    <s v="S3"/>
    <s v="V17566-SKXD-7060"/>
    <s v="LS-21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2 Outlet Stack"/>
    <x v="0"/>
    <x v="1"/>
    <m/>
    <d v="2026-07-01T00:00:00"/>
    <s v="HRSG"/>
    <s v="HSG14"/>
    <s v="S3"/>
    <s v="V17566-SKXD-7061"/>
    <s v="LS-22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2 Outlet Stack"/>
    <x v="0"/>
    <x v="1"/>
    <m/>
    <d v="2026-07-01T00:00:00"/>
    <s v="HRSG"/>
    <s v="HSG14"/>
    <s v="S3"/>
    <s v="V17566-SKXD-7062"/>
    <s v="LS-2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2 Outlet Stack"/>
    <x v="0"/>
    <x v="1"/>
    <m/>
    <d v="2026-07-01T00:00:00"/>
    <s v="HRSG"/>
    <s v="HSG14"/>
    <s v="S3"/>
    <s v="V17566-SKXD-7063"/>
    <s v="LS-24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2 Outlet Stack"/>
    <x v="0"/>
    <x v="1"/>
    <m/>
    <d v="2026-07-01T00:00:00"/>
    <s v="HRSG"/>
    <s v="HSG14"/>
    <s v="S3"/>
    <s v="V17566-SKXD-7064"/>
    <s v="LS-25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2 Outlet Stack"/>
    <x v="0"/>
    <x v="1"/>
    <m/>
    <d v="2026-07-01T00:00:00"/>
    <s v="HRSG"/>
    <s v="HSG14"/>
    <s v="S3"/>
    <s v="V17566-SKXD-7065"/>
    <s v="LS-26"/>
    <s v="LOOSE PART"/>
    <n v="2"/>
    <n v="13.9"/>
    <n v="27.9"/>
    <s v="(521x150x17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2 Outlet Stack"/>
    <x v="0"/>
    <x v="1"/>
    <m/>
    <d v="2026-07-01T00:00:00"/>
    <s v="HRSG"/>
    <s v="HSG14"/>
    <s v="S3"/>
    <s v="V17566-SKXD-7066"/>
    <s v="LS-27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2 Outlet Stack"/>
    <x v="0"/>
    <x v="1"/>
    <m/>
    <d v="2026-07-01T00:00:00"/>
    <s v="HRSG"/>
    <s v="HSG14"/>
    <s v="S3"/>
    <s v="V17566-SKXD-7067"/>
    <s v="LS-28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2 Outlet Stack"/>
    <x v="0"/>
    <x v="1"/>
    <m/>
    <d v="2026-07-01T00:00:00"/>
    <s v="HRSG"/>
    <s v="HSG14"/>
    <s v="S3"/>
    <s v="V17566-SKXD-7068"/>
    <s v="LS-29"/>
    <s v="LOOSE PART"/>
    <n v="2"/>
    <n v="13.9"/>
    <n v="27.9"/>
    <s v="(521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2 Outlet Stack"/>
    <x v="0"/>
    <x v="1"/>
    <m/>
    <d v="2026-07-01T00:00:00"/>
    <s v="HRSG"/>
    <s v="HSG14"/>
    <s v="S3"/>
    <s v="V17566-SKXD-7069"/>
    <s v="LS-30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2 Outlet Stack"/>
    <x v="0"/>
    <x v="1"/>
    <m/>
    <d v="2026-07-01T00:00:00"/>
    <s v="HRSG"/>
    <s v="HSG14"/>
    <s v="S3"/>
    <s v="V17566-SKXD-7070"/>
    <s v="LS-31"/>
    <s v="LOOSE PART"/>
    <n v="1"/>
    <n v="10.9"/>
    <n v="10.9"/>
    <s v="(518x227x208)"/>
    <m/>
    <m/>
    <m/>
    <m/>
    <m/>
    <m/>
    <m/>
    <m/>
    <m/>
    <m/>
    <m/>
    <m/>
    <m/>
    <n v="0"/>
    <n v="10.9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2 Outlet Stack"/>
    <x v="0"/>
    <x v="1"/>
    <m/>
    <d v="2026-07-01T00:00:00"/>
    <s v="HRSG"/>
    <s v="HSG14"/>
    <s v="S3"/>
    <s v="V17566-SKXD-7071"/>
    <s v="LS-32"/>
    <s v="LOOSE PART"/>
    <n v="1"/>
    <n v="14.4"/>
    <n v="14.4"/>
    <s v="(511x186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2 Outlet Stack"/>
    <x v="0"/>
    <x v="1"/>
    <m/>
    <d v="2026-07-01T00:00:00"/>
    <s v="HRSG"/>
    <s v="HSG14"/>
    <s v="S3"/>
    <s v="V17566-SKXD-7072"/>
    <s v="LS-33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2 Outlet Stack"/>
    <x v="0"/>
    <x v="1"/>
    <m/>
    <d v="2026-07-01T00:00:00"/>
    <s v="HRSG"/>
    <s v="HSG14"/>
    <s v="S3"/>
    <s v="V17566-SKXD-7073"/>
    <s v="LS-34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2 Outlet Stack"/>
    <x v="0"/>
    <x v="1"/>
    <m/>
    <d v="2026-07-01T00:00:00"/>
    <s v="HRSG"/>
    <s v="HSG14"/>
    <s v="S3"/>
    <s v="V17566-SKXD-7074"/>
    <s v="LS-35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2 Outlet Stack"/>
    <x v="0"/>
    <x v="1"/>
    <m/>
    <d v="2026-07-01T00:00:00"/>
    <s v="HRSG"/>
    <s v="HSG14"/>
    <s v="S3"/>
    <s v="V17566-SKXD-7075"/>
    <s v="LS-36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2 Outlet Stack"/>
    <x v="0"/>
    <x v="1"/>
    <m/>
    <d v="2026-07-01T00:00:00"/>
    <s v="HRSG"/>
    <s v="HSG14"/>
    <s v="S3"/>
    <s v="V17566-SKXD-7076"/>
    <s v="LS-37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2 Outlet Stack"/>
    <x v="0"/>
    <x v="1"/>
    <m/>
    <d v="2026-07-01T00:00:00"/>
    <s v="HRSG"/>
    <s v="HSG14"/>
    <s v="S3"/>
    <s v="V17566-SKXD-7077"/>
    <s v="LS-38"/>
    <s v="LOOSE PART"/>
    <n v="1"/>
    <n v="14.4"/>
    <n v="14.4"/>
    <s v="(511x183x200)"/>
    <m/>
    <m/>
    <m/>
    <m/>
    <m/>
    <m/>
    <m/>
    <m/>
    <m/>
    <m/>
    <m/>
    <m/>
    <m/>
    <n v="0"/>
    <n v="14.4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2 Outlet Stack"/>
    <x v="0"/>
    <x v="1"/>
    <m/>
    <d v="2026-07-01T00:00:00"/>
    <s v="HRSG"/>
    <s v="HSG14"/>
    <s v="S3"/>
    <s v="V17566-SKXD-7078"/>
    <s v="LS-39"/>
    <s v="LOOSE PART"/>
    <n v="7"/>
    <n v="13.9"/>
    <n v="97.6"/>
    <s v="(519x170x150)"/>
    <m/>
    <m/>
    <m/>
    <m/>
    <m/>
    <m/>
    <m/>
    <m/>
    <m/>
    <m/>
    <m/>
    <m/>
    <m/>
    <n v="0"/>
    <n v="97.6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2 Outlet Stack"/>
    <x v="0"/>
    <x v="1"/>
    <m/>
    <d v="2026-07-01T00:00:00"/>
    <s v="HRSG"/>
    <s v="HSG14"/>
    <s v="S3"/>
    <s v="V17566-SKXD-7079"/>
    <s v="LS-40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2 Outlet Stack"/>
    <x v="0"/>
    <x v="1"/>
    <m/>
    <d v="2026-07-01T00:00:00"/>
    <s v="HRSG"/>
    <s v="HSG14"/>
    <s v="S3"/>
    <s v="V17566-SKXD-7080"/>
    <s v="LS-41"/>
    <s v="LOOSE PART"/>
    <n v="1"/>
    <n v="37.799999999999997"/>
    <n v="37.799999999999997"/>
    <s v="(524x220x200)"/>
    <m/>
    <m/>
    <m/>
    <m/>
    <m/>
    <m/>
    <m/>
    <m/>
    <m/>
    <m/>
    <m/>
    <m/>
    <m/>
    <n v="0"/>
    <n v="37.799999999999997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2 Outlet Stack"/>
    <x v="0"/>
    <x v="1"/>
    <m/>
    <d v="2026-07-01T00:00:00"/>
    <s v="HRSG"/>
    <s v="HSG14"/>
    <s v="S3"/>
    <s v="V17566-SKXD-7081"/>
    <s v="LS-42"/>
    <s v="LOOSE PART"/>
    <n v="1"/>
    <n v="13.9"/>
    <n v="13.9"/>
    <s v="(519x170x150)"/>
    <m/>
    <m/>
    <m/>
    <m/>
    <m/>
    <m/>
    <m/>
    <m/>
    <m/>
    <m/>
    <m/>
    <m/>
    <m/>
    <n v="0"/>
    <n v="13.9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2 Outlet Stack"/>
    <x v="0"/>
    <x v="1"/>
    <m/>
    <d v="2026-07-01T00:00:00"/>
    <s v="HRSG"/>
    <s v="HSG14"/>
    <s v="S3"/>
    <s v="V17566-SKXD-7082"/>
    <s v="LS-43"/>
    <s v="LOOSE PART"/>
    <n v="2"/>
    <n v="13.9"/>
    <n v="27.9"/>
    <s v="(519x170x150)"/>
    <m/>
    <m/>
    <m/>
    <m/>
    <m/>
    <m/>
    <m/>
    <m/>
    <m/>
    <m/>
    <m/>
    <m/>
    <m/>
    <n v="0"/>
    <n v="27.9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2 Outlet Stack"/>
    <x v="0"/>
    <x v="1"/>
    <m/>
    <d v="2026-07-01T00:00:00"/>
    <s v="HRSG"/>
    <s v="HSG14"/>
    <s v="S3"/>
    <s v="V17566-SKXD-7083"/>
    <s v="LS-44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2 Outlet Stack"/>
    <x v="0"/>
    <x v="1"/>
    <m/>
    <d v="2026-07-01T00:00:00"/>
    <s v="HRSG"/>
    <s v="HSG14"/>
    <s v="S3"/>
    <s v="V17566-SKXD-7084"/>
    <s v="LS-45"/>
    <s v="LOOSE PART"/>
    <n v="1"/>
    <n v="9.1"/>
    <n v="9.1"/>
    <s v="(518x150x130)"/>
    <m/>
    <m/>
    <m/>
    <m/>
    <m/>
    <m/>
    <m/>
    <m/>
    <m/>
    <m/>
    <m/>
    <m/>
    <m/>
    <n v="0"/>
    <n v="9.1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2 Outlet Stack"/>
    <x v="0"/>
    <x v="1"/>
    <m/>
    <d v="2026-07-01T00:00:00"/>
    <s v="HRSG"/>
    <s v="HSG14"/>
    <s v="S3"/>
    <s v="V17566-SKXD-7085"/>
    <s v="LS-46"/>
    <s v="LOOSE PART"/>
    <n v="1"/>
    <n v="12.4"/>
    <n v="12.4"/>
    <s v="(511x100x200)"/>
    <m/>
    <m/>
    <m/>
    <m/>
    <m/>
    <m/>
    <m/>
    <m/>
    <m/>
    <m/>
    <m/>
    <m/>
    <m/>
    <n v="0"/>
    <n v="12.4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2 Outlet Stack"/>
    <x v="0"/>
    <x v="1"/>
    <m/>
    <d v="2026-07-01T00:00:00"/>
    <s v="HRSG"/>
    <s v="HSG14"/>
    <s v="S3"/>
    <s v="V17566-SKXD-7184"/>
    <s v="LS-47"/>
    <s v="LOOSE PART"/>
    <n v="2"/>
    <n v="9.1"/>
    <n v="18.2"/>
    <s v="(518x150x130)"/>
    <m/>
    <m/>
    <m/>
    <m/>
    <m/>
    <m/>
    <m/>
    <m/>
    <m/>
    <m/>
    <m/>
    <m/>
    <m/>
    <n v="0"/>
    <n v="18.2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2 Outlet Stack"/>
    <x v="0"/>
    <x v="1"/>
    <m/>
    <d v="2026-07-01T00:00:00"/>
    <s v="HRSG"/>
    <s v="HSG14"/>
    <s v="S3"/>
    <s v="V17566-SKXD-7185"/>
    <s v="LS-48"/>
    <s v="LOOSE PART"/>
    <n v="1"/>
    <n v="17.7"/>
    <n v="17.7"/>
    <s v="(521x360x241)"/>
    <m/>
    <m/>
    <m/>
    <m/>
    <m/>
    <m/>
    <m/>
    <m/>
    <m/>
    <m/>
    <m/>
    <m/>
    <m/>
    <n v="0"/>
    <n v="17.7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2 Outlet Stack"/>
    <x v="0"/>
    <x v="1"/>
    <m/>
    <d v="2026-07-01T00:00:00"/>
    <s v="HRSG"/>
    <s v="HSG14"/>
    <s v="S3"/>
    <s v="V17566-SKXD-7086"/>
    <s v="PT-1"/>
    <s v="PIPE BRACE"/>
    <n v="4"/>
    <n v="54.4"/>
    <n v="217.8"/>
    <s v="(4674x152x89)"/>
    <m/>
    <m/>
    <m/>
    <m/>
    <m/>
    <m/>
    <m/>
    <m/>
    <m/>
    <m/>
    <m/>
    <m/>
    <m/>
    <n v="0"/>
    <n v="217.8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2 Outlet Stack"/>
    <x v="0"/>
    <x v="1"/>
    <m/>
    <d v="2026-07-01T00:00:00"/>
    <s v="HRSG"/>
    <s v="HSG14"/>
    <s v="S3"/>
    <s v="V17566-SKXD-7087"/>
    <s v="PT-2"/>
    <s v="PIPE BRACE"/>
    <n v="1"/>
    <n v="198.8"/>
    <n v="198.8"/>
    <s v="(6871x168x268)"/>
    <m/>
    <m/>
    <m/>
    <m/>
    <m/>
    <m/>
    <m/>
    <m/>
    <m/>
    <m/>
    <m/>
    <m/>
    <m/>
    <n v="0"/>
    <n v="198.8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2 Outlet Stack"/>
    <x v="0"/>
    <x v="1"/>
    <m/>
    <d v="2026-07-01T00:00:00"/>
    <s v="HRSG"/>
    <s v="HSG14"/>
    <s v="S3"/>
    <s v="V17566-SKXD-7088"/>
    <s v="PT-3"/>
    <s v="PIPE BRACE"/>
    <n v="1"/>
    <n v="198.9"/>
    <n v="198.9"/>
    <s v="(6875x168x268)"/>
    <m/>
    <m/>
    <m/>
    <m/>
    <m/>
    <m/>
    <m/>
    <m/>
    <m/>
    <m/>
    <m/>
    <m/>
    <m/>
    <n v="0"/>
    <n v="198.9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2 Outlet Stack"/>
    <x v="0"/>
    <x v="1"/>
    <m/>
    <d v="2026-07-01T00:00:00"/>
    <s v="HRSG"/>
    <s v="HSG07"/>
    <s v="S3"/>
    <s v="V17566-SKXD-7089"/>
    <s v="SK1-1"/>
    <s v="SHELL PLATE"/>
    <n v="1"/>
    <n v="6005.7"/>
    <n v="6005.7"/>
    <s v="(4921x7393x3436)"/>
    <m/>
    <m/>
    <m/>
    <m/>
    <m/>
    <m/>
    <m/>
    <m/>
    <m/>
    <m/>
    <m/>
    <m/>
    <m/>
    <n v="5405.13"/>
    <n v="600.56999999999971"/>
    <m/>
    <m/>
    <n v="0"/>
    <d v="2026-08-20T00:00:00"/>
    <n v="1"/>
    <n v="6005.7"/>
    <d v="2026-08-25T00:00:00"/>
    <n v="1"/>
    <n v="6005.7"/>
    <m/>
    <m/>
    <n v="0"/>
    <m/>
    <m/>
    <m/>
    <n v="0"/>
    <m/>
    <m/>
    <n v="0"/>
    <s v="PAC"/>
    <m/>
  </r>
  <r>
    <n v="233"/>
    <x v="0"/>
    <s v="Shipment 2 Outlet Stack"/>
    <x v="0"/>
    <x v="1"/>
    <m/>
    <d v="2026-07-01T00:00:00"/>
    <s v="HRSG"/>
    <s v="HSG07"/>
    <s v="S3"/>
    <s v="V17566-SKXD-7093"/>
    <s v="SK1-2"/>
    <s v="SHELL PLATE"/>
    <n v="1"/>
    <n v="6164"/>
    <n v="6164"/>
    <s v="(4921x7393x3436)"/>
    <m/>
    <m/>
    <m/>
    <m/>
    <m/>
    <m/>
    <m/>
    <m/>
    <m/>
    <m/>
    <m/>
    <m/>
    <m/>
    <n v="5547.6"/>
    <n v="616.39999999999964"/>
    <m/>
    <m/>
    <n v="0"/>
    <d v="2026-08-24T00:00:00"/>
    <n v="1"/>
    <n v="6164"/>
    <d v="2026-08-29T00:00:00"/>
    <n v="1"/>
    <n v="6164"/>
    <m/>
    <m/>
    <n v="0"/>
    <m/>
    <m/>
    <m/>
    <n v="0"/>
    <m/>
    <m/>
    <n v="0"/>
    <s v="PAC"/>
    <m/>
  </r>
  <r>
    <n v="234"/>
    <x v="0"/>
    <s v="Shipment 2 Outlet Stack"/>
    <x v="0"/>
    <x v="1"/>
    <m/>
    <d v="2026-07-01T00:00:00"/>
    <s v="HRSG"/>
    <s v="HSG07"/>
    <s v="S4"/>
    <s v="V17566-SKXD-7098"/>
    <s v="SK2-1"/>
    <s v="SHELL PLATE"/>
    <n v="1"/>
    <n v="3345.8"/>
    <n v="3345.8"/>
    <s v="(3534x2485x6582)"/>
    <m/>
    <m/>
    <m/>
    <m/>
    <m/>
    <m/>
    <m/>
    <m/>
    <m/>
    <m/>
    <m/>
    <m/>
    <m/>
    <n v="3011.2200000000003"/>
    <n v="334.57999999999993"/>
    <m/>
    <m/>
    <n v="0"/>
    <d v="2026-09-17T00:00:00"/>
    <n v="1"/>
    <n v="3345.8"/>
    <d v="2026-09-19T00:00:00"/>
    <n v="1"/>
    <n v="3345.8"/>
    <m/>
    <m/>
    <n v="0"/>
    <m/>
    <m/>
    <m/>
    <n v="0"/>
    <m/>
    <m/>
    <n v="0"/>
    <s v="PAC"/>
    <m/>
  </r>
  <r>
    <n v="235"/>
    <x v="0"/>
    <s v="Shipment 2 Outlet Stack"/>
    <x v="0"/>
    <x v="1"/>
    <m/>
    <d v="2026-07-01T00:00:00"/>
    <s v="HRSG"/>
    <s v="HSG07"/>
    <s v="S4"/>
    <s v="V17566-SKXD-7102"/>
    <s v="SK2-2"/>
    <s v="SHELL PLATE"/>
    <n v="1"/>
    <n v="3345.9"/>
    <n v="3345.9"/>
    <s v="(3534x2485x6582)"/>
    <m/>
    <m/>
    <m/>
    <m/>
    <m/>
    <m/>
    <m/>
    <m/>
    <m/>
    <m/>
    <m/>
    <m/>
    <m/>
    <n v="3011.3100000000004"/>
    <n v="334.58999999999969"/>
    <m/>
    <m/>
    <n v="0"/>
    <d v="2026-09-17T00:00:00"/>
    <n v="1"/>
    <n v="3345.9"/>
    <d v="2026-09-21T00:00:00"/>
    <n v="1"/>
    <n v="3345.9"/>
    <m/>
    <m/>
    <n v="0"/>
    <m/>
    <m/>
    <m/>
    <n v="0"/>
    <m/>
    <m/>
    <n v="0"/>
    <s v="PAC"/>
    <m/>
  </r>
  <r>
    <n v="236"/>
    <x v="0"/>
    <s v="Shipment 2 Outlet Stack"/>
    <x v="0"/>
    <x v="1"/>
    <m/>
    <d v="2026-07-01T00:00:00"/>
    <s v="HRSG"/>
    <s v="HSG07"/>
    <s v="S4"/>
    <s v="V17566-SKXD-7106"/>
    <s v="SK2-3"/>
    <s v="SHELL PLATE"/>
    <n v="1"/>
    <n v="2145.6999999999998"/>
    <n v="2145.6999999999998"/>
    <s v="(3534x2435x6582)"/>
    <m/>
    <m/>
    <m/>
    <m/>
    <m/>
    <m/>
    <m/>
    <m/>
    <m/>
    <m/>
    <m/>
    <m/>
    <m/>
    <n v="1931.1299999999999"/>
    <n v="214.56999999999994"/>
    <m/>
    <m/>
    <n v="0"/>
    <d v="2026-09-17T00:00:00"/>
    <n v="1"/>
    <n v="2145.6999999999998"/>
    <d v="2026-09-22T00:00:00"/>
    <n v="1"/>
    <n v="2145.6999999999998"/>
    <m/>
    <m/>
    <n v="0"/>
    <m/>
    <m/>
    <m/>
    <n v="0"/>
    <m/>
    <m/>
    <n v="0"/>
    <s v="PAC"/>
    <m/>
  </r>
  <r>
    <n v="237"/>
    <x v="0"/>
    <s v="Shipment 2 Outlet Stack"/>
    <x v="0"/>
    <x v="1"/>
    <m/>
    <d v="2026-07-01T00:00:00"/>
    <s v="HRSG"/>
    <s v="HSG07"/>
    <s v="S4"/>
    <s v="V17566-SKXD-7110"/>
    <s v="SK2-4"/>
    <s v="SHELL PLATE"/>
    <n v="1"/>
    <n v="3345.8"/>
    <n v="3345.8"/>
    <s v="(3534x2485x6582)"/>
    <m/>
    <m/>
    <m/>
    <m/>
    <m/>
    <m/>
    <m/>
    <m/>
    <m/>
    <m/>
    <m/>
    <m/>
    <m/>
    <n v="3011.2200000000003"/>
    <n v="334.57999999999993"/>
    <m/>
    <m/>
    <n v="0"/>
    <d v="2026-09-19T00:00:00"/>
    <n v="1"/>
    <n v="3345.8"/>
    <d v="2026-09-24T00:00:00"/>
    <n v="1"/>
    <n v="3345.8"/>
    <m/>
    <m/>
    <n v="0"/>
    <m/>
    <m/>
    <m/>
    <n v="0"/>
    <m/>
    <m/>
    <n v="0"/>
    <s v="PAC"/>
    <m/>
  </r>
  <r>
    <n v="238"/>
    <x v="0"/>
    <s v="Shipment 2 Outlet Stack"/>
    <x v="0"/>
    <x v="1"/>
    <m/>
    <d v="2026-07-01T00:00:00"/>
    <s v="HRSG"/>
    <s v="HSG07"/>
    <s v="S4"/>
    <s v="V17566-SKXD-7114"/>
    <s v="SK2-5"/>
    <s v="SHELL PLATE"/>
    <n v="1"/>
    <n v="1856.1"/>
    <n v="1856.1"/>
    <s v="(3488x2485x6582)"/>
    <m/>
    <m/>
    <m/>
    <m/>
    <m/>
    <m/>
    <m/>
    <m/>
    <m/>
    <m/>
    <m/>
    <m/>
    <m/>
    <n v="1670.49"/>
    <n v="185.6099999999999"/>
    <m/>
    <m/>
    <n v="0"/>
    <d v="2026-09-19T00:00:00"/>
    <n v="1"/>
    <n v="1856.1"/>
    <d v="2026-09-25T00:00:00"/>
    <n v="1"/>
    <n v="1856.1"/>
    <m/>
    <m/>
    <n v="0"/>
    <m/>
    <m/>
    <m/>
    <n v="0"/>
    <m/>
    <m/>
    <n v="0"/>
    <s v="PAC"/>
    <m/>
  </r>
  <r>
    <n v="239"/>
    <x v="0"/>
    <s v="Shipment 2 Outlet Stack"/>
    <x v="0"/>
    <x v="1"/>
    <m/>
    <d v="2026-07-01T00:00:00"/>
    <s v="HRSG"/>
    <s v="HSG05"/>
    <s v="S3"/>
    <s v="V17566-SKXD-7118"/>
    <s v="SK3-1"/>
    <s v="SHELL PLATE"/>
    <n v="1"/>
    <n v="3894.5"/>
    <n v="3894.5"/>
    <s v="(3143x1815x12189)"/>
    <m/>
    <m/>
    <m/>
    <m/>
    <m/>
    <m/>
    <m/>
    <m/>
    <m/>
    <m/>
    <m/>
    <m/>
    <m/>
    <n v="3505.05"/>
    <n v="389.44999999999982"/>
    <m/>
    <m/>
    <n v="0"/>
    <d v="2026-08-31T00:00:00"/>
    <n v="1"/>
    <n v="3894.5"/>
    <d v="2026-09-04T00:00:00"/>
    <n v="1"/>
    <n v="3894.5"/>
    <m/>
    <m/>
    <n v="0"/>
    <m/>
    <m/>
    <m/>
    <n v="0"/>
    <m/>
    <m/>
    <n v="0"/>
    <s v="PAC"/>
    <m/>
  </r>
  <r>
    <n v="240"/>
    <x v="0"/>
    <s v="Shipment 2 Outlet Stack"/>
    <x v="0"/>
    <x v="1"/>
    <m/>
    <d v="2026-07-01T00:00:00"/>
    <s v="HRSG"/>
    <s v="HSG05"/>
    <s v="S3"/>
    <s v="V17566-SKXD-7121"/>
    <s v="SK3-2"/>
    <s v="SHELL PLATE"/>
    <n v="1"/>
    <n v="3698.8"/>
    <n v="3698.8"/>
    <s v="(3488x2435x12189)"/>
    <m/>
    <m/>
    <m/>
    <m/>
    <m/>
    <m/>
    <m/>
    <m/>
    <m/>
    <m/>
    <m/>
    <m/>
    <m/>
    <n v="3328.92"/>
    <n v="369.88000000000011"/>
    <m/>
    <m/>
    <n v="0"/>
    <d v="2026-09-03T00:00:00"/>
    <n v="1"/>
    <n v="3698.8"/>
    <d v="2026-09-07T00:00:00"/>
    <n v="1"/>
    <n v="3698.8"/>
    <m/>
    <m/>
    <n v="0"/>
    <m/>
    <m/>
    <m/>
    <n v="0"/>
    <m/>
    <m/>
    <n v="0"/>
    <s v="PAC"/>
    <m/>
  </r>
  <r>
    <n v="241"/>
    <x v="0"/>
    <s v="Shipment 2 Outlet Stack"/>
    <x v="0"/>
    <x v="1"/>
    <m/>
    <d v="2026-07-01T00:00:00"/>
    <s v="HRSG"/>
    <s v="HSG05"/>
    <s v="S3"/>
    <s v="V17566-SKXD-7125"/>
    <s v="SK3-3"/>
    <s v="SHELL PLATE"/>
    <n v="1"/>
    <n v="4623.1000000000004"/>
    <n v="4623.1000000000004"/>
    <s v="(3486x2429x12189)"/>
    <m/>
    <m/>
    <m/>
    <m/>
    <m/>
    <m/>
    <m/>
    <m/>
    <m/>
    <m/>
    <m/>
    <m/>
    <m/>
    <n v="4160.7900000000009"/>
    <n v="462.30999999999949"/>
    <m/>
    <m/>
    <n v="0"/>
    <d v="2026-08-25T00:00:00"/>
    <n v="1"/>
    <n v="4623.1000000000004"/>
    <d v="2026-08-27T00:00:00"/>
    <n v="1"/>
    <n v="4623.1000000000004"/>
    <m/>
    <m/>
    <n v="0"/>
    <m/>
    <m/>
    <m/>
    <n v="0"/>
    <m/>
    <m/>
    <n v="0"/>
    <s v="PAC"/>
    <m/>
  </r>
  <r>
    <n v="242"/>
    <x v="0"/>
    <s v="Shipment 2 Outlet Stack"/>
    <x v="0"/>
    <x v="1"/>
    <m/>
    <d v="2026-07-01T00:00:00"/>
    <s v="HRSG"/>
    <s v="HSG05"/>
    <s v="S3"/>
    <s v="V17566-SKXD-7128"/>
    <s v="SK3-4"/>
    <s v="SHELL PLATE"/>
    <n v="1"/>
    <n v="3412.8"/>
    <n v="3412.8"/>
    <s v="(3488x2435x12189)"/>
    <m/>
    <m/>
    <m/>
    <m/>
    <m/>
    <m/>
    <m/>
    <m/>
    <m/>
    <m/>
    <m/>
    <m/>
    <m/>
    <n v="3071.5200000000004"/>
    <n v="341.27999999999975"/>
    <m/>
    <m/>
    <n v="0"/>
    <d v="2026-08-31T00:00:00"/>
    <n v="1"/>
    <n v="3412.8"/>
    <d v="2026-09-07T00:00:00"/>
    <n v="1"/>
    <n v="3412.8"/>
    <m/>
    <m/>
    <n v="0"/>
    <m/>
    <m/>
    <m/>
    <n v="0"/>
    <m/>
    <m/>
    <n v="0"/>
    <s v="PAC"/>
    <m/>
  </r>
  <r>
    <n v="243"/>
    <x v="0"/>
    <s v="Shipment 2 Outlet Stack"/>
    <x v="0"/>
    <x v="1"/>
    <m/>
    <d v="2026-07-01T00:00:00"/>
    <s v="HRSG"/>
    <s v="HSG05"/>
    <s v="S3"/>
    <s v="V17566-SKXD-7132"/>
    <s v="SK4-1"/>
    <s v="SHELL PLATE"/>
    <n v="1"/>
    <n v="3463.5"/>
    <n v="3463.5"/>
    <s v="(3488x2434x10233)"/>
    <m/>
    <m/>
    <m/>
    <m/>
    <m/>
    <m/>
    <m/>
    <m/>
    <m/>
    <m/>
    <m/>
    <m/>
    <m/>
    <n v="3463.5"/>
    <n v="0"/>
    <m/>
    <m/>
    <n v="0"/>
    <d v="2026-08-20T00:00:00"/>
    <n v="1"/>
    <n v="3463.5"/>
    <d v="2026-08-25T00:00:00"/>
    <n v="1"/>
    <n v="3463.5"/>
    <m/>
    <m/>
    <n v="0"/>
    <s v="U284-007-1"/>
    <d v="2026-09-24T00:00:00"/>
    <n v="1"/>
    <n v="3463.5"/>
    <d v="2026-09-30T00:00:00"/>
    <n v="1"/>
    <n v="3463.5"/>
    <s v="PAC"/>
    <s v="U284-003"/>
  </r>
  <r>
    <n v="244"/>
    <x v="0"/>
    <s v="Shipment 2 Outlet Stack"/>
    <x v="0"/>
    <x v="1"/>
    <m/>
    <d v="2026-07-01T00:00:00"/>
    <s v="HRSG"/>
    <s v="HSG05"/>
    <s v="S3"/>
    <s v="V17566-SKXD-7136"/>
    <s v="SK4-2"/>
    <s v="SHELL PLATE"/>
    <n v="1"/>
    <n v="1816.7"/>
    <n v="1816.7"/>
    <s v="(3491x2553x9928)"/>
    <m/>
    <m/>
    <m/>
    <m/>
    <m/>
    <m/>
    <m/>
    <m/>
    <m/>
    <m/>
    <m/>
    <m/>
    <m/>
    <n v="1635.0300000000002"/>
    <n v="181.66999999999985"/>
    <m/>
    <m/>
    <n v="0"/>
    <d v="2026-08-24T00:00:00"/>
    <n v="1"/>
    <n v="1816.7"/>
    <d v="2026-08-29T00:00:00"/>
    <n v="1"/>
    <n v="1816.7"/>
    <m/>
    <m/>
    <n v="0"/>
    <m/>
    <m/>
    <m/>
    <n v="0"/>
    <m/>
    <m/>
    <n v="0"/>
    <s v="PAC"/>
    <m/>
  </r>
  <r>
    <n v="245"/>
    <x v="0"/>
    <s v="Shipment 2 Outlet Stack"/>
    <x v="0"/>
    <x v="1"/>
    <m/>
    <d v="2026-07-01T00:00:00"/>
    <s v="HRSG"/>
    <s v="HSG05"/>
    <s v="S3"/>
    <s v="V17566-SKXD-7139"/>
    <s v="SK4-3"/>
    <s v="SHELL PLATE"/>
    <n v="1"/>
    <n v="1004.9"/>
    <n v="1004.9"/>
    <s v="(3488x2434x2290)"/>
    <m/>
    <m/>
    <m/>
    <m/>
    <m/>
    <m/>
    <m/>
    <m/>
    <m/>
    <m/>
    <m/>
    <m/>
    <m/>
    <n v="1004.9000000000001"/>
    <n v="0"/>
    <m/>
    <m/>
    <n v="0"/>
    <d v="2026-08-21T00:00:00"/>
    <n v="1"/>
    <n v="1004.9"/>
    <d v="2026-08-25T00:00:00"/>
    <n v="1"/>
    <n v="1004.9"/>
    <m/>
    <m/>
    <n v="0"/>
    <s v="U284-007"/>
    <d v="2026-09-24T00:00:00"/>
    <n v="1"/>
    <n v="1004.9"/>
    <d v="2026-09-28T00:00:00"/>
    <n v="1"/>
    <n v="1004.9"/>
    <s v="PAC"/>
    <s v="U284-007"/>
  </r>
  <r>
    <n v="246"/>
    <x v="0"/>
    <s v="Shipment 2 Outlet Stack"/>
    <x v="0"/>
    <x v="1"/>
    <m/>
    <d v="2026-07-01T00:00:00"/>
    <s v="HRSG"/>
    <s v="HSG05"/>
    <s v="S3"/>
    <s v="V17566-SKXD-7142"/>
    <s v="SK4-4"/>
    <s v="SHELL PLATE"/>
    <n v="1"/>
    <n v="2119.8000000000002"/>
    <n v="2119.8000000000002"/>
    <s v="(3488x2434x9928)"/>
    <m/>
    <m/>
    <m/>
    <m/>
    <m/>
    <m/>
    <m/>
    <m/>
    <m/>
    <m/>
    <m/>
    <m/>
    <m/>
    <n v="1907.8200000000002"/>
    <n v="211.98000000000002"/>
    <m/>
    <m/>
    <n v="0"/>
    <d v="2026-08-21T00:00:00"/>
    <n v="1"/>
    <n v="2119.8000000000002"/>
    <d v="2026-08-30T00:00:00"/>
    <n v="1"/>
    <n v="2119.8000000000002"/>
    <m/>
    <m/>
    <n v="0"/>
    <m/>
    <m/>
    <m/>
    <n v="0"/>
    <m/>
    <m/>
    <n v="0"/>
    <s v="PAC"/>
    <m/>
  </r>
  <r>
    <n v="247"/>
    <x v="0"/>
    <s v="Shipment 2 Outlet Stack"/>
    <x v="0"/>
    <x v="1"/>
    <m/>
    <d v="2026-07-01T00:00:00"/>
    <s v="HRSG"/>
    <s v="HSG05"/>
    <s v="S3"/>
    <s v="V17566-SKXD-7145"/>
    <s v="SK4-5"/>
    <s v="SHELL PLATE"/>
    <n v="1"/>
    <n v="3149.8"/>
    <n v="3149.8"/>
    <s v="(3488x2498x10233)"/>
    <m/>
    <m/>
    <m/>
    <m/>
    <m/>
    <m/>
    <m/>
    <m/>
    <m/>
    <m/>
    <m/>
    <m/>
    <m/>
    <n v="2834.82"/>
    <n v="314.98"/>
    <m/>
    <m/>
    <n v="0"/>
    <d v="2026-08-27T00:00:00"/>
    <n v="1"/>
    <n v="3149.8"/>
    <d v="2026-09-04T00:00:00"/>
    <n v="1"/>
    <n v="3149.8"/>
    <m/>
    <m/>
    <n v="0"/>
    <m/>
    <m/>
    <m/>
    <n v="0"/>
    <m/>
    <m/>
    <n v="0"/>
    <s v="PAC"/>
    <m/>
  </r>
  <r>
    <n v="248"/>
    <x v="0"/>
    <s v="Shipment 2 Outlet Stack"/>
    <x v="0"/>
    <x v="1"/>
    <m/>
    <d v="2026-07-01T00:00:00"/>
    <s v="HRSG"/>
    <s v="HSG05"/>
    <s v="S4"/>
    <s v="V17566-SKXD-7149"/>
    <s v="SK5-1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6T00:00:00"/>
    <n v="1"/>
    <n v="2513.3000000000002"/>
    <d v="2026-09-09T00:00:00"/>
    <n v="1"/>
    <n v="2513.3000000000002"/>
    <m/>
    <m/>
    <n v="0"/>
    <m/>
    <m/>
    <m/>
    <n v="0"/>
    <m/>
    <m/>
    <n v="0"/>
    <s v="PAC"/>
    <m/>
  </r>
  <r>
    <n v="249"/>
    <x v="0"/>
    <s v="Shipment 2 Outlet Stack"/>
    <x v="0"/>
    <x v="1"/>
    <m/>
    <d v="2026-07-01T00:00:00"/>
    <s v="HRSG"/>
    <s v="HSG05"/>
    <s v="S4"/>
    <s v="V17566-SKXD-7151"/>
    <s v="SK5-2"/>
    <s v="SHELL PLATE"/>
    <n v="1"/>
    <n v="2513.3000000000002"/>
    <n v="2513.3000000000002"/>
    <s v="(3488x2433x10538)"/>
    <m/>
    <m/>
    <m/>
    <m/>
    <m/>
    <m/>
    <m/>
    <m/>
    <m/>
    <m/>
    <m/>
    <m/>
    <m/>
    <n v="2261.9700000000003"/>
    <n v="251.32999999999993"/>
    <m/>
    <m/>
    <n v="0"/>
    <d v="2026-09-07T00:00:00"/>
    <n v="1"/>
    <n v="2513.3000000000002"/>
    <d v="2026-09-10T00:00:00"/>
    <n v="1"/>
    <n v="2513.3000000000002"/>
    <m/>
    <m/>
    <n v="0"/>
    <m/>
    <m/>
    <m/>
    <n v="0"/>
    <m/>
    <m/>
    <n v="0"/>
    <s v="PAC"/>
    <m/>
  </r>
  <r>
    <n v="250"/>
    <x v="0"/>
    <s v="Shipment 2 Outlet Stack"/>
    <x v="0"/>
    <x v="1"/>
    <m/>
    <d v="2026-07-01T00:00:00"/>
    <s v="HRSG"/>
    <s v="HSG05"/>
    <s v="S4"/>
    <s v="V17566-SKXD-7153"/>
    <s v="SK5-3"/>
    <s v="SHELL PLATE"/>
    <n v="2"/>
    <n v="2513.1999999999998"/>
    <n v="5026.3999999999996"/>
    <s v="(3488x2433x10538)"/>
    <m/>
    <m/>
    <m/>
    <m/>
    <m/>
    <m/>
    <m/>
    <m/>
    <m/>
    <m/>
    <m/>
    <m/>
    <m/>
    <n v="4523.76"/>
    <n v="502.63999999999942"/>
    <m/>
    <m/>
    <n v="0"/>
    <d v="2026-09-08T00:00:00"/>
    <n v="2"/>
    <n v="5026.3999999999996"/>
    <d v="2026-09-12T00:00:00"/>
    <n v="2"/>
    <n v="5026.3999999999996"/>
    <m/>
    <m/>
    <n v="0"/>
    <m/>
    <m/>
    <m/>
    <n v="0"/>
    <m/>
    <m/>
    <n v="0"/>
    <s v="PAC"/>
    <m/>
  </r>
  <r>
    <n v="251"/>
    <x v="0"/>
    <s v="Shipment 2 Outlet Stack"/>
    <x v="0"/>
    <x v="1"/>
    <m/>
    <d v="2026-07-01T00:00:00"/>
    <s v="HRSG"/>
    <s v="HSG05"/>
    <s v="S4"/>
    <s v="V17566-SKXD-7155"/>
    <s v="SK5-4"/>
    <s v="SHELL PLATE"/>
    <n v="1"/>
    <n v="2872.7"/>
    <n v="2872.7"/>
    <s v="(3488x2433x10538)"/>
    <m/>
    <m/>
    <m/>
    <m/>
    <m/>
    <m/>
    <m/>
    <m/>
    <m/>
    <m/>
    <m/>
    <m/>
    <m/>
    <n v="2585.4299999999998"/>
    <n v="287.27"/>
    <m/>
    <m/>
    <n v="0"/>
    <d v="2026-09-08T00:00:00"/>
    <n v="1"/>
    <n v="2872.7"/>
    <d v="2026-09-19T00:00:00"/>
    <n v="1"/>
    <n v="2872.7"/>
    <m/>
    <m/>
    <n v="0"/>
    <m/>
    <m/>
    <m/>
    <n v="0"/>
    <m/>
    <m/>
    <n v="0"/>
    <s v="PAC"/>
    <m/>
  </r>
  <r>
    <n v="252"/>
    <x v="0"/>
    <s v="Shipment 2 Outlet Stack"/>
    <x v="0"/>
    <x v="1"/>
    <m/>
    <d v="2026-07-01T00:00:00"/>
    <s v="HRSG"/>
    <s v="HSG05"/>
    <s v="S4"/>
    <s v="V17566-SKXD-7160"/>
    <s v="SK6-1"/>
    <s v="SHELL PLATE"/>
    <n v="1"/>
    <n v="2963.6"/>
    <n v="2963.6"/>
    <s v="(3488x2441x10487)"/>
    <m/>
    <m/>
    <m/>
    <m/>
    <m/>
    <m/>
    <m/>
    <m/>
    <m/>
    <m/>
    <m/>
    <m/>
    <m/>
    <n v="2667.24"/>
    <n v="296.36000000000013"/>
    <m/>
    <m/>
    <n v="0"/>
    <d v="2026-09-17T00:00:00"/>
    <n v="1"/>
    <n v="2963.6"/>
    <d v="2026-09-24T00:00:00"/>
    <n v="1"/>
    <n v="2963.6"/>
    <m/>
    <m/>
    <n v="0"/>
    <m/>
    <m/>
    <m/>
    <n v="0"/>
    <m/>
    <m/>
    <n v="0"/>
    <s v="PAC"/>
    <m/>
  </r>
  <r>
    <n v="253"/>
    <x v="0"/>
    <s v="Shipment 2 Outlet Stack"/>
    <x v="0"/>
    <x v="1"/>
    <m/>
    <d v="2026-07-01T00:00:00"/>
    <s v="HRSG"/>
    <s v="HSG05"/>
    <s v="S4"/>
    <s v="V17566-SKXD-7164"/>
    <s v="SK6-2"/>
    <s v="SHELL PLATE"/>
    <n v="1"/>
    <n v="2900.7"/>
    <n v="2900.7"/>
    <s v="(3488x2772x10182)"/>
    <m/>
    <m/>
    <m/>
    <m/>
    <m/>
    <m/>
    <m/>
    <m/>
    <m/>
    <m/>
    <m/>
    <m/>
    <m/>
    <n v="2610.63"/>
    <n v="290.06999999999971"/>
    <m/>
    <m/>
    <n v="0"/>
    <d v="2026-09-22T00:00:00"/>
    <n v="1"/>
    <n v="2900.7"/>
    <d v="2026-09-26T00:00:00"/>
    <n v="1"/>
    <n v="2900.7"/>
    <m/>
    <m/>
    <n v="0"/>
    <m/>
    <m/>
    <m/>
    <n v="0"/>
    <m/>
    <m/>
    <n v="0"/>
    <s v="PAC"/>
    <m/>
  </r>
  <r>
    <n v="254"/>
    <x v="0"/>
    <s v="Shipment 2 Outlet Stack"/>
    <x v="0"/>
    <x v="1"/>
    <m/>
    <d v="2026-07-01T00:00:00"/>
    <s v="HRSG"/>
    <s v="HSG05"/>
    <s v="S4"/>
    <s v="V17566-SKXD-7168"/>
    <s v="SK6-3"/>
    <s v="SHELL PLATE"/>
    <n v="1"/>
    <n v="2847.6"/>
    <n v="2847.6"/>
    <s v="(3754x4742x10182)"/>
    <m/>
    <m/>
    <m/>
    <m/>
    <m/>
    <m/>
    <m/>
    <m/>
    <m/>
    <m/>
    <m/>
    <m/>
    <m/>
    <n v="2562.84"/>
    <n v="284.75999999999976"/>
    <m/>
    <m/>
    <n v="0"/>
    <d v="2026-09-25T00:00:00"/>
    <n v="1"/>
    <n v="2847.6"/>
    <d v="2026-09-28T00:00:00"/>
    <n v="1"/>
    <n v="2847.6"/>
    <m/>
    <m/>
    <n v="0"/>
    <m/>
    <m/>
    <m/>
    <n v="0"/>
    <m/>
    <m/>
    <n v="0"/>
    <s v="PAC"/>
    <m/>
  </r>
  <r>
    <n v="255"/>
    <x v="0"/>
    <s v="Shipment 2 Outlet Stack"/>
    <x v="0"/>
    <x v="1"/>
    <m/>
    <d v="2026-07-01T00:00:00"/>
    <s v="HRSG"/>
    <s v="HSG05"/>
    <s v="S4"/>
    <s v="V17566-SKXD-7171"/>
    <s v="SK6-4"/>
    <s v="SHELL PLATE"/>
    <n v="1"/>
    <n v="2822.4"/>
    <n v="2822.4"/>
    <s v="(3488x2473x10182)"/>
    <m/>
    <m/>
    <m/>
    <m/>
    <m/>
    <m/>
    <m/>
    <m/>
    <m/>
    <m/>
    <m/>
    <m/>
    <m/>
    <n v="2540.16"/>
    <n v="282.24000000000024"/>
    <m/>
    <m/>
    <n v="0"/>
    <d v="2026-09-26T00:00:00"/>
    <n v="1"/>
    <n v="2822.4"/>
    <d v="2026-09-28T00:00:00"/>
    <n v="1"/>
    <n v="2822.4"/>
    <m/>
    <m/>
    <n v="0"/>
    <m/>
    <m/>
    <m/>
    <n v="0"/>
    <m/>
    <m/>
    <n v="0"/>
    <s v="PAC"/>
    <m/>
  </r>
  <r>
    <n v="256"/>
    <x v="0"/>
    <s v="Shipment 2 Outlet Stack"/>
    <x v="0"/>
    <x v="1"/>
    <m/>
    <d v="2026-07-01T00:00:00"/>
    <s v="HRSG"/>
    <s v="HSG05"/>
    <s v="S4"/>
    <s v="V17566-SKXD-7174"/>
    <s v="SK6-5"/>
    <s v="SHELL PLATE"/>
    <n v="1"/>
    <n v="3064.1"/>
    <n v="3064.1"/>
    <s v="(3822x2433x10487)"/>
    <m/>
    <m/>
    <m/>
    <m/>
    <m/>
    <m/>
    <m/>
    <m/>
    <m/>
    <m/>
    <m/>
    <m/>
    <m/>
    <n v="2757.69"/>
    <n v="306.40999999999985"/>
    <m/>
    <m/>
    <n v="0"/>
    <d v="2026-09-18T00:00:00"/>
    <n v="1"/>
    <n v="3064.1"/>
    <d v="2026-09-26T00:00:00"/>
    <n v="1"/>
    <n v="3064.1"/>
    <m/>
    <m/>
    <n v="0"/>
    <m/>
    <m/>
    <m/>
    <n v="0"/>
    <m/>
    <m/>
    <n v="0"/>
    <s v="PAC"/>
    <m/>
  </r>
  <r>
    <n v="257"/>
    <x v="0"/>
    <s v="Shipment 2 Outlet Stack"/>
    <x v="0"/>
    <x v="1"/>
    <m/>
    <d v="2026-07-01T00:00:00"/>
    <s v="HRSG"/>
    <s v="HSG05"/>
    <s v="S3"/>
    <s v="V17566-SKXD-7186"/>
    <s v="SK7-1"/>
    <s v="SHELL PLATE"/>
    <n v="1"/>
    <n v="677.6"/>
    <n v="677.6"/>
    <s v="(3531x2386x1651)"/>
    <m/>
    <m/>
    <m/>
    <m/>
    <m/>
    <m/>
    <m/>
    <m/>
    <m/>
    <m/>
    <m/>
    <m/>
    <m/>
    <n v="677.6"/>
    <n v="0"/>
    <m/>
    <m/>
    <n v="0"/>
    <d v="2026-08-20T00:00:00"/>
    <n v="1"/>
    <n v="677.6"/>
    <d v="2026-08-22T00:00:00"/>
    <n v="1"/>
    <n v="677.6"/>
    <m/>
    <m/>
    <n v="0"/>
    <s v="U284-007"/>
    <d v="2026-09-24T00:00:00"/>
    <n v="1"/>
    <n v="677.6"/>
    <d v="2026-09-28T00:00:00"/>
    <n v="1"/>
    <n v="677.6"/>
    <s v="PAC"/>
    <s v="U284-007"/>
  </r>
  <r>
    <n v="258"/>
    <x v="0"/>
    <s v="Shipment 2 Outlet Stack"/>
    <x v="0"/>
    <x v="1"/>
    <m/>
    <d v="2026-07-01T00:00:00"/>
    <s v="HRSG"/>
    <s v="HSG05"/>
    <s v="S3"/>
    <s v="V17566-SKXD-7188"/>
    <s v="SK7-2"/>
    <s v="SHELL PLATE"/>
    <n v="1"/>
    <n v="482.4"/>
    <n v="482.4"/>
    <s v="(3445x2386x1651)"/>
    <m/>
    <m/>
    <m/>
    <m/>
    <m/>
    <m/>
    <m/>
    <m/>
    <m/>
    <m/>
    <m/>
    <m/>
    <m/>
    <n v="482.4"/>
    <n v="0"/>
    <m/>
    <m/>
    <n v="0"/>
    <d v="2026-08-20T00:00:00"/>
    <n v="1"/>
    <n v="482.4"/>
    <d v="2026-08-22T00:00:00"/>
    <n v="1"/>
    <n v="482.4"/>
    <m/>
    <m/>
    <n v="0"/>
    <s v="U284-002"/>
    <d v="2026-09-08T00:00:00"/>
    <n v="1"/>
    <n v="482.4"/>
    <d v="2026-09-16T00:00:00"/>
    <n v="1"/>
    <n v="482.4"/>
    <s v="PAC"/>
    <s v="U284-001"/>
  </r>
  <r>
    <n v="259"/>
    <x v="0"/>
    <s v="Shipment 2 Outlet Stack"/>
    <x v="0"/>
    <x v="1"/>
    <m/>
    <d v="2026-07-01T00:00:00"/>
    <s v="HRSG"/>
    <s v="HSG05"/>
    <s v="S3"/>
    <s v="V17566-SKXD-7190"/>
    <s v="SK7-3"/>
    <s v="SHELL PLATE"/>
    <n v="2"/>
    <n v="482.45"/>
    <n v="964.9"/>
    <s v="(3445x2385x1651)"/>
    <m/>
    <m/>
    <m/>
    <m/>
    <m/>
    <m/>
    <m/>
    <m/>
    <m/>
    <m/>
    <m/>
    <m/>
    <m/>
    <n v="964.90000000000009"/>
    <n v="0"/>
    <m/>
    <m/>
    <n v="0"/>
    <d v="2026-08-20T00:00:00"/>
    <n v="2"/>
    <n v="964.9"/>
    <d v="2026-08-22T00:00:00"/>
    <n v="2"/>
    <n v="964.9"/>
    <m/>
    <m/>
    <n v="0"/>
    <s v="U284-002"/>
    <d v="2026-09-08T00:00:00"/>
    <n v="2"/>
    <n v="964.9"/>
    <d v="2026-09-16T00:00:00"/>
    <n v="2"/>
    <n v="964.9"/>
    <s v="PAC"/>
    <s v="U284-001"/>
  </r>
  <r>
    <n v="260"/>
    <x v="0"/>
    <s v="Shipment 2 Outlet Stack"/>
    <x v="0"/>
    <x v="1"/>
    <m/>
    <d v="2026-07-01T00:00:00"/>
    <s v="HRSG"/>
    <s v="HSG05"/>
    <s v="S3"/>
    <s v="V17566-SKXD-7192"/>
    <s v="SK7-4"/>
    <s v="SHELL PLATE"/>
    <n v="1"/>
    <n v="500.3"/>
    <n v="500.3"/>
    <s v="(3445x2385x1651)"/>
    <m/>
    <m/>
    <m/>
    <m/>
    <m/>
    <m/>
    <m/>
    <m/>
    <m/>
    <m/>
    <m/>
    <m/>
    <m/>
    <n v="500.29999999999995"/>
    <n v="0"/>
    <m/>
    <m/>
    <n v="0"/>
    <d v="2026-08-20T00:00:00"/>
    <n v="1"/>
    <n v="500.3"/>
    <d v="2026-08-24T00:00:00"/>
    <n v="1"/>
    <n v="500.3"/>
    <m/>
    <m/>
    <n v="0"/>
    <s v="U284-002"/>
    <d v="2026-09-08T00:00:00"/>
    <n v="1"/>
    <n v="500.3"/>
    <d v="2026-09-16T00:00:00"/>
    <n v="1"/>
    <n v="500.3"/>
    <s v="PAC"/>
    <s v="U284-001"/>
  </r>
  <r>
    <n v="261"/>
    <x v="0"/>
    <s v="Shipment 2 Outlet Stack"/>
    <x v="0"/>
    <x v="1"/>
    <s v="Bracing"/>
    <d v="2026-07-01T00:00:00"/>
    <s v="HRSG"/>
    <s v="HSG05"/>
    <s v="S3"/>
    <s v="V17566-SKXD-AS-OS-BR-1"/>
    <s v="OS-BR-1"/>
    <s v="CV"/>
    <n v="5"/>
    <n v="16.8"/>
    <n v="84.2"/>
    <s v="(2146x10x100)"/>
    <m/>
    <s v="Bracing"/>
    <m/>
    <m/>
    <m/>
    <m/>
    <m/>
    <m/>
    <m/>
    <m/>
    <m/>
    <m/>
    <m/>
    <n v="75.78"/>
    <n v="8.4200000000000017"/>
    <m/>
    <m/>
    <n v="0"/>
    <d v="2026-09-12T00:00:00"/>
    <n v="5"/>
    <n v="84.2"/>
    <d v="2026-09-14T00:00:00"/>
    <n v="5"/>
    <n v="84.2"/>
    <m/>
    <m/>
    <n v="0"/>
    <m/>
    <m/>
    <m/>
    <n v="0"/>
    <m/>
    <m/>
    <n v="0"/>
    <s v="PAC"/>
    <m/>
  </r>
  <r>
    <n v="262"/>
    <x v="0"/>
    <s v="Shipment 2 Outlet Stack"/>
    <x v="0"/>
    <x v="1"/>
    <s v="Bracing"/>
    <d v="2026-07-01T00:00:00"/>
    <s v="HRSG"/>
    <s v="HSG05"/>
    <s v="S3"/>
    <s v="V17566-SKXD-AS-OS-BR-2"/>
    <s v="OS-BR-2"/>
    <s v="CV"/>
    <n v="28"/>
    <n v="37.700000000000003"/>
    <n v="1055.5999999999999"/>
    <s v="(3378x8x1981)"/>
    <m/>
    <s v="Bracing"/>
    <m/>
    <m/>
    <m/>
    <m/>
    <m/>
    <m/>
    <m/>
    <m/>
    <m/>
    <m/>
    <m/>
    <n v="950.04"/>
    <n v="105.55999999999995"/>
    <m/>
    <m/>
    <n v="0"/>
    <d v="2026-09-12T00:00:00"/>
    <n v="28"/>
    <n v="1055.5999999999999"/>
    <d v="2026-09-14T00:00:00"/>
    <n v="28"/>
    <n v="1055.5999999999999"/>
    <m/>
    <m/>
    <n v="0"/>
    <m/>
    <m/>
    <m/>
    <n v="0"/>
    <m/>
    <m/>
    <n v="0"/>
    <s v="PAC"/>
    <m/>
  </r>
  <r>
    <n v="263"/>
    <x v="0"/>
    <s v="Shipment 2 Outlet Stack"/>
    <x v="0"/>
    <x v="1"/>
    <s v="Bracing"/>
    <d v="2026-07-01T00:00:00"/>
    <s v="HRSG"/>
    <s v="HSG05"/>
    <s v="S3"/>
    <s v="V17566-SKXD-AS-OS-BR-3"/>
    <s v="OS-BR-3"/>
    <s v="CV"/>
    <n v="10"/>
    <n v="11"/>
    <n v="109.9"/>
    <s v="(1400x10x100)"/>
    <m/>
    <s v="Bracing"/>
    <m/>
    <m/>
    <m/>
    <m/>
    <m/>
    <m/>
    <m/>
    <m/>
    <m/>
    <m/>
    <m/>
    <n v="98.910000000000011"/>
    <n v="10.989999999999995"/>
    <m/>
    <m/>
    <n v="0"/>
    <d v="2026-09-12T00:00:00"/>
    <n v="10"/>
    <n v="109.9"/>
    <d v="2026-09-14T00:00:00"/>
    <n v="10"/>
    <n v="109.9"/>
    <m/>
    <m/>
    <n v="0"/>
    <m/>
    <m/>
    <m/>
    <n v="0"/>
    <m/>
    <m/>
    <n v="0"/>
    <s v="PAC"/>
    <m/>
  </r>
  <r>
    <n v="264"/>
    <x v="0"/>
    <s v="Shipment 2 Outlet Stack"/>
    <x v="0"/>
    <x v="1"/>
    <s v="Bracing"/>
    <d v="2026-07-01T00:00:00"/>
    <s v="HRSG"/>
    <s v="HSG05"/>
    <s v="S3"/>
    <s v="V17566-SKXD-AS-OS-BR-4"/>
    <s v="OS-BR-4"/>
    <s v="CV"/>
    <n v="25"/>
    <n v="76.900000000000006"/>
    <n v="1923.2"/>
    <s v="(9800x10x100)"/>
    <m/>
    <s v="Bracing"/>
    <m/>
    <m/>
    <m/>
    <m/>
    <m/>
    <m/>
    <m/>
    <m/>
    <m/>
    <m/>
    <m/>
    <n v="1730.88"/>
    <n v="192.31999999999994"/>
    <m/>
    <m/>
    <n v="0"/>
    <d v="2026-09-12T00:00:00"/>
    <n v="25"/>
    <n v="1923.2"/>
    <d v="2026-09-14T00:00:00"/>
    <n v="25"/>
    <n v="1923.2"/>
    <m/>
    <m/>
    <n v="0"/>
    <m/>
    <m/>
    <m/>
    <n v="0"/>
    <m/>
    <m/>
    <n v="0"/>
    <s v="PAC"/>
    <m/>
  </r>
  <r>
    <n v="265"/>
    <x v="0"/>
    <s v="Shipment 2 Outlet Stack"/>
    <x v="0"/>
    <x v="1"/>
    <s v="Bracing"/>
    <d v="2026-07-01T00:00:00"/>
    <s v="HRSG"/>
    <s v="HSG05"/>
    <s v="S3"/>
    <s v="V17566-SKXD-AS-OS-BR-5"/>
    <s v="OS-BR-5"/>
    <s v="CV"/>
    <n v="10"/>
    <n v="38.9"/>
    <n v="388.6"/>
    <s v="(3371x8x2185)"/>
    <m/>
    <s v="Bracing"/>
    <m/>
    <m/>
    <m/>
    <m/>
    <m/>
    <m/>
    <m/>
    <m/>
    <m/>
    <m/>
    <m/>
    <n v="349.74"/>
    <n v="38.860000000000014"/>
    <m/>
    <m/>
    <n v="0"/>
    <d v="2026-09-12T00:00:00"/>
    <n v="10"/>
    <n v="388.6"/>
    <d v="2026-09-14T00:00:00"/>
    <n v="10"/>
    <n v="388.6"/>
    <m/>
    <m/>
    <n v="0"/>
    <m/>
    <m/>
    <m/>
    <n v="0"/>
    <m/>
    <m/>
    <n v="0"/>
    <s v="PAC"/>
    <m/>
  </r>
  <r>
    <n v="266"/>
    <x v="0"/>
    <s v="Shipment 2 Outlet Stack"/>
    <x v="0"/>
    <x v="1"/>
    <s v="Bracing"/>
    <d v="2026-07-01T00:00:00"/>
    <s v="HRSG"/>
    <s v="HSG05"/>
    <s v="S3"/>
    <s v="V17566-SKXD-AS-OS-BR-6"/>
    <s v="OS-BR-6"/>
    <s v="CV"/>
    <n v="3"/>
    <n v="11.8"/>
    <n v="35.4"/>
    <s v="(1263x8x313)"/>
    <m/>
    <s v="Bracing"/>
    <m/>
    <m/>
    <m/>
    <m/>
    <m/>
    <m/>
    <m/>
    <m/>
    <m/>
    <m/>
    <m/>
    <n v="31.86"/>
    <n v="3.5399999999999991"/>
    <m/>
    <m/>
    <n v="0"/>
    <d v="2026-09-12T00:00:00"/>
    <n v="3"/>
    <n v="35.4"/>
    <d v="2026-09-14T00:00:00"/>
    <n v="3"/>
    <n v="35.4"/>
    <m/>
    <m/>
    <n v="0"/>
    <m/>
    <m/>
    <m/>
    <n v="0"/>
    <m/>
    <m/>
    <n v="0"/>
    <s v="PAC"/>
    <m/>
  </r>
  <r>
    <n v="267"/>
    <x v="0"/>
    <s v="Shipment 2 Outlet Stack"/>
    <x v="0"/>
    <x v="1"/>
    <s v="Bracing"/>
    <d v="2026-07-01T00:00:00"/>
    <s v="HRSG"/>
    <s v="HSG05"/>
    <s v="S3"/>
    <s v="V17566-SKXD-AS-OS-BR-7"/>
    <s v="OS-BR-7"/>
    <s v="CV"/>
    <n v="1"/>
    <n v="57.3"/>
    <n v="57.3"/>
    <s v="(8554x60x100)"/>
    <m/>
    <s v="Bracing"/>
    <m/>
    <m/>
    <m/>
    <m/>
    <m/>
    <m/>
    <m/>
    <m/>
    <m/>
    <m/>
    <m/>
    <n v="51.57"/>
    <n v="5.7299999999999969"/>
    <m/>
    <m/>
    <n v="0"/>
    <d v="2026-09-12T00:00:00"/>
    <n v="1"/>
    <n v="57.3"/>
    <d v="2026-09-14T00:00:00"/>
    <n v="1"/>
    <n v="57.3"/>
    <m/>
    <m/>
    <n v="0"/>
    <m/>
    <m/>
    <m/>
    <n v="0"/>
    <m/>
    <m/>
    <n v="0"/>
    <s v="PAC"/>
    <m/>
  </r>
  <r>
    <n v="268"/>
    <x v="0"/>
    <s v="Shipment 2 Outlet Stack"/>
    <x v="0"/>
    <x v="1"/>
    <s v="Bracing"/>
    <d v="2026-07-01T00:00:00"/>
    <s v="HRSG"/>
    <s v="HSG05"/>
    <s v="S3"/>
    <s v="V17566-SKXD-AS-OS-BR-8"/>
    <s v="OS-BR-8"/>
    <s v="CV"/>
    <n v="8"/>
    <n v="50.2"/>
    <n v="401.9"/>
    <s v="(6400x10x100)"/>
    <m/>
    <s v="Bracing"/>
    <m/>
    <m/>
    <m/>
    <m/>
    <m/>
    <m/>
    <m/>
    <m/>
    <m/>
    <m/>
    <m/>
    <n v="361.71"/>
    <n v="40.19"/>
    <m/>
    <m/>
    <n v="0"/>
    <d v="2026-09-12T00:00:00"/>
    <n v="8"/>
    <n v="401.9"/>
    <d v="2026-09-14T00:00:00"/>
    <n v="8"/>
    <n v="401.9"/>
    <m/>
    <m/>
    <n v="0"/>
    <m/>
    <m/>
    <m/>
    <n v="0"/>
    <m/>
    <m/>
    <n v="0"/>
    <s v="PAC"/>
    <m/>
  </r>
  <r>
    <n v="269"/>
    <x v="0"/>
    <s v="Shipment 2 Outlet Stack"/>
    <x v="0"/>
    <x v="1"/>
    <s v="Bracing"/>
    <d v="2026-07-01T00:00:00"/>
    <s v="HRSG"/>
    <s v="HSG05"/>
    <s v="S3"/>
    <s v="V17566-SKXD-AS-OS-BR-9"/>
    <s v="OS-BR-9"/>
    <s v="CV"/>
    <n v="1"/>
    <n v="34.4"/>
    <n v="34.4"/>
    <s v="(5120x60x100)"/>
    <m/>
    <s v="Bracing"/>
    <m/>
    <m/>
    <m/>
    <m/>
    <m/>
    <m/>
    <m/>
    <m/>
    <m/>
    <m/>
    <m/>
    <n v="30.96"/>
    <n v="3.4399999999999977"/>
    <m/>
    <m/>
    <n v="0"/>
    <d v="2026-09-12T00:00:00"/>
    <n v="1"/>
    <n v="34.4"/>
    <d v="2026-09-14T00:00:00"/>
    <n v="1"/>
    <n v="34.4"/>
    <m/>
    <m/>
    <n v="0"/>
    <m/>
    <m/>
    <m/>
    <n v="0"/>
    <m/>
    <m/>
    <n v="0"/>
    <s v="PAC"/>
    <m/>
  </r>
  <r>
    <n v="270"/>
    <x v="0"/>
    <s v="Shipment 2 Outlet Stack"/>
    <x v="0"/>
    <x v="1"/>
    <s v="Bracing"/>
    <d v="2026-07-01T00:00:00"/>
    <s v="HRSG"/>
    <s v="HSG05"/>
    <s v="S3"/>
    <s v="V17566-SKXD-AS-OS-BR-10"/>
    <s v="OS-BR-10"/>
    <s v="CV"/>
    <n v="1"/>
    <n v="28.3"/>
    <n v="28.3"/>
    <s v="(2756x8x1239)"/>
    <m/>
    <s v="Bracing"/>
    <m/>
    <m/>
    <m/>
    <m/>
    <m/>
    <m/>
    <m/>
    <m/>
    <m/>
    <m/>
    <m/>
    <n v="25.47"/>
    <n v="2.8300000000000018"/>
    <m/>
    <m/>
    <n v="0"/>
    <d v="2026-09-12T00:00:00"/>
    <n v="1"/>
    <n v="28.3"/>
    <d v="2026-09-14T00:00:00"/>
    <n v="1"/>
    <n v="28.3"/>
    <m/>
    <m/>
    <n v="0"/>
    <m/>
    <m/>
    <m/>
    <n v="0"/>
    <m/>
    <m/>
    <n v="0"/>
    <s v="PAC"/>
    <m/>
  </r>
  <r>
    <n v="271"/>
    <x v="0"/>
    <s v="Shipment 2 Outlet Stack"/>
    <x v="0"/>
    <x v="1"/>
    <s v="Bracing"/>
    <d v="2026-07-01T00:00:00"/>
    <s v="HRSG"/>
    <s v="HSG05"/>
    <s v="S3"/>
    <s v="V17566-SKXD-AS-OS-BR-11"/>
    <s v="OS-BR-11"/>
    <s v="CV"/>
    <n v="2"/>
    <n v="14.2"/>
    <n v="28.4"/>
    <s v="(1810x10x100)"/>
    <m/>
    <s v="Bracing"/>
    <m/>
    <m/>
    <m/>
    <m/>
    <m/>
    <m/>
    <m/>
    <m/>
    <m/>
    <m/>
    <m/>
    <n v="25.56"/>
    <n v="2.84"/>
    <m/>
    <m/>
    <n v="0"/>
    <d v="2026-09-12T00:00:00"/>
    <n v="2"/>
    <n v="28.4"/>
    <d v="2026-09-14T00:00:00"/>
    <n v="2"/>
    <n v="28.4"/>
    <m/>
    <m/>
    <n v="0"/>
    <m/>
    <m/>
    <m/>
    <n v="0"/>
    <m/>
    <m/>
    <n v="0"/>
    <s v="PAC"/>
    <m/>
  </r>
  <r>
    <n v="272"/>
    <x v="0"/>
    <s v="Shipment 2 Outlet Stack"/>
    <x v="0"/>
    <x v="1"/>
    <s v="Bracing"/>
    <d v="2026-07-01T00:00:00"/>
    <s v="HRSG"/>
    <s v="HSG05"/>
    <s v="S3"/>
    <s v="V17566-SKXD-AS-OS-BR-12"/>
    <s v="OS-BR-12"/>
    <s v="CV"/>
    <n v="1"/>
    <n v="22.1"/>
    <n v="22.1"/>
    <s v="(2242x8x830)"/>
    <m/>
    <s v="Bracing"/>
    <m/>
    <m/>
    <m/>
    <m/>
    <m/>
    <m/>
    <m/>
    <m/>
    <m/>
    <m/>
    <m/>
    <n v="19.89"/>
    <n v="2.2100000000000009"/>
    <m/>
    <m/>
    <n v="0"/>
    <d v="2026-09-12T00:00:00"/>
    <n v="1"/>
    <n v="22.1"/>
    <d v="2026-09-14T00:00:00"/>
    <n v="1"/>
    <n v="22.1"/>
    <m/>
    <m/>
    <n v="0"/>
    <m/>
    <m/>
    <m/>
    <n v="0"/>
    <m/>
    <m/>
    <n v="0"/>
    <s v="PAC"/>
    <m/>
  </r>
  <r>
    <n v="273"/>
    <x v="0"/>
    <s v="Shipment 2 Outlet Stack"/>
    <x v="0"/>
    <x v="1"/>
    <s v="Bracing"/>
    <d v="2026-07-01T00:00:00"/>
    <s v="HRSG"/>
    <s v="HSG05"/>
    <s v="S3"/>
    <s v="V17566-SKXD-AS-OS-BR-13"/>
    <s v="OS-BR-13"/>
    <s v="CV"/>
    <n v="3"/>
    <n v="17"/>
    <n v="51.1"/>
    <s v="(1788x8x516)"/>
    <m/>
    <s v="Bracing"/>
    <m/>
    <m/>
    <m/>
    <m/>
    <m/>
    <m/>
    <m/>
    <m/>
    <m/>
    <m/>
    <m/>
    <n v="45.99"/>
    <n v="5.1099999999999994"/>
    <m/>
    <m/>
    <n v="0"/>
    <d v="2026-09-12T00:00:00"/>
    <n v="3"/>
    <n v="51.1"/>
    <d v="2026-09-14T00:00:00"/>
    <n v="3"/>
    <n v="51.1"/>
    <m/>
    <m/>
    <n v="0"/>
    <m/>
    <m/>
    <m/>
    <n v="0"/>
    <m/>
    <m/>
    <n v="0"/>
    <s v="PAC"/>
    <m/>
  </r>
  <r>
    <n v="274"/>
    <x v="0"/>
    <s v="Shipment 2 Outlet Stack"/>
    <x v="0"/>
    <x v="1"/>
    <s v="Bracing"/>
    <d v="2026-07-01T00:00:00"/>
    <s v="HRSG"/>
    <s v="HSG05"/>
    <s v="S3"/>
    <s v="V17566-SKXD-AS-OS-BR-14"/>
    <s v="OS-BR-14"/>
    <s v="CV"/>
    <n v="1"/>
    <n v="62.8"/>
    <n v="62.8"/>
    <s v="(8000x10x100)"/>
    <m/>
    <s v="Bracing"/>
    <m/>
    <m/>
    <m/>
    <m/>
    <m/>
    <m/>
    <m/>
    <m/>
    <m/>
    <m/>
    <m/>
    <n v="56.519999999999996"/>
    <n v="6.2800000000000011"/>
    <m/>
    <m/>
    <n v="0"/>
    <d v="2026-09-12T00:00:00"/>
    <n v="1"/>
    <n v="62.8"/>
    <d v="2026-09-14T00:00:00"/>
    <n v="1"/>
    <n v="62.8"/>
    <m/>
    <m/>
    <n v="0"/>
    <m/>
    <m/>
    <m/>
    <n v="0"/>
    <m/>
    <m/>
    <n v="0"/>
    <s v="PAC"/>
    <m/>
  </r>
  <r>
    <n v="275"/>
    <x v="0"/>
    <s v="Shipment 2 Outlet Stack"/>
    <x v="0"/>
    <x v="1"/>
    <s v="Bracing"/>
    <d v="2026-07-01T00:00:00"/>
    <s v="HRSG"/>
    <s v="HSG05"/>
    <s v="S3"/>
    <s v="V17566-SKXD-AS-OS-BR-15"/>
    <s v="OS-BR-15"/>
    <s v="CV"/>
    <n v="1"/>
    <n v="56.1"/>
    <n v="56.1"/>
    <s v="(8375x60x100)"/>
    <m/>
    <s v="Bracing"/>
    <m/>
    <m/>
    <m/>
    <m/>
    <m/>
    <m/>
    <m/>
    <m/>
    <m/>
    <m/>
    <m/>
    <n v="50.49"/>
    <n v="5.6099999999999994"/>
    <m/>
    <m/>
    <n v="0"/>
    <d v="2026-09-12T00:00:00"/>
    <n v="1"/>
    <n v="56.1"/>
    <d v="2026-09-14T00:00:00"/>
    <n v="1"/>
    <n v="56.1"/>
    <m/>
    <m/>
    <n v="0"/>
    <m/>
    <m/>
    <m/>
    <n v="0"/>
    <m/>
    <m/>
    <n v="0"/>
    <s v="PAC"/>
    <m/>
  </r>
  <r>
    <n v="276"/>
    <x v="0"/>
    <s v="Shipment 2 Outlet Stack"/>
    <x v="0"/>
    <x v="1"/>
    <s v="Bracing"/>
    <d v="2026-07-01T00:00:00"/>
    <s v="HRSG"/>
    <s v="HSG05"/>
    <s v="S3"/>
    <s v="V17566-SKXD-AS-OS-BR-16"/>
    <s v="OS-BR-16"/>
    <s v="CV"/>
    <n v="1"/>
    <n v="32.5"/>
    <n v="32.5"/>
    <s v="(3069x8x1526)"/>
    <m/>
    <s v="Bracing"/>
    <m/>
    <m/>
    <m/>
    <m/>
    <m/>
    <m/>
    <m/>
    <m/>
    <m/>
    <m/>
    <m/>
    <n v="29.25"/>
    <n v="3.25"/>
    <m/>
    <m/>
    <n v="0"/>
    <d v="2026-09-12T00:00:00"/>
    <n v="1"/>
    <n v="32.5"/>
    <d v="2026-09-14T00:00:00"/>
    <n v="1"/>
    <n v="32.5"/>
    <m/>
    <m/>
    <n v="0"/>
    <m/>
    <m/>
    <m/>
    <n v="0"/>
    <m/>
    <m/>
    <n v="0"/>
    <s v="PAC"/>
    <m/>
  </r>
  <r>
    <n v="277"/>
    <x v="0"/>
    <s v="Shipment 2 Outlet Stack"/>
    <x v="0"/>
    <x v="1"/>
    <s v="Bracing"/>
    <d v="2026-07-01T00:00:00"/>
    <s v="HRSG"/>
    <s v="HSG05"/>
    <s v="S3"/>
    <s v="V17566-SKXD-AS-OS-BR-18"/>
    <s v="OS-BR-18"/>
    <s v="CV"/>
    <n v="4"/>
    <n v="94.2"/>
    <n v="376.8"/>
    <s v="(12000x10x100)"/>
    <m/>
    <s v="Bracing"/>
    <m/>
    <m/>
    <m/>
    <m/>
    <m/>
    <m/>
    <m/>
    <m/>
    <m/>
    <m/>
    <m/>
    <n v="339.12"/>
    <n v="37.680000000000007"/>
    <m/>
    <m/>
    <n v="0"/>
    <d v="2026-09-12T00:00:00"/>
    <n v="4"/>
    <n v="376.8"/>
    <d v="2026-09-14T00:00:00"/>
    <n v="4"/>
    <n v="376.8"/>
    <m/>
    <m/>
    <n v="0"/>
    <m/>
    <m/>
    <m/>
    <n v="0"/>
    <m/>
    <m/>
    <n v="0"/>
    <s v="PAC"/>
    <m/>
  </r>
  <r>
    <n v="278"/>
    <x v="0"/>
    <s v="Shipment 2 Outlet Stack"/>
    <x v="0"/>
    <x v="1"/>
    <s v="Bracing"/>
    <d v="2026-07-01T00:00:00"/>
    <s v="HRSG"/>
    <s v="HSG05"/>
    <s v="S3"/>
    <s v="V17566-SKXD-AS-OS-BR-19"/>
    <s v="OS-BR-19"/>
    <s v="CV"/>
    <n v="2"/>
    <n v="31"/>
    <n v="61.9"/>
    <s v="(2901x8x1535)"/>
    <m/>
    <s v="Bracing"/>
    <m/>
    <m/>
    <m/>
    <m/>
    <m/>
    <m/>
    <m/>
    <m/>
    <m/>
    <m/>
    <m/>
    <n v="55.71"/>
    <n v="6.1899999999999977"/>
    <m/>
    <m/>
    <n v="0"/>
    <d v="2026-09-12T00:00:00"/>
    <n v="2"/>
    <n v="61.9"/>
    <d v="2026-09-14T00:00:00"/>
    <n v="2"/>
    <n v="61.9"/>
    <m/>
    <m/>
    <n v="0"/>
    <m/>
    <m/>
    <m/>
    <n v="0"/>
    <m/>
    <m/>
    <n v="0"/>
    <s v="PAC"/>
    <m/>
  </r>
  <r>
    <n v="279"/>
    <x v="0"/>
    <s v="Shipment 2 Outlet Stack"/>
    <x v="0"/>
    <x v="1"/>
    <s v="Bracing"/>
    <d v="2026-07-01T00:00:00"/>
    <s v="HRSG"/>
    <s v="HSG05"/>
    <s v="S3"/>
    <s v="V17566-SKXD-AS-OS-BR-20"/>
    <s v="OS-BR-20"/>
    <s v="CV"/>
    <n v="2"/>
    <n v="53.8"/>
    <n v="107.5"/>
    <s v="(6850x10x100)"/>
    <m/>
    <s v="Bracing"/>
    <m/>
    <m/>
    <m/>
    <m/>
    <m/>
    <m/>
    <m/>
    <m/>
    <m/>
    <m/>
    <m/>
    <n v="96.75"/>
    <n v="10.75"/>
    <m/>
    <m/>
    <n v="0"/>
    <d v="2026-09-12T00:00:00"/>
    <n v="2"/>
    <n v="107.5"/>
    <d v="2026-09-14T00:00:00"/>
    <n v="2"/>
    <n v="107.5"/>
    <m/>
    <m/>
    <n v="0"/>
    <m/>
    <m/>
    <m/>
    <n v="0"/>
    <m/>
    <m/>
    <n v="0"/>
    <s v="PAC"/>
    <m/>
  </r>
  <r>
    <n v="280"/>
    <x v="0"/>
    <s v="Shipment 2 Outlet Stack"/>
    <x v="0"/>
    <x v="1"/>
    <s v="Bracing"/>
    <d v="2026-07-01T00:00:00"/>
    <s v="HRSG"/>
    <s v="HSG05"/>
    <s v="S3"/>
    <s v="V17566-SKXD-AS-OS-BR-21"/>
    <s v="OS-BR-21"/>
    <s v="CV"/>
    <n v="1"/>
    <n v="42.7"/>
    <n v="42.7"/>
    <s v="(6364x60x100)"/>
    <m/>
    <s v="Bracing"/>
    <m/>
    <m/>
    <m/>
    <m/>
    <m/>
    <m/>
    <m/>
    <m/>
    <m/>
    <m/>
    <m/>
    <n v="38.430000000000007"/>
    <n v="4.269999999999996"/>
    <m/>
    <m/>
    <n v="0"/>
    <d v="2026-09-12T00:00:00"/>
    <n v="1"/>
    <n v="42.7"/>
    <d v="2026-09-14T00:00:00"/>
    <n v="1"/>
    <n v="42.7"/>
    <m/>
    <m/>
    <n v="0"/>
    <m/>
    <m/>
    <m/>
    <n v="0"/>
    <m/>
    <m/>
    <n v="0"/>
    <s v="PAC"/>
    <m/>
  </r>
  <r>
    <n v="281"/>
    <x v="0"/>
    <s v="Shipment 2 Outlet Stack"/>
    <x v="0"/>
    <x v="1"/>
    <s v="Bracing"/>
    <d v="2026-07-01T00:00:00"/>
    <s v="HRSG"/>
    <s v="HSG05"/>
    <s v="S3"/>
    <s v="V17566-SKXD-AS-OS-BR-23"/>
    <s v="OS-BR-23"/>
    <s v="CV"/>
    <n v="2"/>
    <n v="247.4"/>
    <n v="494.7"/>
    <s v="(7005x150x2529)"/>
    <m/>
    <s v="Bracing"/>
    <m/>
    <m/>
    <m/>
    <m/>
    <m/>
    <m/>
    <m/>
    <m/>
    <m/>
    <m/>
    <m/>
    <n v="445.23"/>
    <n v="49.46999999999997"/>
    <m/>
    <m/>
    <n v="0"/>
    <d v="2026-09-12T00:00:00"/>
    <n v="2"/>
    <n v="494.7"/>
    <d v="2026-09-14T00:00:00"/>
    <n v="2"/>
    <n v="494.7"/>
    <m/>
    <m/>
    <n v="0"/>
    <m/>
    <m/>
    <m/>
    <n v="0"/>
    <m/>
    <m/>
    <n v="0"/>
    <s v="PAC"/>
    <m/>
  </r>
  <r>
    <n v="282"/>
    <x v="0"/>
    <s v="Shipment 2 Outlet Stack"/>
    <x v="0"/>
    <x v="1"/>
    <s v="Bracing"/>
    <d v="2026-07-01T00:00:00"/>
    <s v="HRSG"/>
    <s v="HSG05"/>
    <s v="S3"/>
    <s v="V17566-SKXD-AS-OS-BR-24"/>
    <s v="OS-BR-24"/>
    <s v="CV"/>
    <n v="1"/>
    <n v="232"/>
    <n v="232"/>
    <s v="(7005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283"/>
    <x v="0"/>
    <s v="Shipment 2 Outlet Stack"/>
    <x v="0"/>
    <x v="1"/>
    <s v="Bracing"/>
    <d v="2026-07-01T00:00:00"/>
    <s v="HRSG"/>
    <s v="HSG05"/>
    <s v="S3"/>
    <s v="V17566-SKXD-AS-OS-BR-25"/>
    <s v="OS-BR-25"/>
    <s v="CV"/>
    <n v="1"/>
    <n v="232"/>
    <n v="232"/>
    <s v="(7017x150x3404)"/>
    <m/>
    <s v="Bracing"/>
    <m/>
    <m/>
    <m/>
    <m/>
    <m/>
    <m/>
    <m/>
    <m/>
    <m/>
    <m/>
    <m/>
    <n v="208.8"/>
    <n v="23.199999999999989"/>
    <m/>
    <m/>
    <n v="0"/>
    <d v="2026-09-12T00:00:00"/>
    <n v="1"/>
    <n v="232"/>
    <d v="2026-09-14T00:00:00"/>
    <n v="1"/>
    <n v="232"/>
    <m/>
    <m/>
    <n v="0"/>
    <m/>
    <m/>
    <m/>
    <n v="0"/>
    <m/>
    <m/>
    <n v="0"/>
    <s v="PAC"/>
    <m/>
  </r>
  <r>
    <n v="284"/>
    <x v="0"/>
    <s v="Shipment 2 Outlet Stack"/>
    <x v="0"/>
    <x v="1"/>
    <s v="Bracing"/>
    <d v="2026-07-01T00:00:00"/>
    <s v="HRSG"/>
    <s v="HSG05"/>
    <s v="S3"/>
    <s v="V17566-SKXD-AS-OS-BR-26"/>
    <s v="OS-BR-26"/>
    <s v="CV"/>
    <n v="1"/>
    <n v="82.2"/>
    <n v="82.2"/>
    <s v="(5468x737x220)"/>
    <m/>
    <s v="Bracing"/>
    <m/>
    <m/>
    <m/>
    <m/>
    <m/>
    <m/>
    <m/>
    <m/>
    <m/>
    <m/>
    <m/>
    <n v="73.98"/>
    <n v="8.2199999999999989"/>
    <m/>
    <m/>
    <n v="0"/>
    <d v="2026-09-12T00:00:00"/>
    <n v="1"/>
    <n v="82.2"/>
    <d v="2026-09-14T00:00:00"/>
    <n v="1"/>
    <n v="82.2"/>
    <m/>
    <m/>
    <n v="0"/>
    <m/>
    <m/>
    <m/>
    <n v="0"/>
    <m/>
    <m/>
    <n v="0"/>
    <s v="PAC"/>
    <m/>
  </r>
  <r>
    <n v="285"/>
    <x v="0"/>
    <s v="Shipment 2 Outlet Stack"/>
    <x v="0"/>
    <x v="1"/>
    <s v="Bracing"/>
    <d v="2026-07-01T00:00:00"/>
    <s v="HRSG"/>
    <s v="HSG05"/>
    <s v="S3"/>
    <s v="V17566-SKXD-AS-OS-BR-27"/>
    <s v="OS-BR-27"/>
    <s v="CV"/>
    <n v="1"/>
    <n v="84.2"/>
    <n v="84.2"/>
    <s v="(8564x60x100)"/>
    <m/>
    <s v="Bracing"/>
    <m/>
    <m/>
    <m/>
    <m/>
    <m/>
    <m/>
    <m/>
    <m/>
    <m/>
    <m/>
    <m/>
    <n v="75.78"/>
    <n v="8.4200000000000017"/>
    <m/>
    <m/>
    <n v="0"/>
    <d v="2026-09-12T00:00:00"/>
    <n v="1"/>
    <n v="84.2"/>
    <d v="2026-09-14T00:00:00"/>
    <n v="1"/>
    <n v="84.2"/>
    <m/>
    <m/>
    <n v="0"/>
    <m/>
    <m/>
    <m/>
    <n v="0"/>
    <m/>
    <m/>
    <n v="0"/>
    <s v="PAC"/>
    <m/>
  </r>
  <r>
    <n v="286"/>
    <x v="0"/>
    <s v="Shipment 2 Outlet Stack"/>
    <x v="0"/>
    <x v="1"/>
    <s v="Bracing"/>
    <d v="2026-07-01T00:00:00"/>
    <s v="HRSG"/>
    <s v="HSG05"/>
    <s v="S3"/>
    <s v="V17566-SKXD-AS-OS-BR-28"/>
    <s v="OS-BR-28"/>
    <s v="CV"/>
    <n v="2"/>
    <n v="94.2"/>
    <n v="188.4"/>
    <s v="(12000x10x100)"/>
    <m/>
    <s v="Bracing"/>
    <m/>
    <m/>
    <m/>
    <m/>
    <m/>
    <m/>
    <m/>
    <m/>
    <m/>
    <m/>
    <m/>
    <n v="169.56"/>
    <n v="18.840000000000003"/>
    <m/>
    <m/>
    <n v="0"/>
    <d v="2026-09-12T00:00:00"/>
    <n v="2"/>
    <n v="188.4"/>
    <d v="2026-09-14T00:00:00"/>
    <n v="2"/>
    <n v="188.4"/>
    <m/>
    <m/>
    <n v="0"/>
    <m/>
    <m/>
    <m/>
    <n v="0"/>
    <m/>
    <m/>
    <n v="0"/>
    <s v="PAC"/>
    <m/>
  </r>
  <r>
    <n v="287"/>
    <x v="0"/>
    <s v="Shipment 2 Outlet Stack"/>
    <x v="0"/>
    <x v="1"/>
    <s v="Bracing"/>
    <d v="2026-07-01T00:00:00"/>
    <s v="HRSG"/>
    <s v="HSG05"/>
    <s v="S3"/>
    <s v="V17566-SKXD-AS-OS-LT-3"/>
    <s v="OS-LT-3"/>
    <s v="LIFTTING LUG"/>
    <n v="2"/>
    <n v="6.4"/>
    <n v="12.9"/>
    <s v="(250x25x150)"/>
    <m/>
    <s v="Bracing"/>
    <m/>
    <m/>
    <m/>
    <m/>
    <m/>
    <m/>
    <m/>
    <m/>
    <m/>
    <m/>
    <m/>
    <n v="11.61"/>
    <n v="1.2900000000000009"/>
    <m/>
    <m/>
    <n v="0"/>
    <d v="2026-09-24T00:00:00"/>
    <n v="2"/>
    <n v="12.9"/>
    <d v="2026-09-24T00:00:00"/>
    <n v="2"/>
    <n v="12.9"/>
    <m/>
    <m/>
    <n v="0"/>
    <m/>
    <m/>
    <m/>
    <n v="0"/>
    <m/>
    <m/>
    <n v="0"/>
    <s v="PAC"/>
    <m/>
  </r>
  <r>
    <n v="288"/>
    <x v="0"/>
    <s v="Shipment 2 Outlet Stack"/>
    <x v="0"/>
    <x v="1"/>
    <s v="Bracing"/>
    <d v="2026-07-01T00:00:00"/>
    <s v="HRSG"/>
    <s v="HSG05"/>
    <s v="S3"/>
    <s v="V17566-SKXD-AS-OS-LT-4"/>
    <s v="OS-LT-4"/>
    <s v="LIFTTING LUG"/>
    <n v="55"/>
    <n v="4.4000000000000004"/>
    <n v="241.7"/>
    <s v="(220x101x200)"/>
    <m/>
    <s v="Bracing"/>
    <m/>
    <m/>
    <m/>
    <m/>
    <m/>
    <m/>
    <m/>
    <m/>
    <m/>
    <m/>
    <m/>
    <n v="217.53"/>
    <n v="24.169999999999987"/>
    <m/>
    <m/>
    <n v="0"/>
    <d v="2026-09-24T00:00:00"/>
    <n v="55"/>
    <n v="241.7"/>
    <d v="2026-09-24T00:00:00"/>
    <n v="55"/>
    <n v="241.7"/>
    <m/>
    <m/>
    <n v="0"/>
    <m/>
    <m/>
    <m/>
    <n v="0"/>
    <m/>
    <m/>
    <n v="0"/>
    <s v="PAC"/>
    <m/>
  </r>
  <r>
    <n v="289"/>
    <x v="0"/>
    <s v="Shipment 2 Outlet Stack"/>
    <x v="0"/>
    <x v="1"/>
    <s v="Bracing"/>
    <d v="2026-07-01T00:00:00"/>
    <s v="HRSG"/>
    <s v="HSG05"/>
    <s v="S3"/>
    <s v="V17566-SKXD-AS-OS-LT-5"/>
    <s v="OS-LT-5"/>
    <s v="LIFTTING LUG"/>
    <n v="2"/>
    <n v="4.4000000000000004"/>
    <n v="8.8000000000000007"/>
    <s v="(220x101x200)"/>
    <m/>
    <s v="Bracing"/>
    <m/>
    <m/>
    <m/>
    <m/>
    <m/>
    <m/>
    <m/>
    <m/>
    <m/>
    <m/>
    <m/>
    <n v="7.9200000000000008"/>
    <n v="0.87999999999999989"/>
    <m/>
    <m/>
    <n v="0"/>
    <d v="2026-09-24T00:00:00"/>
    <n v="2"/>
    <n v="8.8000000000000007"/>
    <d v="2026-09-24T00:00:00"/>
    <n v="2"/>
    <n v="8.8000000000000007"/>
    <m/>
    <m/>
    <n v="0"/>
    <m/>
    <m/>
    <m/>
    <n v="0"/>
    <m/>
    <m/>
    <n v="0"/>
    <s v="PAC"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8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5">
    <i>
      <x v="1"/>
    </i>
    <i r="1">
      <x v="1"/>
    </i>
    <i r="2">
      <x v="1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299"/>
  <sheetViews>
    <sheetView tabSelected="1" zoomScale="70" zoomScaleNormal="70" workbookViewId="0">
      <pane xSplit="18" ySplit="3" topLeftCell="S82" activePane="bottomRight" state="frozen"/>
      <selection pane="topRight" activeCell="S1" sqref="S1"/>
      <selection pane="bottomLeft" activeCell="A4" sqref="A4"/>
      <selection pane="bottomRight" activeCell="M118" sqref="M118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8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ÁN:U284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46296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SUBTOTAL(9,AK4:AK298)</f>
        <v>241</v>
      </c>
      <c r="AL2" s="68">
        <f>SUBTOTAL(9,AL4:AL298)</f>
        <v>244453.79999999996</v>
      </c>
      <c r="AM2" s="15"/>
      <c r="AN2" s="67">
        <f>SUBTOTAL(9,AN4:AN298)</f>
        <v>241</v>
      </c>
      <c r="AO2" s="68">
        <f>SUBTOTAL(9,AO4:AO298)</f>
        <v>244453.79999999996</v>
      </c>
      <c r="AP2" s="15"/>
      <c r="AQ2" s="67">
        <f>SUBTOTAL(9,AQ4:AQ298)</f>
        <v>0</v>
      </c>
      <c r="AR2" s="68">
        <f>SUBTOTAL(9,AR4:AR298)</f>
        <v>0</v>
      </c>
      <c r="AS2" s="16" t="str">
        <f>SUBSTITUTE(A1,"DỰ ÁN:","")&amp;"-"</f>
        <v>U284-</v>
      </c>
      <c r="AT2" s="17"/>
      <c r="AU2" s="67">
        <f>SUBTOTAL(9,AU4:AU298)</f>
        <v>7</v>
      </c>
      <c r="AV2" s="68">
        <f>SUBTOTAL(9,AV4:AV298)</f>
        <v>7093.5999999999995</v>
      </c>
      <c r="AW2" s="16"/>
      <c r="AX2" s="67">
        <f>SUBTOTAL(9,AX4:AX298)</f>
        <v>7</v>
      </c>
      <c r="AY2" s="67">
        <f>SUBTOTAL(9,AY4:AY298)</f>
        <v>7093.5999999999995</v>
      </c>
      <c r="AZ2" s="17"/>
      <c r="BA2" s="18" t="str">
        <f>SUBSTITUTE(A1,"DỰ ÁN:","")&amp;"-"</f>
        <v>U284-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439</v>
      </c>
      <c r="C4" s="25" t="str">
        <f>D4&amp;" "&amp;E4</f>
        <v>Shipment 2 CO-SCR Duct</v>
      </c>
      <c r="D4" s="25" t="s">
        <v>441</v>
      </c>
      <c r="E4" s="25" t="s">
        <v>442</v>
      </c>
      <c r="F4" s="25"/>
      <c r="G4" s="65">
        <v>46204</v>
      </c>
      <c r="H4" s="25" t="s">
        <v>443</v>
      </c>
      <c r="I4" s="25" t="s">
        <v>444</v>
      </c>
      <c r="J4" s="26" t="s">
        <v>447</v>
      </c>
      <c r="K4" s="27" t="s">
        <v>69</v>
      </c>
      <c r="L4" s="28" t="s">
        <v>70</v>
      </c>
      <c r="M4" s="28" t="s">
        <v>71</v>
      </c>
      <c r="N4" s="25">
        <v>2</v>
      </c>
      <c r="O4" s="29">
        <v>8.35</v>
      </c>
      <c r="P4" s="29">
        <v>16.7</v>
      </c>
      <c r="Q4" s="25" t="s">
        <v>356</v>
      </c>
      <c r="R4" s="25"/>
      <c r="S4" s="26" t="s">
        <v>350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16.7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440</v>
      </c>
      <c r="BA4" s="63"/>
      <c r="BB4" s="71"/>
      <c r="BC4" s="71"/>
      <c r="BD4" s="71"/>
      <c r="BF4" s="59" t="s">
        <v>439</v>
      </c>
      <c r="BG4" s="72">
        <v>270909.30000000005</v>
      </c>
      <c r="BH4" s="70">
        <v>244453.8</v>
      </c>
    </row>
    <row r="5" spans="1:60" x14ac:dyDescent="0.25">
      <c r="A5" s="24">
        <f>IF(B5="","",SUBTOTAL(3,$B$4:B5))</f>
        <v>2</v>
      </c>
      <c r="B5" s="25" t="s">
        <v>439</v>
      </c>
      <c r="C5" s="25" t="str">
        <f t="shared" ref="C5:C298" si="0">D5&amp;" "&amp;E5</f>
        <v>Shipment 2 CO-SCR Duct</v>
      </c>
      <c r="D5" s="25" t="s">
        <v>441</v>
      </c>
      <c r="E5" s="25" t="s">
        <v>442</v>
      </c>
      <c r="F5" s="25"/>
      <c r="G5" s="65">
        <v>46204</v>
      </c>
      <c r="H5" s="25" t="s">
        <v>443</v>
      </c>
      <c r="I5" s="25" t="s">
        <v>444</v>
      </c>
      <c r="J5" s="26" t="s">
        <v>447</v>
      </c>
      <c r="K5" s="27" t="s">
        <v>72</v>
      </c>
      <c r="L5" s="28" t="s">
        <v>73</v>
      </c>
      <c r="M5" s="28" t="s">
        <v>71</v>
      </c>
      <c r="N5" s="25">
        <v>2</v>
      </c>
      <c r="O5" s="29">
        <v>9.15</v>
      </c>
      <c r="P5" s="29">
        <v>18.3</v>
      </c>
      <c r="Q5" s="25" t="s">
        <v>357</v>
      </c>
      <c r="R5" s="25"/>
      <c r="S5" s="26" t="s">
        <v>350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298" si="1">+AL5*0.5+AO5*0.4+AV5*0.1</f>
        <v>0</v>
      </c>
      <c r="AF5" s="32">
        <f t="shared" ref="AF5:AF298" si="2">+P5-AE5</f>
        <v>18.3</v>
      </c>
      <c r="AG5" s="30"/>
      <c r="AH5" s="33"/>
      <c r="AI5" s="34">
        <f t="shared" ref="AI5:AI298" si="3">+AH5*P5</f>
        <v>0</v>
      </c>
      <c r="AJ5" s="35"/>
      <c r="AK5" s="30"/>
      <c r="AL5" s="36">
        <f t="shared" ref="AL5:AL298" si="4">IFERROR(AK5*$P5/$N5,0)</f>
        <v>0</v>
      </c>
      <c r="AM5" s="35"/>
      <c r="AN5" s="30"/>
      <c r="AO5" s="36">
        <f t="shared" ref="AO5:AO298" si="5">IFERROR(AN5*$P5/$N5,0)</f>
        <v>0</v>
      </c>
      <c r="AP5" s="35"/>
      <c r="AQ5" s="30"/>
      <c r="AR5" s="36">
        <f t="shared" ref="AR5:AR298" si="6">IFERROR(AQ5*$P5/$N5,0)</f>
        <v>0</v>
      </c>
      <c r="AS5" s="27"/>
      <c r="AT5" s="37"/>
      <c r="AU5" s="30"/>
      <c r="AV5" s="36">
        <f t="shared" ref="AV5:AV298" si="7">IFERROR(AU5*$P5/$N5,0)</f>
        <v>0</v>
      </c>
      <c r="AW5" s="35"/>
      <c r="AX5" s="30"/>
      <c r="AY5" s="32">
        <f t="shared" ref="AY5:AY298" si="8">IFERROR(AX5*$P5/$N5,0)</f>
        <v>0</v>
      </c>
      <c r="AZ5" s="30" t="s">
        <v>440</v>
      </c>
      <c r="BA5" s="63"/>
      <c r="BB5" s="71"/>
      <c r="BC5" s="71"/>
      <c r="BD5" s="71"/>
      <c r="BF5" s="60" t="s">
        <v>441</v>
      </c>
      <c r="BG5" s="72">
        <v>270909.30000000005</v>
      </c>
      <c r="BH5" s="70">
        <v>244453.8</v>
      </c>
    </row>
    <row r="6" spans="1:60" x14ac:dyDescent="0.25">
      <c r="A6" s="24">
        <f>IF(B6="","",SUBTOTAL(3,$B$4:B6))</f>
        <v>3</v>
      </c>
      <c r="B6" s="25" t="s">
        <v>439</v>
      </c>
      <c r="C6" s="25" t="str">
        <f t="shared" si="0"/>
        <v>Shipment 2 CO-SCR Duct</v>
      </c>
      <c r="D6" s="25" t="s">
        <v>441</v>
      </c>
      <c r="E6" s="25" t="s">
        <v>442</v>
      </c>
      <c r="F6" s="25"/>
      <c r="G6" s="65">
        <v>46204</v>
      </c>
      <c r="H6" s="25" t="s">
        <v>443</v>
      </c>
      <c r="I6" s="25" t="s">
        <v>444</v>
      </c>
      <c r="J6" s="26" t="s">
        <v>447</v>
      </c>
      <c r="K6" s="27" t="s">
        <v>74</v>
      </c>
      <c r="L6" s="28" t="s">
        <v>75</v>
      </c>
      <c r="M6" s="28" t="s">
        <v>71</v>
      </c>
      <c r="N6" s="25">
        <v>4</v>
      </c>
      <c r="O6" s="29">
        <v>2.7250000000000001</v>
      </c>
      <c r="P6" s="29">
        <v>10.9</v>
      </c>
      <c r="Q6" s="25" t="s">
        <v>358</v>
      </c>
      <c r="R6" s="25"/>
      <c r="S6" s="26" t="s">
        <v>350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10.9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440</v>
      </c>
      <c r="BA6" s="63"/>
      <c r="BB6" s="71"/>
      <c r="BC6" s="71"/>
      <c r="BD6" s="71"/>
      <c r="BF6" s="61" t="s">
        <v>442</v>
      </c>
      <c r="BG6" s="72">
        <v>141143.20000000001</v>
      </c>
      <c r="BH6" s="70">
        <v>126330.99999999999</v>
      </c>
    </row>
    <row r="7" spans="1:60" x14ac:dyDescent="0.25">
      <c r="A7" s="24">
        <f>IF(B7="","",SUBTOTAL(3,$B$4:B7))</f>
        <v>4</v>
      </c>
      <c r="B7" s="25" t="s">
        <v>439</v>
      </c>
      <c r="C7" s="25" t="str">
        <f t="shared" si="0"/>
        <v>Shipment 2 CO-SCR Duct</v>
      </c>
      <c r="D7" s="25" t="s">
        <v>441</v>
      </c>
      <c r="E7" s="25" t="s">
        <v>442</v>
      </c>
      <c r="F7" s="25"/>
      <c r="G7" s="65">
        <v>46204</v>
      </c>
      <c r="H7" s="25" t="s">
        <v>443</v>
      </c>
      <c r="I7" s="25" t="s">
        <v>444</v>
      </c>
      <c r="J7" s="26" t="s">
        <v>447</v>
      </c>
      <c r="K7" s="27" t="s">
        <v>76</v>
      </c>
      <c r="L7" s="28" t="s">
        <v>77</v>
      </c>
      <c r="M7" s="28" t="s">
        <v>71</v>
      </c>
      <c r="N7" s="25">
        <v>20</v>
      </c>
      <c r="O7" s="29">
        <v>8.745000000000001</v>
      </c>
      <c r="P7" s="29">
        <v>174.9</v>
      </c>
      <c r="Q7" s="25" t="s">
        <v>359</v>
      </c>
      <c r="R7" s="25"/>
      <c r="S7" s="26" t="s">
        <v>350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174.9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440</v>
      </c>
      <c r="BA7" s="63"/>
      <c r="BB7" s="71"/>
      <c r="BC7" s="71"/>
      <c r="BD7" s="71"/>
      <c r="BF7" s="61" t="s">
        <v>775</v>
      </c>
      <c r="BG7" s="72">
        <v>129766.10000000003</v>
      </c>
      <c r="BH7" s="70">
        <v>118122.79999999999</v>
      </c>
    </row>
    <row r="8" spans="1:60" x14ac:dyDescent="0.25">
      <c r="A8" s="24">
        <f>IF(B8="","",SUBTOTAL(3,$B$4:B8))</f>
        <v>5</v>
      </c>
      <c r="B8" s="25" t="s">
        <v>439</v>
      </c>
      <c r="C8" s="25" t="str">
        <f t="shared" si="0"/>
        <v>Shipment 2 CO-SCR Duct</v>
      </c>
      <c r="D8" s="25" t="s">
        <v>441</v>
      </c>
      <c r="E8" s="25" t="s">
        <v>442</v>
      </c>
      <c r="F8" s="25"/>
      <c r="G8" s="65">
        <v>46204</v>
      </c>
      <c r="H8" s="25" t="s">
        <v>443</v>
      </c>
      <c r="I8" s="25" t="s">
        <v>444</v>
      </c>
      <c r="J8" s="26" t="s">
        <v>447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8.6999999999999993</v>
      </c>
      <c r="P8" s="29">
        <v>8.6999999999999993</v>
      </c>
      <c r="Q8" s="25" t="s">
        <v>359</v>
      </c>
      <c r="R8" s="25"/>
      <c r="S8" s="26" t="s">
        <v>350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8.6999999999999993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440</v>
      </c>
      <c r="BA8" s="63"/>
      <c r="BB8" s="71"/>
      <c r="BC8" s="71"/>
      <c r="BD8" s="71"/>
      <c r="BF8" s="59" t="s">
        <v>50</v>
      </c>
      <c r="BG8" s="72">
        <v>270909.30000000005</v>
      </c>
      <c r="BH8" s="70">
        <v>244453.8</v>
      </c>
    </row>
    <row r="9" spans="1:60" x14ac:dyDescent="0.25">
      <c r="A9" s="24">
        <f>IF(B9="","",SUBTOTAL(3,$B$4:B9))</f>
        <v>6</v>
      </c>
      <c r="B9" s="25" t="s">
        <v>439</v>
      </c>
      <c r="C9" s="25" t="str">
        <f t="shared" si="0"/>
        <v>Shipment 2 CO-SCR Duct</v>
      </c>
      <c r="D9" s="25" t="s">
        <v>441</v>
      </c>
      <c r="E9" s="25" t="s">
        <v>442</v>
      </c>
      <c r="F9" s="25"/>
      <c r="G9" s="65">
        <v>46204</v>
      </c>
      <c r="H9" s="25" t="s">
        <v>443</v>
      </c>
      <c r="I9" s="25" t="s">
        <v>444</v>
      </c>
      <c r="J9" s="26" t="s">
        <v>447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6</v>
      </c>
      <c r="P9" s="29">
        <v>6</v>
      </c>
      <c r="Q9" s="25" t="s">
        <v>360</v>
      </c>
      <c r="R9" s="25"/>
      <c r="S9" s="26" t="s">
        <v>350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6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440</v>
      </c>
      <c r="BA9" s="63"/>
      <c r="BB9" s="71"/>
      <c r="BC9" s="71"/>
      <c r="BD9" s="71"/>
    </row>
    <row r="10" spans="1:60" x14ac:dyDescent="0.25">
      <c r="A10" s="24">
        <f>IF(B10="","",SUBTOTAL(3,$B$4:B10))</f>
        <v>7</v>
      </c>
      <c r="B10" s="25" t="s">
        <v>439</v>
      </c>
      <c r="C10" s="25" t="str">
        <f t="shared" si="0"/>
        <v>Shipment 2 CO-SCR Duct</v>
      </c>
      <c r="D10" s="25" t="s">
        <v>441</v>
      </c>
      <c r="E10" s="25" t="s">
        <v>442</v>
      </c>
      <c r="F10" s="25"/>
      <c r="G10" s="65">
        <v>46204</v>
      </c>
      <c r="H10" s="25" t="s">
        <v>443</v>
      </c>
      <c r="I10" s="25" t="s">
        <v>444</v>
      </c>
      <c r="J10" s="26" t="s">
        <v>447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8.6999999999999993</v>
      </c>
      <c r="P10" s="29">
        <v>8.6999999999999993</v>
      </c>
      <c r="Q10" s="25" t="s">
        <v>359</v>
      </c>
      <c r="R10" s="25"/>
      <c r="S10" s="26" t="s">
        <v>350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8.6999999999999993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440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439</v>
      </c>
      <c r="C11" s="25" t="str">
        <f t="shared" si="0"/>
        <v>Shipment 2 CO-SCR Duct</v>
      </c>
      <c r="D11" s="25" t="s">
        <v>441</v>
      </c>
      <c r="E11" s="25" t="s">
        <v>442</v>
      </c>
      <c r="F11" s="25"/>
      <c r="G11" s="65">
        <v>46204</v>
      </c>
      <c r="H11" s="25" t="s">
        <v>443</v>
      </c>
      <c r="I11" s="25" t="s">
        <v>444</v>
      </c>
      <c r="J11" s="26" t="s">
        <v>447</v>
      </c>
      <c r="K11" s="27" t="s">
        <v>84</v>
      </c>
      <c r="L11" s="28" t="s">
        <v>85</v>
      </c>
      <c r="M11" s="28" t="s">
        <v>71</v>
      </c>
      <c r="N11" s="25">
        <v>2</v>
      </c>
      <c r="O11" s="29">
        <v>4.45</v>
      </c>
      <c r="P11" s="29">
        <v>8.9</v>
      </c>
      <c r="Q11" s="25" t="s">
        <v>361</v>
      </c>
      <c r="R11" s="25"/>
      <c r="S11" s="26" t="s">
        <v>350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0</v>
      </c>
      <c r="AF11" s="32">
        <f t="shared" si="2"/>
        <v>8.9</v>
      </c>
      <c r="AG11" s="30"/>
      <c r="AH11" s="33"/>
      <c r="AI11" s="34">
        <f t="shared" si="3"/>
        <v>0</v>
      </c>
      <c r="AJ11" s="35"/>
      <c r="AK11" s="30"/>
      <c r="AL11" s="36">
        <f t="shared" si="4"/>
        <v>0</v>
      </c>
      <c r="AM11" s="35"/>
      <c r="AN11" s="30"/>
      <c r="AO11" s="36">
        <f t="shared" si="5"/>
        <v>0</v>
      </c>
      <c r="AP11" s="35"/>
      <c r="AQ11" s="30"/>
      <c r="AR11" s="36">
        <f t="shared" si="6"/>
        <v>0</v>
      </c>
      <c r="AS11" s="27"/>
      <c r="AT11" s="37"/>
      <c r="AU11" s="30"/>
      <c r="AV11" s="36">
        <f t="shared" si="7"/>
        <v>0</v>
      </c>
      <c r="AW11" s="35"/>
      <c r="AX11" s="30"/>
      <c r="AY11" s="32">
        <f t="shared" si="8"/>
        <v>0</v>
      </c>
      <c r="AZ11" s="30" t="s">
        <v>440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439</v>
      </c>
      <c r="C12" s="25" t="str">
        <f t="shared" si="0"/>
        <v>Shipment 2 CO-SCR Duct</v>
      </c>
      <c r="D12" s="25" t="s">
        <v>441</v>
      </c>
      <c r="E12" s="25" t="s">
        <v>442</v>
      </c>
      <c r="F12" s="25"/>
      <c r="G12" s="65">
        <v>46204</v>
      </c>
      <c r="H12" s="25" t="s">
        <v>443</v>
      </c>
      <c r="I12" s="25" t="s">
        <v>444</v>
      </c>
      <c r="J12" s="26" t="s">
        <v>447</v>
      </c>
      <c r="K12" s="27" t="s">
        <v>86</v>
      </c>
      <c r="L12" s="28" t="s">
        <v>87</v>
      </c>
      <c r="M12" s="28" t="s">
        <v>71</v>
      </c>
      <c r="N12" s="25">
        <v>68</v>
      </c>
      <c r="O12" s="29">
        <v>8.7455882352941181</v>
      </c>
      <c r="P12" s="29">
        <v>594.70000000000005</v>
      </c>
      <c r="Q12" s="25" t="s">
        <v>359</v>
      </c>
      <c r="R12" s="25"/>
      <c r="S12" s="26" t="s">
        <v>350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0</v>
      </c>
      <c r="AF12" s="32">
        <f t="shared" si="2"/>
        <v>594.70000000000005</v>
      </c>
      <c r="AG12" s="30"/>
      <c r="AH12" s="33"/>
      <c r="AI12" s="34">
        <f t="shared" si="3"/>
        <v>0</v>
      </c>
      <c r="AJ12" s="35"/>
      <c r="AK12" s="30"/>
      <c r="AL12" s="36">
        <f t="shared" si="4"/>
        <v>0</v>
      </c>
      <c r="AM12" s="35"/>
      <c r="AN12" s="30"/>
      <c r="AO12" s="36">
        <f t="shared" si="5"/>
        <v>0</v>
      </c>
      <c r="AP12" s="35"/>
      <c r="AQ12" s="30"/>
      <c r="AR12" s="36">
        <f t="shared" si="6"/>
        <v>0</v>
      </c>
      <c r="AS12" s="27"/>
      <c r="AT12" s="37"/>
      <c r="AU12" s="30"/>
      <c r="AV12" s="36">
        <f t="shared" si="7"/>
        <v>0</v>
      </c>
      <c r="AW12" s="35"/>
      <c r="AX12" s="30"/>
      <c r="AY12" s="32">
        <f t="shared" si="8"/>
        <v>0</v>
      </c>
      <c r="AZ12" s="30" t="s">
        <v>440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439</v>
      </c>
      <c r="C13" s="25" t="str">
        <f t="shared" ref="C13:C76" si="9">D13&amp;" "&amp;E13</f>
        <v>Shipment 2 CO-SCR Duct</v>
      </c>
      <c r="D13" s="25" t="s">
        <v>441</v>
      </c>
      <c r="E13" s="25" t="s">
        <v>442</v>
      </c>
      <c r="F13" s="25"/>
      <c r="G13" s="65">
        <v>46204</v>
      </c>
      <c r="H13" s="25" t="s">
        <v>443</v>
      </c>
      <c r="I13" s="25" t="s">
        <v>444</v>
      </c>
      <c r="J13" s="26" t="s">
        <v>447</v>
      </c>
      <c r="K13" s="27" t="s">
        <v>88</v>
      </c>
      <c r="L13" s="28" t="s">
        <v>89</v>
      </c>
      <c r="M13" s="28" t="s">
        <v>71</v>
      </c>
      <c r="N13" s="25">
        <v>4</v>
      </c>
      <c r="O13" s="29">
        <v>6.2750000000000004</v>
      </c>
      <c r="P13" s="29">
        <v>25.1</v>
      </c>
      <c r="Q13" s="25" t="s">
        <v>362</v>
      </c>
      <c r="R13" s="25"/>
      <c r="S13" s="26" t="s">
        <v>350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ref="AE13:AE76" si="10">+AL13*0.5+AO13*0.4+AV13*0.1</f>
        <v>0</v>
      </c>
      <c r="AF13" s="32">
        <f t="shared" ref="AF13:AF76" si="11">+P13-AE13</f>
        <v>25.1</v>
      </c>
      <c r="AG13" s="30"/>
      <c r="AH13" s="33"/>
      <c r="AI13" s="34">
        <f t="shared" ref="AI13:AI76" si="12">+AH13*P13</f>
        <v>0</v>
      </c>
      <c r="AJ13" s="35"/>
      <c r="AK13" s="30"/>
      <c r="AL13" s="36">
        <f t="shared" ref="AL13:AL76" si="13">IFERROR(AK13*$P13/$N13,0)</f>
        <v>0</v>
      </c>
      <c r="AM13" s="35"/>
      <c r="AN13" s="30"/>
      <c r="AO13" s="36">
        <f t="shared" ref="AO13:AO76" si="14">IFERROR(AN13*$P13/$N13,0)</f>
        <v>0</v>
      </c>
      <c r="AP13" s="35"/>
      <c r="AQ13" s="30"/>
      <c r="AR13" s="36">
        <f t="shared" ref="AR13:AR76" si="15">IFERROR(AQ13*$P13/$N13,0)</f>
        <v>0</v>
      </c>
      <c r="AS13" s="27"/>
      <c r="AT13" s="37"/>
      <c r="AU13" s="30"/>
      <c r="AV13" s="36">
        <f t="shared" ref="AV13:AV76" si="16">IFERROR(AU13*$P13/$N13,0)</f>
        <v>0</v>
      </c>
      <c r="AW13" s="35"/>
      <c r="AX13" s="30"/>
      <c r="AY13" s="32">
        <f t="shared" ref="AY13:AY76" si="17">IFERROR(AX13*$P13/$N13,0)</f>
        <v>0</v>
      </c>
      <c r="AZ13" s="30" t="s">
        <v>440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439</v>
      </c>
      <c r="C14" s="25" t="str">
        <f t="shared" si="9"/>
        <v>Shipment 2 CO-SCR Duct</v>
      </c>
      <c r="D14" s="25" t="s">
        <v>441</v>
      </c>
      <c r="E14" s="25" t="s">
        <v>442</v>
      </c>
      <c r="F14" s="25"/>
      <c r="G14" s="65">
        <v>46204</v>
      </c>
      <c r="H14" s="25" t="s">
        <v>443</v>
      </c>
      <c r="I14" s="25" t="s">
        <v>444</v>
      </c>
      <c r="J14" s="26" t="s">
        <v>447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10.5</v>
      </c>
      <c r="P14" s="29">
        <v>10.5</v>
      </c>
      <c r="Q14" s="25" t="s">
        <v>363</v>
      </c>
      <c r="R14" s="25"/>
      <c r="S14" s="26" t="s">
        <v>350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10.5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440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439</v>
      </c>
      <c r="C15" s="25" t="str">
        <f t="shared" si="9"/>
        <v>Shipment 2 CO-SCR Duct</v>
      </c>
      <c r="D15" s="25" t="s">
        <v>441</v>
      </c>
      <c r="E15" s="25" t="s">
        <v>442</v>
      </c>
      <c r="F15" s="25"/>
      <c r="G15" s="65">
        <v>46204</v>
      </c>
      <c r="H15" s="25" t="s">
        <v>443</v>
      </c>
      <c r="I15" s="25" t="s">
        <v>444</v>
      </c>
      <c r="J15" s="26" t="s">
        <v>447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8.6999999999999993</v>
      </c>
      <c r="P15" s="29">
        <v>8.6999999999999993</v>
      </c>
      <c r="Q15" s="25" t="s">
        <v>359</v>
      </c>
      <c r="R15" s="25"/>
      <c r="S15" s="26" t="s">
        <v>350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8.6999999999999993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440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439</v>
      </c>
      <c r="C16" s="25" t="str">
        <f t="shared" si="9"/>
        <v>Shipment 2 CO-SCR Duct</v>
      </c>
      <c r="D16" s="25" t="s">
        <v>441</v>
      </c>
      <c r="E16" s="25" t="s">
        <v>442</v>
      </c>
      <c r="F16" s="25"/>
      <c r="G16" s="65">
        <v>46204</v>
      </c>
      <c r="H16" s="25" t="s">
        <v>443</v>
      </c>
      <c r="I16" s="25" t="s">
        <v>444</v>
      </c>
      <c r="J16" s="26" t="s">
        <v>447</v>
      </c>
      <c r="K16" s="27" t="s">
        <v>94</v>
      </c>
      <c r="L16" s="28" t="s">
        <v>95</v>
      </c>
      <c r="M16" s="28" t="s">
        <v>71</v>
      </c>
      <c r="N16" s="25">
        <v>1</v>
      </c>
      <c r="O16" s="29">
        <v>8.1</v>
      </c>
      <c r="P16" s="29">
        <v>8.1</v>
      </c>
      <c r="Q16" s="25" t="s">
        <v>359</v>
      </c>
      <c r="R16" s="25"/>
      <c r="S16" s="26" t="s">
        <v>350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8.1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440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439</v>
      </c>
      <c r="C17" s="25" t="str">
        <f t="shared" si="9"/>
        <v>Shipment 2 CO-SCR Duct</v>
      </c>
      <c r="D17" s="25" t="s">
        <v>441</v>
      </c>
      <c r="E17" s="25" t="s">
        <v>442</v>
      </c>
      <c r="F17" s="25"/>
      <c r="G17" s="65">
        <v>46204</v>
      </c>
      <c r="H17" s="25" t="s">
        <v>443</v>
      </c>
      <c r="I17" s="25" t="s">
        <v>444</v>
      </c>
      <c r="J17" s="26" t="s">
        <v>447</v>
      </c>
      <c r="K17" s="27" t="s">
        <v>96</v>
      </c>
      <c r="L17" s="28" t="s">
        <v>97</v>
      </c>
      <c r="M17" s="28" t="s">
        <v>71</v>
      </c>
      <c r="N17" s="25">
        <v>1</v>
      </c>
      <c r="O17" s="29">
        <v>8.6</v>
      </c>
      <c r="P17" s="29">
        <v>8.6</v>
      </c>
      <c r="Q17" s="25" t="s">
        <v>359</v>
      </c>
      <c r="R17" s="25"/>
      <c r="S17" s="26" t="s">
        <v>350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8.6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440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439</v>
      </c>
      <c r="C18" s="25" t="str">
        <f t="shared" si="9"/>
        <v>Shipment 2 CO-SCR Duct</v>
      </c>
      <c r="D18" s="25" t="s">
        <v>441</v>
      </c>
      <c r="E18" s="25" t="s">
        <v>442</v>
      </c>
      <c r="F18" s="25"/>
      <c r="G18" s="65">
        <v>46204</v>
      </c>
      <c r="H18" s="25" t="s">
        <v>443</v>
      </c>
      <c r="I18" s="25" t="s">
        <v>444</v>
      </c>
      <c r="J18" s="26" t="s">
        <v>447</v>
      </c>
      <c r="K18" s="27" t="s">
        <v>98</v>
      </c>
      <c r="L18" s="28" t="s">
        <v>99</v>
      </c>
      <c r="M18" s="28" t="s">
        <v>71</v>
      </c>
      <c r="N18" s="25">
        <v>1</v>
      </c>
      <c r="O18" s="29">
        <v>8.6999999999999993</v>
      </c>
      <c r="P18" s="29">
        <v>8.6999999999999993</v>
      </c>
      <c r="Q18" s="25" t="s">
        <v>359</v>
      </c>
      <c r="R18" s="25"/>
      <c r="S18" s="26" t="s">
        <v>350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8.6999999999999993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440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439</v>
      </c>
      <c r="C19" s="25" t="str">
        <f t="shared" si="9"/>
        <v>Shipment 2 CO-SCR Duct</v>
      </c>
      <c r="D19" s="25" t="s">
        <v>441</v>
      </c>
      <c r="E19" s="25" t="s">
        <v>442</v>
      </c>
      <c r="F19" s="25"/>
      <c r="G19" s="65">
        <v>46204</v>
      </c>
      <c r="H19" s="25" t="s">
        <v>443</v>
      </c>
      <c r="I19" s="25" t="s">
        <v>444</v>
      </c>
      <c r="J19" s="26" t="s">
        <v>447</v>
      </c>
      <c r="K19" s="27" t="s">
        <v>100</v>
      </c>
      <c r="L19" s="28" t="s">
        <v>101</v>
      </c>
      <c r="M19" s="28" t="s">
        <v>71</v>
      </c>
      <c r="N19" s="25">
        <v>1</v>
      </c>
      <c r="O19" s="29">
        <v>5.4</v>
      </c>
      <c r="P19" s="29">
        <v>5.4</v>
      </c>
      <c r="Q19" s="25" t="s">
        <v>360</v>
      </c>
      <c r="R19" s="25"/>
      <c r="S19" s="26" t="s">
        <v>350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5.4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440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439</v>
      </c>
      <c r="C20" s="25" t="str">
        <f t="shared" si="9"/>
        <v>Shipment 2 CO-SCR Duct</v>
      </c>
      <c r="D20" s="25" t="s">
        <v>441</v>
      </c>
      <c r="E20" s="25" t="s">
        <v>442</v>
      </c>
      <c r="F20" s="25"/>
      <c r="G20" s="65">
        <v>46204</v>
      </c>
      <c r="H20" s="25" t="s">
        <v>443</v>
      </c>
      <c r="I20" s="25" t="s">
        <v>444</v>
      </c>
      <c r="J20" s="26" t="s">
        <v>447</v>
      </c>
      <c r="K20" s="27" t="s">
        <v>102</v>
      </c>
      <c r="L20" s="28" t="s">
        <v>103</v>
      </c>
      <c r="M20" s="28" t="s">
        <v>71</v>
      </c>
      <c r="N20" s="25">
        <v>1</v>
      </c>
      <c r="O20" s="29">
        <v>10.5</v>
      </c>
      <c r="P20" s="29">
        <v>10.5</v>
      </c>
      <c r="Q20" s="25" t="s">
        <v>363</v>
      </c>
      <c r="R20" s="25"/>
      <c r="S20" s="26" t="s">
        <v>350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10.5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440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439</v>
      </c>
      <c r="C21" s="25" t="str">
        <f t="shared" si="9"/>
        <v>Shipment 2 CO-SCR Duct</v>
      </c>
      <c r="D21" s="25" t="s">
        <v>441</v>
      </c>
      <c r="E21" s="25" t="s">
        <v>442</v>
      </c>
      <c r="F21" s="25"/>
      <c r="G21" s="65">
        <v>46204</v>
      </c>
      <c r="H21" s="25" t="s">
        <v>443</v>
      </c>
      <c r="I21" s="25" t="s">
        <v>444</v>
      </c>
      <c r="J21" s="26" t="s">
        <v>447</v>
      </c>
      <c r="K21" s="27" t="s">
        <v>104</v>
      </c>
      <c r="L21" s="28" t="s">
        <v>105</v>
      </c>
      <c r="M21" s="28" t="s">
        <v>71</v>
      </c>
      <c r="N21" s="25">
        <v>2</v>
      </c>
      <c r="O21" s="29">
        <v>11.95</v>
      </c>
      <c r="P21" s="29">
        <v>23.9</v>
      </c>
      <c r="Q21" s="25" t="s">
        <v>364</v>
      </c>
      <c r="R21" s="25"/>
      <c r="S21" s="26" t="s">
        <v>350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23.9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440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439</v>
      </c>
      <c r="C22" s="25" t="str">
        <f t="shared" si="9"/>
        <v>Shipment 2 CO-SCR Duct</v>
      </c>
      <c r="D22" s="25" t="s">
        <v>441</v>
      </c>
      <c r="E22" s="25" t="s">
        <v>442</v>
      </c>
      <c r="F22" s="25"/>
      <c r="G22" s="65">
        <v>46204</v>
      </c>
      <c r="H22" s="25" t="s">
        <v>443</v>
      </c>
      <c r="I22" s="25" t="s">
        <v>444</v>
      </c>
      <c r="J22" s="26" t="s">
        <v>447</v>
      </c>
      <c r="K22" s="27" t="s">
        <v>106</v>
      </c>
      <c r="L22" s="28" t="s">
        <v>107</v>
      </c>
      <c r="M22" s="28" t="s">
        <v>71</v>
      </c>
      <c r="N22" s="25">
        <v>2</v>
      </c>
      <c r="O22" s="29">
        <v>8.4499999999999993</v>
      </c>
      <c r="P22" s="29">
        <v>16.899999999999999</v>
      </c>
      <c r="Q22" s="25" t="s">
        <v>359</v>
      </c>
      <c r="R22" s="25"/>
      <c r="S22" s="26" t="s">
        <v>350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16.899999999999999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440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439</v>
      </c>
      <c r="C23" s="25" t="str">
        <f t="shared" si="9"/>
        <v>Shipment 2 CO-SCR Duct</v>
      </c>
      <c r="D23" s="25" t="s">
        <v>441</v>
      </c>
      <c r="E23" s="25" t="s">
        <v>442</v>
      </c>
      <c r="F23" s="25"/>
      <c r="G23" s="65">
        <v>46204</v>
      </c>
      <c r="H23" s="25" t="s">
        <v>443</v>
      </c>
      <c r="I23" s="25" t="s">
        <v>444</v>
      </c>
      <c r="J23" s="26" t="s">
        <v>447</v>
      </c>
      <c r="K23" s="27" t="s">
        <v>108</v>
      </c>
      <c r="L23" s="28" t="s">
        <v>109</v>
      </c>
      <c r="M23" s="28" t="s">
        <v>71</v>
      </c>
      <c r="N23" s="25">
        <v>2</v>
      </c>
      <c r="O23" s="29">
        <v>8.4499999999999993</v>
      </c>
      <c r="P23" s="29">
        <v>16.899999999999999</v>
      </c>
      <c r="Q23" s="25" t="s">
        <v>359</v>
      </c>
      <c r="R23" s="25"/>
      <c r="S23" s="26" t="s">
        <v>350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16.899999999999999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440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439</v>
      </c>
      <c r="C24" s="25" t="str">
        <f t="shared" si="9"/>
        <v>Shipment 2 CO-SCR Duct</v>
      </c>
      <c r="D24" s="25" t="s">
        <v>441</v>
      </c>
      <c r="E24" s="25" t="s">
        <v>442</v>
      </c>
      <c r="F24" s="25"/>
      <c r="G24" s="65">
        <v>46204</v>
      </c>
      <c r="H24" s="25" t="s">
        <v>443</v>
      </c>
      <c r="I24" s="25" t="s">
        <v>444</v>
      </c>
      <c r="J24" s="26" t="s">
        <v>447</v>
      </c>
      <c r="K24" s="27" t="s">
        <v>110</v>
      </c>
      <c r="L24" s="28" t="s">
        <v>111</v>
      </c>
      <c r="M24" s="28" t="s">
        <v>71</v>
      </c>
      <c r="N24" s="25">
        <v>2</v>
      </c>
      <c r="O24" s="29">
        <v>8.4499999999999993</v>
      </c>
      <c r="P24" s="29">
        <v>16.899999999999999</v>
      </c>
      <c r="Q24" s="25" t="s">
        <v>359</v>
      </c>
      <c r="R24" s="25"/>
      <c r="S24" s="26" t="s">
        <v>350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16.899999999999999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440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439</v>
      </c>
      <c r="C25" s="25" t="str">
        <f t="shared" si="9"/>
        <v>Shipment 2 CO-SCR Duct</v>
      </c>
      <c r="D25" s="25" t="s">
        <v>441</v>
      </c>
      <c r="E25" s="25" t="s">
        <v>442</v>
      </c>
      <c r="F25" s="25"/>
      <c r="G25" s="65">
        <v>46204</v>
      </c>
      <c r="H25" s="25" t="s">
        <v>443</v>
      </c>
      <c r="I25" s="25" t="s">
        <v>444</v>
      </c>
      <c r="J25" s="26" t="s">
        <v>447</v>
      </c>
      <c r="K25" s="27" t="s">
        <v>112</v>
      </c>
      <c r="L25" s="28" t="s">
        <v>113</v>
      </c>
      <c r="M25" s="28" t="s">
        <v>71</v>
      </c>
      <c r="N25" s="25">
        <v>4</v>
      </c>
      <c r="O25" s="29">
        <v>8.4749999999999996</v>
      </c>
      <c r="P25" s="29">
        <v>33.9</v>
      </c>
      <c r="Q25" s="25" t="s">
        <v>359</v>
      </c>
      <c r="R25" s="25"/>
      <c r="S25" s="26" t="s">
        <v>350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33.9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440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439</v>
      </c>
      <c r="C26" s="25" t="str">
        <f t="shared" si="9"/>
        <v>Shipment 2 CO-SCR Duct</v>
      </c>
      <c r="D26" s="25" t="s">
        <v>441</v>
      </c>
      <c r="E26" s="25" t="s">
        <v>442</v>
      </c>
      <c r="F26" s="25"/>
      <c r="G26" s="65">
        <v>46204</v>
      </c>
      <c r="H26" s="25" t="s">
        <v>443</v>
      </c>
      <c r="I26" s="25" t="s">
        <v>444</v>
      </c>
      <c r="J26" s="26" t="s">
        <v>447</v>
      </c>
      <c r="K26" s="27" t="s">
        <v>114</v>
      </c>
      <c r="L26" s="28" t="s">
        <v>115</v>
      </c>
      <c r="M26" s="28" t="s">
        <v>71</v>
      </c>
      <c r="N26" s="25">
        <v>2</v>
      </c>
      <c r="O26" s="29">
        <v>6.75</v>
      </c>
      <c r="P26" s="29">
        <v>13.5</v>
      </c>
      <c r="Q26" s="25" t="s">
        <v>365</v>
      </c>
      <c r="R26" s="25"/>
      <c r="S26" s="26" t="s">
        <v>350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13.5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440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439</v>
      </c>
      <c r="C27" s="25" t="str">
        <f t="shared" si="9"/>
        <v>Shipment 2 CO-SCR Duct</v>
      </c>
      <c r="D27" s="25" t="s">
        <v>441</v>
      </c>
      <c r="E27" s="25" t="s">
        <v>442</v>
      </c>
      <c r="F27" s="25"/>
      <c r="G27" s="65">
        <v>46204</v>
      </c>
      <c r="H27" s="25" t="s">
        <v>443</v>
      </c>
      <c r="I27" s="25" t="s">
        <v>444</v>
      </c>
      <c r="J27" s="26" t="s">
        <v>447</v>
      </c>
      <c r="K27" s="27" t="s">
        <v>116</v>
      </c>
      <c r="L27" s="28" t="s">
        <v>117</v>
      </c>
      <c r="M27" s="28" t="s">
        <v>71</v>
      </c>
      <c r="N27" s="25">
        <v>2</v>
      </c>
      <c r="O27" s="29">
        <v>8.1999999999999993</v>
      </c>
      <c r="P27" s="29">
        <v>16.399999999999999</v>
      </c>
      <c r="Q27" s="25" t="s">
        <v>366</v>
      </c>
      <c r="R27" s="25"/>
      <c r="S27" s="26" t="s">
        <v>350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16.399999999999999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440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439</v>
      </c>
      <c r="C28" s="25" t="str">
        <f t="shared" si="9"/>
        <v>Shipment 2 CO-SCR Duct</v>
      </c>
      <c r="D28" s="25" t="s">
        <v>441</v>
      </c>
      <c r="E28" s="25" t="s">
        <v>442</v>
      </c>
      <c r="F28" s="25"/>
      <c r="G28" s="65">
        <v>46204</v>
      </c>
      <c r="H28" s="25" t="s">
        <v>443</v>
      </c>
      <c r="I28" s="25" t="s">
        <v>444</v>
      </c>
      <c r="J28" s="26" t="s">
        <v>447</v>
      </c>
      <c r="K28" s="27" t="s">
        <v>118</v>
      </c>
      <c r="L28" s="28" t="s">
        <v>119</v>
      </c>
      <c r="M28" s="28" t="s">
        <v>71</v>
      </c>
      <c r="N28" s="25">
        <v>1</v>
      </c>
      <c r="O28" s="29">
        <v>4</v>
      </c>
      <c r="P28" s="29">
        <v>4</v>
      </c>
      <c r="Q28" s="25" t="s">
        <v>367</v>
      </c>
      <c r="R28" s="25"/>
      <c r="S28" s="26" t="s">
        <v>350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440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439</v>
      </c>
      <c r="C29" s="25" t="str">
        <f t="shared" si="9"/>
        <v>Shipment 2 CO-SCR Duct</v>
      </c>
      <c r="D29" s="25" t="s">
        <v>441</v>
      </c>
      <c r="E29" s="25" t="s">
        <v>442</v>
      </c>
      <c r="F29" s="25"/>
      <c r="G29" s="65">
        <v>46204</v>
      </c>
      <c r="H29" s="25" t="s">
        <v>443</v>
      </c>
      <c r="I29" s="25" t="s">
        <v>444</v>
      </c>
      <c r="J29" s="26" t="s">
        <v>447</v>
      </c>
      <c r="K29" s="27" t="s">
        <v>120</v>
      </c>
      <c r="L29" s="28" t="s">
        <v>121</v>
      </c>
      <c r="M29" s="28" t="s">
        <v>71</v>
      </c>
      <c r="N29" s="25">
        <v>2</v>
      </c>
      <c r="O29" s="29">
        <v>4.7</v>
      </c>
      <c r="P29" s="29">
        <v>9.4</v>
      </c>
      <c r="Q29" s="25" t="s">
        <v>368</v>
      </c>
      <c r="R29" s="25"/>
      <c r="S29" s="26" t="s">
        <v>350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9.4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440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439</v>
      </c>
      <c r="C30" s="25" t="str">
        <f t="shared" si="9"/>
        <v>Shipment 2 CO-SCR Duct</v>
      </c>
      <c r="D30" s="25" t="s">
        <v>441</v>
      </c>
      <c r="E30" s="25" t="s">
        <v>442</v>
      </c>
      <c r="F30" s="25"/>
      <c r="G30" s="65">
        <v>46204</v>
      </c>
      <c r="H30" s="25" t="s">
        <v>443</v>
      </c>
      <c r="I30" s="25" t="s">
        <v>444</v>
      </c>
      <c r="J30" s="26" t="s">
        <v>447</v>
      </c>
      <c r="K30" s="27" t="s">
        <v>122</v>
      </c>
      <c r="L30" s="28" t="s">
        <v>123</v>
      </c>
      <c r="M30" s="28" t="s">
        <v>71</v>
      </c>
      <c r="N30" s="25">
        <v>1</v>
      </c>
      <c r="O30" s="29">
        <v>4</v>
      </c>
      <c r="P30" s="29">
        <v>4</v>
      </c>
      <c r="Q30" s="25" t="s">
        <v>367</v>
      </c>
      <c r="R30" s="25"/>
      <c r="S30" s="26" t="s">
        <v>350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440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439</v>
      </c>
      <c r="C31" s="25" t="str">
        <f t="shared" si="9"/>
        <v>Shipment 2 CO-SCR Duct</v>
      </c>
      <c r="D31" s="25" t="s">
        <v>441</v>
      </c>
      <c r="E31" s="25" t="s">
        <v>442</v>
      </c>
      <c r="F31" s="25"/>
      <c r="G31" s="65">
        <v>46204</v>
      </c>
      <c r="H31" s="25" t="s">
        <v>443</v>
      </c>
      <c r="I31" s="25" t="s">
        <v>444</v>
      </c>
      <c r="J31" s="26" t="s">
        <v>447</v>
      </c>
      <c r="K31" s="27" t="s">
        <v>124</v>
      </c>
      <c r="L31" s="28" t="s">
        <v>125</v>
      </c>
      <c r="M31" s="28" t="s">
        <v>71</v>
      </c>
      <c r="N31" s="25">
        <v>1</v>
      </c>
      <c r="O31" s="29">
        <v>5</v>
      </c>
      <c r="P31" s="29">
        <v>5</v>
      </c>
      <c r="Q31" s="25" t="s">
        <v>369</v>
      </c>
      <c r="R31" s="25"/>
      <c r="S31" s="26" t="s">
        <v>350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5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440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439</v>
      </c>
      <c r="C32" s="25" t="str">
        <f t="shared" si="9"/>
        <v>Shipment 2 CO-SCR Duct</v>
      </c>
      <c r="D32" s="25" t="s">
        <v>441</v>
      </c>
      <c r="E32" s="25" t="s">
        <v>442</v>
      </c>
      <c r="F32" s="25"/>
      <c r="G32" s="65">
        <v>46204</v>
      </c>
      <c r="H32" s="25" t="s">
        <v>443</v>
      </c>
      <c r="I32" s="25" t="s">
        <v>444</v>
      </c>
      <c r="J32" s="26" t="s">
        <v>447</v>
      </c>
      <c r="K32" s="27" t="s">
        <v>126</v>
      </c>
      <c r="L32" s="28" t="s">
        <v>127</v>
      </c>
      <c r="M32" s="28" t="s">
        <v>71</v>
      </c>
      <c r="N32" s="25">
        <v>1</v>
      </c>
      <c r="O32" s="29">
        <v>5</v>
      </c>
      <c r="P32" s="29">
        <v>5</v>
      </c>
      <c r="Q32" s="25" t="s">
        <v>369</v>
      </c>
      <c r="R32" s="25"/>
      <c r="S32" s="26" t="s">
        <v>350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5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440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439</v>
      </c>
      <c r="C33" s="25" t="str">
        <f t="shared" si="9"/>
        <v>Shipment 2 CO-SCR Duct</v>
      </c>
      <c r="D33" s="25" t="s">
        <v>441</v>
      </c>
      <c r="E33" s="25" t="s">
        <v>442</v>
      </c>
      <c r="F33" s="25"/>
      <c r="G33" s="65">
        <v>46204</v>
      </c>
      <c r="H33" s="25" t="s">
        <v>443</v>
      </c>
      <c r="I33" s="25" t="s">
        <v>444</v>
      </c>
      <c r="J33" s="26" t="s">
        <v>447</v>
      </c>
      <c r="K33" s="27" t="s">
        <v>128</v>
      </c>
      <c r="L33" s="28" t="s">
        <v>129</v>
      </c>
      <c r="M33" s="28" t="s">
        <v>71</v>
      </c>
      <c r="N33" s="25">
        <v>1</v>
      </c>
      <c r="O33" s="29">
        <v>6.8</v>
      </c>
      <c r="P33" s="29">
        <v>6.8</v>
      </c>
      <c r="Q33" s="25" t="s">
        <v>370</v>
      </c>
      <c r="R33" s="25"/>
      <c r="S33" s="26" t="s">
        <v>350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6.8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440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439</v>
      </c>
      <c r="C34" s="25" t="str">
        <f t="shared" si="9"/>
        <v>Shipment 2 CO-SCR Duct</v>
      </c>
      <c r="D34" s="25" t="s">
        <v>441</v>
      </c>
      <c r="E34" s="25" t="s">
        <v>442</v>
      </c>
      <c r="F34" s="25"/>
      <c r="G34" s="65">
        <v>46204</v>
      </c>
      <c r="H34" s="25" t="s">
        <v>443</v>
      </c>
      <c r="I34" s="25" t="s">
        <v>444</v>
      </c>
      <c r="J34" s="26" t="s">
        <v>447</v>
      </c>
      <c r="K34" s="27" t="s">
        <v>130</v>
      </c>
      <c r="L34" s="28" t="s">
        <v>131</v>
      </c>
      <c r="M34" s="28" t="s">
        <v>71</v>
      </c>
      <c r="N34" s="25">
        <v>1</v>
      </c>
      <c r="O34" s="29">
        <v>6.8</v>
      </c>
      <c r="P34" s="29">
        <v>6.8</v>
      </c>
      <c r="Q34" s="25" t="s">
        <v>370</v>
      </c>
      <c r="R34" s="25"/>
      <c r="S34" s="26" t="s">
        <v>350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6.8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440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439</v>
      </c>
      <c r="C35" s="25" t="str">
        <f t="shared" si="9"/>
        <v>Shipment 2 CO-SCR Duct</v>
      </c>
      <c r="D35" s="25" t="s">
        <v>441</v>
      </c>
      <c r="E35" s="25" t="s">
        <v>442</v>
      </c>
      <c r="F35" s="25"/>
      <c r="G35" s="65">
        <v>46204</v>
      </c>
      <c r="H35" s="25" t="s">
        <v>443</v>
      </c>
      <c r="I35" s="25" t="s">
        <v>444</v>
      </c>
      <c r="J35" s="26" t="s">
        <v>447</v>
      </c>
      <c r="K35" s="27" t="s">
        <v>132</v>
      </c>
      <c r="L35" s="28" t="s">
        <v>133</v>
      </c>
      <c r="M35" s="28" t="s">
        <v>71</v>
      </c>
      <c r="N35" s="25">
        <v>1</v>
      </c>
      <c r="O35" s="29">
        <v>5.0999999999999996</v>
      </c>
      <c r="P35" s="29">
        <v>5.0999999999999996</v>
      </c>
      <c r="Q35" s="25" t="s">
        <v>371</v>
      </c>
      <c r="R35" s="25"/>
      <c r="S35" s="26" t="s">
        <v>350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5.0999999999999996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440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439</v>
      </c>
      <c r="C36" s="25" t="str">
        <f t="shared" si="9"/>
        <v>Shipment 2 CO-SCR Duct</v>
      </c>
      <c r="D36" s="25" t="s">
        <v>441</v>
      </c>
      <c r="E36" s="25" t="s">
        <v>442</v>
      </c>
      <c r="F36" s="25"/>
      <c r="G36" s="65">
        <v>46204</v>
      </c>
      <c r="H36" s="25" t="s">
        <v>443</v>
      </c>
      <c r="I36" s="25" t="s">
        <v>444</v>
      </c>
      <c r="J36" s="26" t="s">
        <v>447</v>
      </c>
      <c r="K36" s="27" t="s">
        <v>134</v>
      </c>
      <c r="L36" s="28" t="s">
        <v>135</v>
      </c>
      <c r="M36" s="28" t="s">
        <v>71</v>
      </c>
      <c r="N36" s="25">
        <v>1</v>
      </c>
      <c r="O36" s="29">
        <v>5.0999999999999996</v>
      </c>
      <c r="P36" s="29">
        <v>5.0999999999999996</v>
      </c>
      <c r="Q36" s="25" t="s">
        <v>371</v>
      </c>
      <c r="R36" s="25"/>
      <c r="S36" s="26" t="s">
        <v>350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5.0999999999999996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440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439</v>
      </c>
      <c r="C37" s="25" t="str">
        <f t="shared" si="9"/>
        <v>Shipment 2 CO-SCR Duct</v>
      </c>
      <c r="D37" s="25" t="s">
        <v>441</v>
      </c>
      <c r="E37" s="25" t="s">
        <v>442</v>
      </c>
      <c r="F37" s="25"/>
      <c r="G37" s="65">
        <v>46204</v>
      </c>
      <c r="H37" s="25" t="s">
        <v>443</v>
      </c>
      <c r="I37" s="25" t="s">
        <v>444</v>
      </c>
      <c r="J37" s="26" t="s">
        <v>447</v>
      </c>
      <c r="K37" s="27" t="s">
        <v>136</v>
      </c>
      <c r="L37" s="28" t="s">
        <v>137</v>
      </c>
      <c r="M37" s="28" t="s">
        <v>71</v>
      </c>
      <c r="N37" s="25">
        <v>1</v>
      </c>
      <c r="O37" s="29">
        <v>7.3</v>
      </c>
      <c r="P37" s="29">
        <v>7.3</v>
      </c>
      <c r="Q37" s="25" t="s">
        <v>372</v>
      </c>
      <c r="R37" s="25"/>
      <c r="S37" s="26" t="s">
        <v>350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7.3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440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439</v>
      </c>
      <c r="C38" s="25" t="str">
        <f t="shared" si="9"/>
        <v>Shipment 2 CO-SCR Duct</v>
      </c>
      <c r="D38" s="25" t="s">
        <v>441</v>
      </c>
      <c r="E38" s="25" t="s">
        <v>442</v>
      </c>
      <c r="F38" s="25"/>
      <c r="G38" s="65">
        <v>46204</v>
      </c>
      <c r="H38" s="25" t="s">
        <v>443</v>
      </c>
      <c r="I38" s="25" t="s">
        <v>444</v>
      </c>
      <c r="J38" s="26" t="s">
        <v>447</v>
      </c>
      <c r="K38" s="27" t="s">
        <v>138</v>
      </c>
      <c r="L38" s="28" t="s">
        <v>139</v>
      </c>
      <c r="M38" s="28" t="s">
        <v>71</v>
      </c>
      <c r="N38" s="25">
        <v>1</v>
      </c>
      <c r="O38" s="29">
        <v>7.3</v>
      </c>
      <c r="P38" s="29">
        <v>7.3</v>
      </c>
      <c r="Q38" s="25" t="s">
        <v>372</v>
      </c>
      <c r="R38" s="25"/>
      <c r="S38" s="26" t="s">
        <v>350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7.3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440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439</v>
      </c>
      <c r="C39" s="25" t="str">
        <f t="shared" si="9"/>
        <v>Shipment 2 CO-SCR Duct</v>
      </c>
      <c r="D39" s="25" t="s">
        <v>441</v>
      </c>
      <c r="E39" s="25" t="s">
        <v>442</v>
      </c>
      <c r="F39" s="25"/>
      <c r="G39" s="65">
        <v>46204</v>
      </c>
      <c r="H39" s="25" t="s">
        <v>443</v>
      </c>
      <c r="I39" s="25" t="s">
        <v>444</v>
      </c>
      <c r="J39" s="26" t="s">
        <v>447</v>
      </c>
      <c r="K39" s="27" t="s">
        <v>140</v>
      </c>
      <c r="L39" s="28" t="s">
        <v>141</v>
      </c>
      <c r="M39" s="28" t="s">
        <v>71</v>
      </c>
      <c r="N39" s="25">
        <v>1</v>
      </c>
      <c r="O39" s="29">
        <v>6.4</v>
      </c>
      <c r="P39" s="29">
        <v>6.4</v>
      </c>
      <c r="Q39" s="25" t="s">
        <v>373</v>
      </c>
      <c r="R39" s="25"/>
      <c r="S39" s="26" t="s">
        <v>350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6.4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440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439</v>
      </c>
      <c r="C40" s="25" t="str">
        <f t="shared" si="9"/>
        <v>Shipment 2 CO-SCR Duct</v>
      </c>
      <c r="D40" s="25" t="s">
        <v>441</v>
      </c>
      <c r="E40" s="25" t="s">
        <v>442</v>
      </c>
      <c r="F40" s="25"/>
      <c r="G40" s="65">
        <v>46204</v>
      </c>
      <c r="H40" s="25" t="s">
        <v>443</v>
      </c>
      <c r="I40" s="25" t="s">
        <v>444</v>
      </c>
      <c r="J40" s="26" t="s">
        <v>447</v>
      </c>
      <c r="K40" s="27" t="s">
        <v>142</v>
      </c>
      <c r="L40" s="28" t="s">
        <v>143</v>
      </c>
      <c r="M40" s="28" t="s">
        <v>71</v>
      </c>
      <c r="N40" s="25">
        <v>1</v>
      </c>
      <c r="O40" s="29">
        <v>6.4</v>
      </c>
      <c r="P40" s="29">
        <v>6.4</v>
      </c>
      <c r="Q40" s="25" t="s">
        <v>373</v>
      </c>
      <c r="R40" s="25"/>
      <c r="S40" s="26" t="s">
        <v>350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6.4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440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439</v>
      </c>
      <c r="C41" s="25" t="str">
        <f t="shared" si="9"/>
        <v>Shipment 2 CO-SCR Duct</v>
      </c>
      <c r="D41" s="25" t="s">
        <v>441</v>
      </c>
      <c r="E41" s="25" t="s">
        <v>442</v>
      </c>
      <c r="F41" s="25"/>
      <c r="G41" s="65">
        <v>46204</v>
      </c>
      <c r="H41" s="25" t="s">
        <v>443</v>
      </c>
      <c r="I41" s="25" t="s">
        <v>444</v>
      </c>
      <c r="J41" s="26" t="s">
        <v>447</v>
      </c>
      <c r="K41" s="27" t="s">
        <v>144</v>
      </c>
      <c r="L41" s="28" t="s">
        <v>145</v>
      </c>
      <c r="M41" s="28" t="s">
        <v>71</v>
      </c>
      <c r="N41" s="25">
        <v>1</v>
      </c>
      <c r="O41" s="29">
        <v>5</v>
      </c>
      <c r="P41" s="29">
        <v>5</v>
      </c>
      <c r="Q41" s="25" t="s">
        <v>374</v>
      </c>
      <c r="R41" s="25"/>
      <c r="S41" s="26" t="s">
        <v>350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5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440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439</v>
      </c>
      <c r="C42" s="25" t="str">
        <f t="shared" si="9"/>
        <v>Shipment 2 CO-SCR Duct</v>
      </c>
      <c r="D42" s="25" t="s">
        <v>441</v>
      </c>
      <c r="E42" s="25" t="s">
        <v>442</v>
      </c>
      <c r="F42" s="25"/>
      <c r="G42" s="65">
        <v>46204</v>
      </c>
      <c r="H42" s="25" t="s">
        <v>443</v>
      </c>
      <c r="I42" s="25" t="s">
        <v>444</v>
      </c>
      <c r="J42" s="26" t="s">
        <v>447</v>
      </c>
      <c r="K42" s="27" t="s">
        <v>146</v>
      </c>
      <c r="L42" s="28" t="s">
        <v>147</v>
      </c>
      <c r="M42" s="28" t="s">
        <v>71</v>
      </c>
      <c r="N42" s="25">
        <v>1</v>
      </c>
      <c r="O42" s="29">
        <v>5</v>
      </c>
      <c r="P42" s="29">
        <v>5</v>
      </c>
      <c r="Q42" s="25" t="s">
        <v>374</v>
      </c>
      <c r="R42" s="25"/>
      <c r="S42" s="26" t="s">
        <v>350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5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440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439</v>
      </c>
      <c r="C43" s="25" t="str">
        <f t="shared" si="9"/>
        <v>Shipment 2 CO-SCR Duct</v>
      </c>
      <c r="D43" s="25" t="s">
        <v>441</v>
      </c>
      <c r="E43" s="25" t="s">
        <v>442</v>
      </c>
      <c r="F43" s="25"/>
      <c r="G43" s="65">
        <v>46204</v>
      </c>
      <c r="H43" s="25" t="s">
        <v>443</v>
      </c>
      <c r="I43" s="25" t="s">
        <v>444</v>
      </c>
      <c r="J43" s="26" t="s">
        <v>447</v>
      </c>
      <c r="K43" s="27" t="s">
        <v>148</v>
      </c>
      <c r="L43" s="28" t="s">
        <v>149</v>
      </c>
      <c r="M43" s="28" t="s">
        <v>71</v>
      </c>
      <c r="N43" s="25">
        <v>1</v>
      </c>
      <c r="O43" s="29">
        <v>5.8</v>
      </c>
      <c r="P43" s="29">
        <v>5.8</v>
      </c>
      <c r="Q43" s="25" t="s">
        <v>375</v>
      </c>
      <c r="R43" s="25"/>
      <c r="S43" s="26" t="s">
        <v>350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5.8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440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439</v>
      </c>
      <c r="C44" s="25" t="str">
        <f t="shared" si="9"/>
        <v>Shipment 2 CO-SCR Duct</v>
      </c>
      <c r="D44" s="25" t="s">
        <v>441</v>
      </c>
      <c r="E44" s="25" t="s">
        <v>442</v>
      </c>
      <c r="F44" s="25"/>
      <c r="G44" s="65">
        <v>46204</v>
      </c>
      <c r="H44" s="25" t="s">
        <v>443</v>
      </c>
      <c r="I44" s="25" t="s">
        <v>444</v>
      </c>
      <c r="J44" s="26" t="s">
        <v>447</v>
      </c>
      <c r="K44" s="27" t="s">
        <v>150</v>
      </c>
      <c r="L44" s="28" t="s">
        <v>151</v>
      </c>
      <c r="M44" s="28" t="s">
        <v>71</v>
      </c>
      <c r="N44" s="25">
        <v>1</v>
      </c>
      <c r="O44" s="29">
        <v>5.8</v>
      </c>
      <c r="P44" s="29">
        <v>5.8</v>
      </c>
      <c r="Q44" s="25" t="s">
        <v>375</v>
      </c>
      <c r="R44" s="25"/>
      <c r="S44" s="26" t="s">
        <v>350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5.8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440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439</v>
      </c>
      <c r="C45" s="25" t="str">
        <f t="shared" si="9"/>
        <v>Shipment 2 CO-SCR Duct</v>
      </c>
      <c r="D45" s="25" t="s">
        <v>441</v>
      </c>
      <c r="E45" s="25" t="s">
        <v>442</v>
      </c>
      <c r="F45" s="25"/>
      <c r="G45" s="65">
        <v>46204</v>
      </c>
      <c r="H45" s="25" t="s">
        <v>443</v>
      </c>
      <c r="I45" s="25" t="s">
        <v>444</v>
      </c>
      <c r="J45" s="26" t="s">
        <v>447</v>
      </c>
      <c r="K45" s="27" t="s">
        <v>152</v>
      </c>
      <c r="L45" s="28" t="s">
        <v>153</v>
      </c>
      <c r="M45" s="28" t="s">
        <v>71</v>
      </c>
      <c r="N45" s="25">
        <v>1</v>
      </c>
      <c r="O45" s="29">
        <v>4.4000000000000004</v>
      </c>
      <c r="P45" s="29">
        <v>4.4000000000000004</v>
      </c>
      <c r="Q45" s="25" t="s">
        <v>376</v>
      </c>
      <c r="R45" s="25"/>
      <c r="S45" s="26" t="s">
        <v>350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4.4000000000000004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440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439</v>
      </c>
      <c r="C46" s="25" t="str">
        <f t="shared" si="9"/>
        <v>Shipment 2 CO-SCR Duct</v>
      </c>
      <c r="D46" s="25" t="s">
        <v>441</v>
      </c>
      <c r="E46" s="25" t="s">
        <v>442</v>
      </c>
      <c r="F46" s="25"/>
      <c r="G46" s="65">
        <v>46204</v>
      </c>
      <c r="H46" s="25" t="s">
        <v>443</v>
      </c>
      <c r="I46" s="25" t="s">
        <v>444</v>
      </c>
      <c r="J46" s="26" t="s">
        <v>447</v>
      </c>
      <c r="K46" s="27" t="s">
        <v>154</v>
      </c>
      <c r="L46" s="28" t="s">
        <v>155</v>
      </c>
      <c r="M46" s="28" t="s">
        <v>71</v>
      </c>
      <c r="N46" s="25">
        <v>1</v>
      </c>
      <c r="O46" s="29">
        <v>4.4000000000000004</v>
      </c>
      <c r="P46" s="29">
        <v>4.4000000000000004</v>
      </c>
      <c r="Q46" s="25" t="s">
        <v>376</v>
      </c>
      <c r="R46" s="25"/>
      <c r="S46" s="26" t="s">
        <v>350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4.4000000000000004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440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439</v>
      </c>
      <c r="C47" s="25" t="str">
        <f t="shared" si="9"/>
        <v>Shipment 2 CO-SCR Duct</v>
      </c>
      <c r="D47" s="25" t="s">
        <v>441</v>
      </c>
      <c r="E47" s="25" t="s">
        <v>442</v>
      </c>
      <c r="F47" s="25"/>
      <c r="G47" s="65">
        <v>46204</v>
      </c>
      <c r="H47" s="25" t="s">
        <v>443</v>
      </c>
      <c r="I47" s="25" t="s">
        <v>444</v>
      </c>
      <c r="J47" s="26" t="s">
        <v>447</v>
      </c>
      <c r="K47" s="27" t="s">
        <v>156</v>
      </c>
      <c r="L47" s="28" t="s">
        <v>157</v>
      </c>
      <c r="M47" s="28" t="s">
        <v>71</v>
      </c>
      <c r="N47" s="25">
        <v>1</v>
      </c>
      <c r="O47" s="29">
        <v>5.4</v>
      </c>
      <c r="P47" s="29">
        <v>5.4</v>
      </c>
      <c r="Q47" s="25" t="s">
        <v>377</v>
      </c>
      <c r="R47" s="25"/>
      <c r="S47" s="26" t="s">
        <v>350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5.4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440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439</v>
      </c>
      <c r="C48" s="25" t="str">
        <f t="shared" si="9"/>
        <v>Shipment 2 CO-SCR Duct</v>
      </c>
      <c r="D48" s="25" t="s">
        <v>441</v>
      </c>
      <c r="E48" s="25" t="s">
        <v>442</v>
      </c>
      <c r="F48" s="25"/>
      <c r="G48" s="65">
        <v>46204</v>
      </c>
      <c r="H48" s="25" t="s">
        <v>443</v>
      </c>
      <c r="I48" s="25" t="s">
        <v>444</v>
      </c>
      <c r="J48" s="26" t="s">
        <v>447</v>
      </c>
      <c r="K48" s="27" t="s">
        <v>158</v>
      </c>
      <c r="L48" s="28" t="s">
        <v>159</v>
      </c>
      <c r="M48" s="28" t="s">
        <v>71</v>
      </c>
      <c r="N48" s="25">
        <v>1</v>
      </c>
      <c r="O48" s="29">
        <v>5.4</v>
      </c>
      <c r="P48" s="29">
        <v>5.4</v>
      </c>
      <c r="Q48" s="25" t="s">
        <v>377</v>
      </c>
      <c r="R48" s="25"/>
      <c r="S48" s="26" t="s">
        <v>350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5.4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440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439</v>
      </c>
      <c r="C49" s="25" t="str">
        <f t="shared" si="9"/>
        <v>Shipment 2 CO-SCR Duct</v>
      </c>
      <c r="D49" s="25" t="s">
        <v>441</v>
      </c>
      <c r="E49" s="25" t="s">
        <v>442</v>
      </c>
      <c r="F49" s="25"/>
      <c r="G49" s="65">
        <v>46204</v>
      </c>
      <c r="H49" s="25" t="s">
        <v>443</v>
      </c>
      <c r="I49" s="25" t="s">
        <v>444</v>
      </c>
      <c r="J49" s="26" t="s">
        <v>447</v>
      </c>
      <c r="K49" s="27" t="s">
        <v>160</v>
      </c>
      <c r="L49" s="28" t="s">
        <v>161</v>
      </c>
      <c r="M49" s="28" t="s">
        <v>71</v>
      </c>
      <c r="N49" s="25">
        <v>1</v>
      </c>
      <c r="O49" s="29">
        <v>8.4</v>
      </c>
      <c r="P49" s="29">
        <v>8.4</v>
      </c>
      <c r="Q49" s="25" t="s">
        <v>378</v>
      </c>
      <c r="R49" s="25"/>
      <c r="S49" s="26" t="s">
        <v>350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440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439</v>
      </c>
      <c r="C50" s="25" t="str">
        <f t="shared" si="9"/>
        <v>Shipment 2 CO-SCR Duct</v>
      </c>
      <c r="D50" s="25" t="s">
        <v>441</v>
      </c>
      <c r="E50" s="25" t="s">
        <v>442</v>
      </c>
      <c r="F50" s="25"/>
      <c r="G50" s="65">
        <v>46204</v>
      </c>
      <c r="H50" s="25" t="s">
        <v>443</v>
      </c>
      <c r="I50" s="25" t="s">
        <v>444</v>
      </c>
      <c r="J50" s="26" t="s">
        <v>447</v>
      </c>
      <c r="K50" s="27" t="s">
        <v>162</v>
      </c>
      <c r="L50" s="28" t="s">
        <v>163</v>
      </c>
      <c r="M50" s="28" t="s">
        <v>71</v>
      </c>
      <c r="N50" s="25">
        <v>1</v>
      </c>
      <c r="O50" s="29">
        <v>8.4</v>
      </c>
      <c r="P50" s="29">
        <v>8.4</v>
      </c>
      <c r="Q50" s="25" t="s">
        <v>378</v>
      </c>
      <c r="R50" s="25"/>
      <c r="S50" s="26" t="s">
        <v>350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8.4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440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439</v>
      </c>
      <c r="C51" s="25" t="str">
        <f t="shared" si="9"/>
        <v>Shipment 2 CO-SCR Duct</v>
      </c>
      <c r="D51" s="25" t="s">
        <v>441</v>
      </c>
      <c r="E51" s="25" t="s">
        <v>442</v>
      </c>
      <c r="F51" s="25"/>
      <c r="G51" s="65">
        <v>46204</v>
      </c>
      <c r="H51" s="25" t="s">
        <v>443</v>
      </c>
      <c r="I51" s="25" t="s">
        <v>444</v>
      </c>
      <c r="J51" s="26" t="s">
        <v>447</v>
      </c>
      <c r="K51" s="27" t="s">
        <v>164</v>
      </c>
      <c r="L51" s="28" t="s">
        <v>165</v>
      </c>
      <c r="M51" s="28" t="s">
        <v>71</v>
      </c>
      <c r="N51" s="25">
        <v>1</v>
      </c>
      <c r="O51" s="29">
        <v>2.2999999999999998</v>
      </c>
      <c r="P51" s="29">
        <v>2.2999999999999998</v>
      </c>
      <c r="Q51" s="25" t="s">
        <v>379</v>
      </c>
      <c r="R51" s="25"/>
      <c r="S51" s="26" t="s">
        <v>350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2.2999999999999998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440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439</v>
      </c>
      <c r="C52" s="25" t="str">
        <f t="shared" si="9"/>
        <v>Shipment 2 CO-SCR Duct</v>
      </c>
      <c r="D52" s="25" t="s">
        <v>441</v>
      </c>
      <c r="E52" s="25" t="s">
        <v>442</v>
      </c>
      <c r="F52" s="25"/>
      <c r="G52" s="65">
        <v>46204</v>
      </c>
      <c r="H52" s="25" t="s">
        <v>443</v>
      </c>
      <c r="I52" s="25" t="s">
        <v>444</v>
      </c>
      <c r="J52" s="26" t="s">
        <v>447</v>
      </c>
      <c r="K52" s="27" t="s">
        <v>166</v>
      </c>
      <c r="L52" s="28" t="s">
        <v>167</v>
      </c>
      <c r="M52" s="28" t="s">
        <v>71</v>
      </c>
      <c r="N52" s="25">
        <v>1</v>
      </c>
      <c r="O52" s="29">
        <v>2.2999999999999998</v>
      </c>
      <c r="P52" s="29">
        <v>2.2999999999999998</v>
      </c>
      <c r="Q52" s="25" t="s">
        <v>379</v>
      </c>
      <c r="R52" s="25"/>
      <c r="S52" s="26" t="s">
        <v>350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2.2999999999999998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440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439</v>
      </c>
      <c r="C53" s="25" t="str">
        <f t="shared" si="9"/>
        <v>Shipment 2 CO-SCR Duct</v>
      </c>
      <c r="D53" s="25" t="s">
        <v>441</v>
      </c>
      <c r="E53" s="25" t="s">
        <v>442</v>
      </c>
      <c r="F53" s="25"/>
      <c r="G53" s="65">
        <v>46204</v>
      </c>
      <c r="H53" s="25" t="s">
        <v>443</v>
      </c>
      <c r="I53" s="25" t="s">
        <v>444</v>
      </c>
      <c r="J53" s="26" t="s">
        <v>447</v>
      </c>
      <c r="K53" s="27" t="s">
        <v>168</v>
      </c>
      <c r="L53" s="28" t="s">
        <v>169</v>
      </c>
      <c r="M53" s="28" t="s">
        <v>71</v>
      </c>
      <c r="N53" s="25">
        <v>1</v>
      </c>
      <c r="O53" s="29">
        <v>7.3</v>
      </c>
      <c r="P53" s="29">
        <v>7.3</v>
      </c>
      <c r="Q53" s="25" t="s">
        <v>380</v>
      </c>
      <c r="R53" s="25"/>
      <c r="S53" s="26" t="s">
        <v>350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7.3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440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439</v>
      </c>
      <c r="C54" s="25" t="str">
        <f t="shared" si="9"/>
        <v>Shipment 2 CO-SCR Duct</v>
      </c>
      <c r="D54" s="25" t="s">
        <v>441</v>
      </c>
      <c r="E54" s="25" t="s">
        <v>442</v>
      </c>
      <c r="F54" s="25"/>
      <c r="G54" s="65">
        <v>46204</v>
      </c>
      <c r="H54" s="25" t="s">
        <v>443</v>
      </c>
      <c r="I54" s="25" t="s">
        <v>444</v>
      </c>
      <c r="J54" s="26" t="s">
        <v>447</v>
      </c>
      <c r="K54" s="27" t="s">
        <v>170</v>
      </c>
      <c r="L54" s="28" t="s">
        <v>171</v>
      </c>
      <c r="M54" s="28" t="s">
        <v>71</v>
      </c>
      <c r="N54" s="25">
        <v>1</v>
      </c>
      <c r="O54" s="29">
        <v>6.2</v>
      </c>
      <c r="P54" s="29">
        <v>6.2</v>
      </c>
      <c r="Q54" s="25" t="s">
        <v>380</v>
      </c>
      <c r="R54" s="25"/>
      <c r="S54" s="26" t="s">
        <v>350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6.2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440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439</v>
      </c>
      <c r="C55" s="25" t="str">
        <f t="shared" si="9"/>
        <v>Shipment 2 CO-SCR Duct</v>
      </c>
      <c r="D55" s="25" t="s">
        <v>441</v>
      </c>
      <c r="E55" s="25" t="s">
        <v>442</v>
      </c>
      <c r="F55" s="25"/>
      <c r="G55" s="65">
        <v>46204</v>
      </c>
      <c r="H55" s="25" t="s">
        <v>443</v>
      </c>
      <c r="I55" s="25" t="s">
        <v>444</v>
      </c>
      <c r="J55" s="26" t="s">
        <v>447</v>
      </c>
      <c r="K55" s="27" t="s">
        <v>172</v>
      </c>
      <c r="L55" s="28" t="s">
        <v>173</v>
      </c>
      <c r="M55" s="28" t="s">
        <v>71</v>
      </c>
      <c r="N55" s="25">
        <v>1</v>
      </c>
      <c r="O55" s="29">
        <v>7.3</v>
      </c>
      <c r="P55" s="29">
        <v>7.3</v>
      </c>
      <c r="Q55" s="25" t="s">
        <v>380</v>
      </c>
      <c r="R55" s="25"/>
      <c r="S55" s="26" t="s">
        <v>350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7.3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440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439</v>
      </c>
      <c r="C56" s="25" t="str">
        <f t="shared" si="9"/>
        <v>Shipment 2 CO-SCR Duct</v>
      </c>
      <c r="D56" s="25" t="s">
        <v>441</v>
      </c>
      <c r="E56" s="25" t="s">
        <v>442</v>
      </c>
      <c r="F56" s="25"/>
      <c r="G56" s="65">
        <v>46204</v>
      </c>
      <c r="H56" s="25" t="s">
        <v>443</v>
      </c>
      <c r="I56" s="25" t="s">
        <v>444</v>
      </c>
      <c r="J56" s="26" t="s">
        <v>447</v>
      </c>
      <c r="K56" s="27" t="s">
        <v>174</v>
      </c>
      <c r="L56" s="28" t="s">
        <v>175</v>
      </c>
      <c r="M56" s="28" t="s">
        <v>71</v>
      </c>
      <c r="N56" s="25">
        <v>1</v>
      </c>
      <c r="O56" s="29">
        <v>6.2</v>
      </c>
      <c r="P56" s="29">
        <v>6.2</v>
      </c>
      <c r="Q56" s="25" t="s">
        <v>380</v>
      </c>
      <c r="R56" s="25"/>
      <c r="S56" s="26" t="s">
        <v>350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6.2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440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439</v>
      </c>
      <c r="C57" s="25" t="str">
        <f t="shared" si="9"/>
        <v>Shipment 2 CO-SCR Duct</v>
      </c>
      <c r="D57" s="25" t="s">
        <v>441</v>
      </c>
      <c r="E57" s="25" t="s">
        <v>442</v>
      </c>
      <c r="F57" s="25"/>
      <c r="G57" s="65">
        <v>46204</v>
      </c>
      <c r="H57" s="25" t="s">
        <v>443</v>
      </c>
      <c r="I57" s="25" t="s">
        <v>444</v>
      </c>
      <c r="J57" s="26" t="s">
        <v>447</v>
      </c>
      <c r="K57" s="27" t="s">
        <v>176</v>
      </c>
      <c r="L57" s="28" t="s">
        <v>177</v>
      </c>
      <c r="M57" s="28" t="s">
        <v>71</v>
      </c>
      <c r="N57" s="25">
        <v>1</v>
      </c>
      <c r="O57" s="29">
        <v>3.6</v>
      </c>
      <c r="P57" s="29">
        <v>3.6</v>
      </c>
      <c r="Q57" s="25" t="s">
        <v>381</v>
      </c>
      <c r="R57" s="25"/>
      <c r="S57" s="26" t="s">
        <v>350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3.6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440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439</v>
      </c>
      <c r="C58" s="25" t="str">
        <f t="shared" si="9"/>
        <v>Shipment 2 CO-SCR Duct</v>
      </c>
      <c r="D58" s="25" t="s">
        <v>441</v>
      </c>
      <c r="E58" s="25" t="s">
        <v>442</v>
      </c>
      <c r="F58" s="25"/>
      <c r="G58" s="65">
        <v>46204</v>
      </c>
      <c r="H58" s="25" t="s">
        <v>443</v>
      </c>
      <c r="I58" s="25" t="s">
        <v>444</v>
      </c>
      <c r="J58" s="26" t="s">
        <v>447</v>
      </c>
      <c r="K58" s="27" t="s">
        <v>178</v>
      </c>
      <c r="L58" s="28" t="s">
        <v>179</v>
      </c>
      <c r="M58" s="28" t="s">
        <v>71</v>
      </c>
      <c r="N58" s="25">
        <v>2</v>
      </c>
      <c r="O58" s="29">
        <v>3.6</v>
      </c>
      <c r="P58" s="29">
        <v>7.2</v>
      </c>
      <c r="Q58" s="25" t="s">
        <v>381</v>
      </c>
      <c r="R58" s="25"/>
      <c r="S58" s="26" t="s">
        <v>350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7.2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440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439</v>
      </c>
      <c r="C59" s="25" t="str">
        <f t="shared" si="9"/>
        <v>Shipment 2 CO-SCR Duct</v>
      </c>
      <c r="D59" s="25" t="s">
        <v>441</v>
      </c>
      <c r="E59" s="25" t="s">
        <v>442</v>
      </c>
      <c r="F59" s="25"/>
      <c r="G59" s="65">
        <v>46204</v>
      </c>
      <c r="H59" s="25" t="s">
        <v>443</v>
      </c>
      <c r="I59" s="25" t="s">
        <v>444</v>
      </c>
      <c r="J59" s="26" t="s">
        <v>447</v>
      </c>
      <c r="K59" s="27" t="s">
        <v>180</v>
      </c>
      <c r="L59" s="28" t="s">
        <v>181</v>
      </c>
      <c r="M59" s="28" t="s">
        <v>71</v>
      </c>
      <c r="N59" s="25">
        <v>1</v>
      </c>
      <c r="O59" s="29">
        <v>3.6</v>
      </c>
      <c r="P59" s="29">
        <v>3.6</v>
      </c>
      <c r="Q59" s="25" t="s">
        <v>381</v>
      </c>
      <c r="R59" s="25"/>
      <c r="S59" s="26" t="s">
        <v>350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3.6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440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439</v>
      </c>
      <c r="C60" s="25" t="str">
        <f t="shared" si="9"/>
        <v>Shipment 2 CO-SCR Duct</v>
      </c>
      <c r="D60" s="25" t="s">
        <v>441</v>
      </c>
      <c r="E60" s="25" t="s">
        <v>442</v>
      </c>
      <c r="F60" s="25"/>
      <c r="G60" s="65">
        <v>46204</v>
      </c>
      <c r="H60" s="25" t="s">
        <v>443</v>
      </c>
      <c r="I60" s="25" t="s">
        <v>444</v>
      </c>
      <c r="J60" s="26" t="s">
        <v>447</v>
      </c>
      <c r="K60" s="27" t="s">
        <v>182</v>
      </c>
      <c r="L60" s="28" t="s">
        <v>183</v>
      </c>
      <c r="M60" s="28" t="s">
        <v>184</v>
      </c>
      <c r="N60" s="25">
        <v>6</v>
      </c>
      <c r="O60" s="29">
        <v>4.9999999999999996E-2</v>
      </c>
      <c r="P60" s="29">
        <v>0.3</v>
      </c>
      <c r="Q60" s="25" t="s">
        <v>382</v>
      </c>
      <c r="R60" s="25"/>
      <c r="S60" s="26" t="s">
        <v>351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0.3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440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439</v>
      </c>
      <c r="C61" s="25" t="str">
        <f t="shared" si="9"/>
        <v>Shipment 2 CO-SCR Duct</v>
      </c>
      <c r="D61" s="25" t="s">
        <v>441</v>
      </c>
      <c r="E61" s="25" t="s">
        <v>442</v>
      </c>
      <c r="F61" s="25"/>
      <c r="G61" s="65">
        <v>46204</v>
      </c>
      <c r="H61" s="25" t="s">
        <v>443</v>
      </c>
      <c r="I61" s="25" t="s">
        <v>444</v>
      </c>
      <c r="J61" s="26" t="s">
        <v>447</v>
      </c>
      <c r="K61" s="27" t="s">
        <v>185</v>
      </c>
      <c r="L61" s="28" t="s">
        <v>186</v>
      </c>
      <c r="M61" s="28" t="s">
        <v>187</v>
      </c>
      <c r="N61" s="25">
        <v>4</v>
      </c>
      <c r="O61" s="29">
        <v>0.45</v>
      </c>
      <c r="P61" s="29">
        <v>1.8</v>
      </c>
      <c r="Q61" s="25" t="s">
        <v>383</v>
      </c>
      <c r="R61" s="25"/>
      <c r="S61" s="26" t="s">
        <v>352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1.8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440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439</v>
      </c>
      <c r="C62" s="25" t="str">
        <f t="shared" si="9"/>
        <v>Shipment 2 CO-SCR Duct</v>
      </c>
      <c r="D62" s="25" t="s">
        <v>441</v>
      </c>
      <c r="E62" s="25" t="s">
        <v>442</v>
      </c>
      <c r="F62" s="25"/>
      <c r="G62" s="65">
        <v>46204</v>
      </c>
      <c r="H62" s="25" t="s">
        <v>443</v>
      </c>
      <c r="I62" s="25" t="s">
        <v>444</v>
      </c>
      <c r="J62" s="26" t="s">
        <v>447</v>
      </c>
      <c r="K62" s="27" t="s">
        <v>188</v>
      </c>
      <c r="L62" s="28" t="s">
        <v>189</v>
      </c>
      <c r="M62" s="28" t="s">
        <v>184</v>
      </c>
      <c r="N62" s="25">
        <v>14</v>
      </c>
      <c r="O62" s="29">
        <v>2.5071428571428571</v>
      </c>
      <c r="P62" s="29">
        <v>35.1</v>
      </c>
      <c r="Q62" s="25" t="s">
        <v>384</v>
      </c>
      <c r="R62" s="25"/>
      <c r="S62" s="26" t="s">
        <v>352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35.1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440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439</v>
      </c>
      <c r="C63" s="25" t="str">
        <f t="shared" si="9"/>
        <v>Shipment 2 CO-SCR Duct</v>
      </c>
      <c r="D63" s="25" t="s">
        <v>441</v>
      </c>
      <c r="E63" s="25" t="s">
        <v>442</v>
      </c>
      <c r="F63" s="25"/>
      <c r="G63" s="65">
        <v>46204</v>
      </c>
      <c r="H63" s="25" t="s">
        <v>443</v>
      </c>
      <c r="I63" s="25" t="s">
        <v>444</v>
      </c>
      <c r="J63" s="26" t="s">
        <v>447</v>
      </c>
      <c r="K63" s="27" t="s">
        <v>190</v>
      </c>
      <c r="L63" s="28" t="s">
        <v>191</v>
      </c>
      <c r="M63" s="28" t="s">
        <v>184</v>
      </c>
      <c r="N63" s="25">
        <v>21</v>
      </c>
      <c r="O63" s="29">
        <v>0.74285714285714288</v>
      </c>
      <c r="P63" s="29">
        <v>15.6</v>
      </c>
      <c r="Q63" s="25" t="s">
        <v>385</v>
      </c>
      <c r="R63" s="25"/>
      <c r="S63" s="26" t="s">
        <v>352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15.6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440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439</v>
      </c>
      <c r="C64" s="25" t="str">
        <f t="shared" si="9"/>
        <v>Shipment 2 CO-SCR Duct</v>
      </c>
      <c r="D64" s="25" t="s">
        <v>441</v>
      </c>
      <c r="E64" s="25" t="s">
        <v>442</v>
      </c>
      <c r="F64" s="25"/>
      <c r="G64" s="65">
        <v>46204</v>
      </c>
      <c r="H64" s="25" t="s">
        <v>443</v>
      </c>
      <c r="I64" s="25" t="s">
        <v>444</v>
      </c>
      <c r="J64" s="26" t="s">
        <v>447</v>
      </c>
      <c r="K64" s="27" t="s">
        <v>192</v>
      </c>
      <c r="L64" s="28" t="s">
        <v>193</v>
      </c>
      <c r="M64" s="28" t="s">
        <v>184</v>
      </c>
      <c r="N64" s="25">
        <v>74</v>
      </c>
      <c r="O64" s="29">
        <v>1.1054054054054054</v>
      </c>
      <c r="P64" s="29">
        <v>81.8</v>
      </c>
      <c r="Q64" s="25" t="s">
        <v>386</v>
      </c>
      <c r="R64" s="25"/>
      <c r="S64" s="26" t="s">
        <v>352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81.8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440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439</v>
      </c>
      <c r="C65" s="25" t="str">
        <f t="shared" si="9"/>
        <v>Shipment 2 CO-SCR Duct</v>
      </c>
      <c r="D65" s="25" t="s">
        <v>441</v>
      </c>
      <c r="E65" s="25" t="s">
        <v>442</v>
      </c>
      <c r="F65" s="25"/>
      <c r="G65" s="65">
        <v>46204</v>
      </c>
      <c r="H65" s="25" t="s">
        <v>443</v>
      </c>
      <c r="I65" s="25" t="s">
        <v>444</v>
      </c>
      <c r="J65" s="26" t="s">
        <v>447</v>
      </c>
      <c r="K65" s="27" t="s">
        <v>194</v>
      </c>
      <c r="L65" s="28" t="s">
        <v>195</v>
      </c>
      <c r="M65" s="28" t="s">
        <v>184</v>
      </c>
      <c r="N65" s="25">
        <v>2</v>
      </c>
      <c r="O65" s="29">
        <v>20.3</v>
      </c>
      <c r="P65" s="29">
        <v>40.6</v>
      </c>
      <c r="Q65" s="25" t="s">
        <v>387</v>
      </c>
      <c r="R65" s="25"/>
      <c r="S65" s="26" t="s">
        <v>352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40.6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440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439</v>
      </c>
      <c r="C66" s="25" t="str">
        <f t="shared" si="9"/>
        <v>Shipment 2 CO-SCR Duct</v>
      </c>
      <c r="D66" s="25" t="s">
        <v>441</v>
      </c>
      <c r="E66" s="25" t="s">
        <v>442</v>
      </c>
      <c r="F66" s="25"/>
      <c r="G66" s="65">
        <v>46204</v>
      </c>
      <c r="H66" s="25" t="s">
        <v>443</v>
      </c>
      <c r="I66" s="25" t="s">
        <v>444</v>
      </c>
      <c r="J66" s="26" t="s">
        <v>447</v>
      </c>
      <c r="K66" s="27" t="s">
        <v>196</v>
      </c>
      <c r="L66" s="28" t="s">
        <v>197</v>
      </c>
      <c r="M66" s="28" t="s">
        <v>198</v>
      </c>
      <c r="N66" s="25">
        <v>2</v>
      </c>
      <c r="O66" s="29">
        <v>0.5</v>
      </c>
      <c r="P66" s="29">
        <v>1</v>
      </c>
      <c r="Q66" s="25" t="s">
        <v>388</v>
      </c>
      <c r="R66" s="25"/>
      <c r="S66" s="26" t="s">
        <v>352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440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439</v>
      </c>
      <c r="C67" s="25" t="str">
        <f t="shared" si="9"/>
        <v>Shipment 2 CO-SCR Duct</v>
      </c>
      <c r="D67" s="25" t="s">
        <v>441</v>
      </c>
      <c r="E67" s="25" t="s">
        <v>442</v>
      </c>
      <c r="F67" s="25"/>
      <c r="G67" s="65">
        <v>46204</v>
      </c>
      <c r="H67" s="25" t="s">
        <v>443</v>
      </c>
      <c r="I67" s="25" t="s">
        <v>444</v>
      </c>
      <c r="J67" s="26" t="s">
        <v>447</v>
      </c>
      <c r="K67" s="27" t="s">
        <v>199</v>
      </c>
      <c r="L67" s="28" t="s">
        <v>200</v>
      </c>
      <c r="M67" s="28" t="s">
        <v>198</v>
      </c>
      <c r="N67" s="25">
        <v>2</v>
      </c>
      <c r="O67" s="29">
        <v>0.5</v>
      </c>
      <c r="P67" s="29">
        <v>1</v>
      </c>
      <c r="Q67" s="25" t="s">
        <v>389</v>
      </c>
      <c r="R67" s="25"/>
      <c r="S67" s="26" t="s">
        <v>352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1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440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439</v>
      </c>
      <c r="C68" s="25" t="str">
        <f t="shared" si="9"/>
        <v>Shipment 2 CO-SCR Duct</v>
      </c>
      <c r="D68" s="25" t="s">
        <v>441</v>
      </c>
      <c r="E68" s="25" t="s">
        <v>442</v>
      </c>
      <c r="F68" s="25"/>
      <c r="G68" s="65">
        <v>46204</v>
      </c>
      <c r="H68" s="25" t="s">
        <v>443</v>
      </c>
      <c r="I68" s="25" t="s">
        <v>444</v>
      </c>
      <c r="J68" s="26" t="s">
        <v>447</v>
      </c>
      <c r="K68" s="27" t="s">
        <v>201</v>
      </c>
      <c r="L68" s="28" t="s">
        <v>202</v>
      </c>
      <c r="M68" s="28" t="s">
        <v>184</v>
      </c>
      <c r="N68" s="25">
        <v>2</v>
      </c>
      <c r="O68" s="29">
        <v>0.1</v>
      </c>
      <c r="P68" s="29">
        <v>0.2</v>
      </c>
      <c r="Q68" s="25" t="s">
        <v>390</v>
      </c>
      <c r="R68" s="25"/>
      <c r="S68" s="26" t="s">
        <v>352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0.2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440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439</v>
      </c>
      <c r="C69" s="25" t="str">
        <f t="shared" si="9"/>
        <v>Shipment 2 CO-SCR Duct</v>
      </c>
      <c r="D69" s="25" t="s">
        <v>441</v>
      </c>
      <c r="E69" s="25" t="s">
        <v>442</v>
      </c>
      <c r="F69" s="25"/>
      <c r="G69" s="65">
        <v>46204</v>
      </c>
      <c r="H69" s="25" t="s">
        <v>443</v>
      </c>
      <c r="I69" s="25" t="s">
        <v>444</v>
      </c>
      <c r="J69" s="26" t="s">
        <v>447</v>
      </c>
      <c r="K69" s="27" t="s">
        <v>203</v>
      </c>
      <c r="L69" s="28" t="s">
        <v>204</v>
      </c>
      <c r="M69" s="28" t="s">
        <v>187</v>
      </c>
      <c r="N69" s="25">
        <v>5</v>
      </c>
      <c r="O69" s="29">
        <v>0.45999999999999996</v>
      </c>
      <c r="P69" s="29">
        <v>2.2999999999999998</v>
      </c>
      <c r="Q69" s="25" t="s">
        <v>383</v>
      </c>
      <c r="R69" s="25"/>
      <c r="S69" s="26" t="s">
        <v>352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2.2999999999999998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440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439</v>
      </c>
      <c r="C70" s="25" t="str">
        <f t="shared" si="9"/>
        <v>Shipment 2 CO-SCR Duct</v>
      </c>
      <c r="D70" s="25" t="s">
        <v>441</v>
      </c>
      <c r="E70" s="25" t="s">
        <v>442</v>
      </c>
      <c r="F70" s="25"/>
      <c r="G70" s="65">
        <v>46204</v>
      </c>
      <c r="H70" s="25" t="s">
        <v>443</v>
      </c>
      <c r="I70" s="25" t="s">
        <v>444</v>
      </c>
      <c r="J70" s="26" t="s">
        <v>447</v>
      </c>
      <c r="K70" s="27" t="s">
        <v>205</v>
      </c>
      <c r="L70" s="28" t="s">
        <v>206</v>
      </c>
      <c r="M70" s="28" t="s">
        <v>187</v>
      </c>
      <c r="N70" s="25">
        <v>1</v>
      </c>
      <c r="O70" s="29">
        <v>0.5</v>
      </c>
      <c r="P70" s="29">
        <v>0.5</v>
      </c>
      <c r="Q70" s="25" t="s">
        <v>383</v>
      </c>
      <c r="R70" s="25"/>
      <c r="S70" s="26" t="s">
        <v>352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0.5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440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439</v>
      </c>
      <c r="C71" s="25" t="str">
        <f t="shared" si="9"/>
        <v>Shipment 2 CO-SCR Duct</v>
      </c>
      <c r="D71" s="25" t="s">
        <v>441</v>
      </c>
      <c r="E71" s="25" t="s">
        <v>442</v>
      </c>
      <c r="F71" s="25"/>
      <c r="G71" s="65">
        <v>46204</v>
      </c>
      <c r="H71" s="25" t="s">
        <v>443</v>
      </c>
      <c r="I71" s="25" t="s">
        <v>444</v>
      </c>
      <c r="J71" s="26" t="s">
        <v>447</v>
      </c>
      <c r="K71" s="27" t="s">
        <v>207</v>
      </c>
      <c r="L71" s="28" t="s">
        <v>208</v>
      </c>
      <c r="M71" s="28" t="s">
        <v>209</v>
      </c>
      <c r="N71" s="25">
        <v>4</v>
      </c>
      <c r="O71" s="29">
        <v>0.52500000000000002</v>
      </c>
      <c r="P71" s="29">
        <v>2.1</v>
      </c>
      <c r="Q71" s="25" t="s">
        <v>391</v>
      </c>
      <c r="R71" s="25"/>
      <c r="S71" s="26" t="s">
        <v>352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2.1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440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439</v>
      </c>
      <c r="C72" s="25" t="str">
        <f t="shared" si="9"/>
        <v>Shipment 2 CO-SCR Duct</v>
      </c>
      <c r="D72" s="25" t="s">
        <v>441</v>
      </c>
      <c r="E72" s="25" t="s">
        <v>442</v>
      </c>
      <c r="F72" s="25"/>
      <c r="G72" s="65">
        <v>46204</v>
      </c>
      <c r="H72" s="25" t="s">
        <v>443</v>
      </c>
      <c r="I72" s="25" t="s">
        <v>444</v>
      </c>
      <c r="J72" s="26" t="s">
        <v>447</v>
      </c>
      <c r="K72" s="27" t="s">
        <v>210</v>
      </c>
      <c r="L72" s="28" t="s">
        <v>211</v>
      </c>
      <c r="M72" s="28" t="s">
        <v>209</v>
      </c>
      <c r="N72" s="25">
        <v>8</v>
      </c>
      <c r="O72" s="29">
        <v>0.4</v>
      </c>
      <c r="P72" s="29">
        <v>3.2</v>
      </c>
      <c r="Q72" s="25" t="s">
        <v>392</v>
      </c>
      <c r="R72" s="25"/>
      <c r="S72" s="26" t="s">
        <v>352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3.2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440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439</v>
      </c>
      <c r="C73" s="25" t="str">
        <f t="shared" si="9"/>
        <v>Shipment 2 CO-SCR Duct</v>
      </c>
      <c r="D73" s="25" t="s">
        <v>441</v>
      </c>
      <c r="E73" s="25" t="s">
        <v>442</v>
      </c>
      <c r="F73" s="25"/>
      <c r="G73" s="65">
        <v>46204</v>
      </c>
      <c r="H73" s="25" t="s">
        <v>443</v>
      </c>
      <c r="I73" s="25" t="s">
        <v>444</v>
      </c>
      <c r="J73" s="26" t="s">
        <v>447</v>
      </c>
      <c r="K73" s="27" t="s">
        <v>212</v>
      </c>
      <c r="L73" s="28" t="s">
        <v>213</v>
      </c>
      <c r="M73" s="28" t="s">
        <v>209</v>
      </c>
      <c r="N73" s="25">
        <v>8</v>
      </c>
      <c r="O73" s="29">
        <v>0.51249999999999996</v>
      </c>
      <c r="P73" s="29">
        <v>4.0999999999999996</v>
      </c>
      <c r="Q73" s="25" t="s">
        <v>388</v>
      </c>
      <c r="R73" s="25"/>
      <c r="S73" s="26" t="s">
        <v>352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4.0999999999999996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440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439</v>
      </c>
      <c r="C74" s="25" t="str">
        <f t="shared" si="9"/>
        <v>Shipment 2 CO-SCR Duct</v>
      </c>
      <c r="D74" s="25" t="s">
        <v>441</v>
      </c>
      <c r="E74" s="25" t="s">
        <v>442</v>
      </c>
      <c r="F74" s="25"/>
      <c r="G74" s="65">
        <v>46204</v>
      </c>
      <c r="H74" s="25" t="s">
        <v>443</v>
      </c>
      <c r="I74" s="25" t="s">
        <v>444</v>
      </c>
      <c r="J74" s="26" t="s">
        <v>447</v>
      </c>
      <c r="K74" s="27" t="s">
        <v>214</v>
      </c>
      <c r="L74" s="28" t="s">
        <v>215</v>
      </c>
      <c r="M74" s="28" t="s">
        <v>209</v>
      </c>
      <c r="N74" s="25">
        <v>4</v>
      </c>
      <c r="O74" s="29">
        <v>0.72499999999999998</v>
      </c>
      <c r="P74" s="29">
        <v>2.9</v>
      </c>
      <c r="Q74" s="25" t="s">
        <v>393</v>
      </c>
      <c r="R74" s="25"/>
      <c r="S74" s="26" t="s">
        <v>352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2.9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 t="s">
        <v>440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439</v>
      </c>
      <c r="C75" s="25" t="str">
        <f t="shared" si="9"/>
        <v>Shipment 2 CO-SCR Duct</v>
      </c>
      <c r="D75" s="25" t="s">
        <v>441</v>
      </c>
      <c r="E75" s="25" t="s">
        <v>442</v>
      </c>
      <c r="F75" s="25"/>
      <c r="G75" s="65">
        <v>46204</v>
      </c>
      <c r="H75" s="25" t="s">
        <v>443</v>
      </c>
      <c r="I75" s="25" t="s">
        <v>444</v>
      </c>
      <c r="J75" s="26" t="s">
        <v>447</v>
      </c>
      <c r="K75" s="27" t="s">
        <v>216</v>
      </c>
      <c r="L75" s="28" t="s">
        <v>217</v>
      </c>
      <c r="M75" s="28" t="s">
        <v>209</v>
      </c>
      <c r="N75" s="25">
        <v>4</v>
      </c>
      <c r="O75" s="29">
        <v>0.72499999999999998</v>
      </c>
      <c r="P75" s="29">
        <v>2.9</v>
      </c>
      <c r="Q75" s="25" t="s">
        <v>394</v>
      </c>
      <c r="R75" s="25"/>
      <c r="S75" s="26" t="s">
        <v>352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0"/>
        <v>0</v>
      </c>
      <c r="AF75" s="32">
        <f t="shared" si="11"/>
        <v>2.9</v>
      </c>
      <c r="AG75" s="30"/>
      <c r="AH75" s="33"/>
      <c r="AI75" s="34">
        <f t="shared" si="12"/>
        <v>0</v>
      </c>
      <c r="AJ75" s="35"/>
      <c r="AK75" s="30"/>
      <c r="AL75" s="36">
        <f t="shared" si="13"/>
        <v>0</v>
      </c>
      <c r="AM75" s="35"/>
      <c r="AN75" s="30"/>
      <c r="AO75" s="36">
        <f t="shared" si="14"/>
        <v>0</v>
      </c>
      <c r="AP75" s="35"/>
      <c r="AQ75" s="30"/>
      <c r="AR75" s="36">
        <f t="shared" si="15"/>
        <v>0</v>
      </c>
      <c r="AS75" s="27"/>
      <c r="AT75" s="37"/>
      <c r="AU75" s="30"/>
      <c r="AV75" s="36">
        <f t="shared" si="16"/>
        <v>0</v>
      </c>
      <c r="AW75" s="35"/>
      <c r="AX75" s="30"/>
      <c r="AY75" s="32">
        <f t="shared" si="17"/>
        <v>0</v>
      </c>
      <c r="AZ75" s="30" t="s">
        <v>440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439</v>
      </c>
      <c r="C76" s="25" t="str">
        <f t="shared" si="9"/>
        <v>Shipment 2 CO-SCR Duct</v>
      </c>
      <c r="D76" s="25" t="s">
        <v>441</v>
      </c>
      <c r="E76" s="25" t="s">
        <v>442</v>
      </c>
      <c r="F76" s="25"/>
      <c r="G76" s="65">
        <v>46204</v>
      </c>
      <c r="H76" s="25" t="s">
        <v>443</v>
      </c>
      <c r="I76" s="25" t="s">
        <v>444</v>
      </c>
      <c r="J76" s="26" t="s">
        <v>447</v>
      </c>
      <c r="K76" s="27" t="s">
        <v>218</v>
      </c>
      <c r="L76" s="28" t="s">
        <v>219</v>
      </c>
      <c r="M76" s="28" t="s">
        <v>209</v>
      </c>
      <c r="N76" s="25">
        <v>8</v>
      </c>
      <c r="O76" s="29">
        <v>0.48749999999999999</v>
      </c>
      <c r="P76" s="29">
        <v>3.9</v>
      </c>
      <c r="Q76" s="25" t="s">
        <v>389</v>
      </c>
      <c r="R76" s="25"/>
      <c r="S76" s="26" t="s">
        <v>352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0"/>
        <v>0</v>
      </c>
      <c r="AF76" s="32">
        <f t="shared" si="11"/>
        <v>3.9</v>
      </c>
      <c r="AG76" s="30"/>
      <c r="AH76" s="33"/>
      <c r="AI76" s="34">
        <f t="shared" si="12"/>
        <v>0</v>
      </c>
      <c r="AJ76" s="35"/>
      <c r="AK76" s="30"/>
      <c r="AL76" s="36">
        <f t="shared" si="13"/>
        <v>0</v>
      </c>
      <c r="AM76" s="35"/>
      <c r="AN76" s="30"/>
      <c r="AO76" s="36">
        <f t="shared" si="14"/>
        <v>0</v>
      </c>
      <c r="AP76" s="35"/>
      <c r="AQ76" s="30"/>
      <c r="AR76" s="36">
        <f t="shared" si="15"/>
        <v>0</v>
      </c>
      <c r="AS76" s="27"/>
      <c r="AT76" s="37"/>
      <c r="AU76" s="30"/>
      <c r="AV76" s="36">
        <f t="shared" si="16"/>
        <v>0</v>
      </c>
      <c r="AW76" s="35"/>
      <c r="AX76" s="30"/>
      <c r="AY76" s="32">
        <f t="shared" si="17"/>
        <v>0</v>
      </c>
      <c r="AZ76" s="30" t="s">
        <v>440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439</v>
      </c>
      <c r="C77" s="25" t="str">
        <f t="shared" ref="C77:C137" si="18">D77&amp;" "&amp;E77</f>
        <v>Shipment 2 CO-SCR Duct</v>
      </c>
      <c r="D77" s="25" t="s">
        <v>441</v>
      </c>
      <c r="E77" s="25" t="s">
        <v>442</v>
      </c>
      <c r="F77" s="25"/>
      <c r="G77" s="65">
        <v>46204</v>
      </c>
      <c r="H77" s="25" t="s">
        <v>443</v>
      </c>
      <c r="I77" s="25" t="s">
        <v>444</v>
      </c>
      <c r="J77" s="26" t="s">
        <v>447</v>
      </c>
      <c r="K77" s="27" t="s">
        <v>220</v>
      </c>
      <c r="L77" s="28" t="s">
        <v>221</v>
      </c>
      <c r="M77" s="28" t="s">
        <v>187</v>
      </c>
      <c r="N77" s="25">
        <v>4</v>
      </c>
      <c r="O77" s="29">
        <v>0.22500000000000001</v>
      </c>
      <c r="P77" s="29">
        <v>0.9</v>
      </c>
      <c r="Q77" s="25" t="s">
        <v>395</v>
      </c>
      <c r="R77" s="25"/>
      <c r="S77" s="26" t="s">
        <v>352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ref="AE77:AE137" si="19">+AL77*0.5+AO77*0.4+AV77*0.1</f>
        <v>0</v>
      </c>
      <c r="AF77" s="32">
        <f t="shared" ref="AF77:AF137" si="20">+P77-AE77</f>
        <v>0.9</v>
      </c>
      <c r="AG77" s="30"/>
      <c r="AH77" s="33"/>
      <c r="AI77" s="34">
        <f t="shared" ref="AI77:AI137" si="21">+AH77*P77</f>
        <v>0</v>
      </c>
      <c r="AJ77" s="35"/>
      <c r="AK77" s="30"/>
      <c r="AL77" s="36">
        <f t="shared" ref="AL77:AL137" si="22">IFERROR(AK77*$P77/$N77,0)</f>
        <v>0</v>
      </c>
      <c r="AM77" s="35"/>
      <c r="AN77" s="30"/>
      <c r="AO77" s="36">
        <f t="shared" ref="AO77:AO137" si="23">IFERROR(AN77*$P77/$N77,0)</f>
        <v>0</v>
      </c>
      <c r="AP77" s="35"/>
      <c r="AQ77" s="30"/>
      <c r="AR77" s="36">
        <f t="shared" ref="AR77:AR137" si="24">IFERROR(AQ77*$P77/$N77,0)</f>
        <v>0</v>
      </c>
      <c r="AS77" s="27"/>
      <c r="AT77" s="37"/>
      <c r="AU77" s="30"/>
      <c r="AV77" s="36">
        <f t="shared" ref="AV77:AV137" si="25">IFERROR(AU77*$P77/$N77,0)</f>
        <v>0</v>
      </c>
      <c r="AW77" s="35"/>
      <c r="AX77" s="30"/>
      <c r="AY77" s="32">
        <f t="shared" ref="AY77:AY137" si="26">IFERROR(AX77*$P77/$N77,0)</f>
        <v>0</v>
      </c>
      <c r="AZ77" s="30" t="s">
        <v>440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439</v>
      </c>
      <c r="C78" s="25" t="str">
        <f t="shared" si="18"/>
        <v>Shipment 2 CO-SCR Duct</v>
      </c>
      <c r="D78" s="25" t="s">
        <v>441</v>
      </c>
      <c r="E78" s="25" t="s">
        <v>442</v>
      </c>
      <c r="F78" s="25"/>
      <c r="G78" s="65">
        <v>46204</v>
      </c>
      <c r="H78" s="25" t="s">
        <v>443</v>
      </c>
      <c r="I78" s="25" t="s">
        <v>444</v>
      </c>
      <c r="J78" s="26" t="s">
        <v>447</v>
      </c>
      <c r="K78" s="27" t="s">
        <v>222</v>
      </c>
      <c r="L78" s="28" t="s">
        <v>223</v>
      </c>
      <c r="M78" s="28" t="s">
        <v>209</v>
      </c>
      <c r="N78" s="25">
        <v>2</v>
      </c>
      <c r="O78" s="29">
        <v>0.5</v>
      </c>
      <c r="P78" s="29">
        <v>1</v>
      </c>
      <c r="Q78" s="25" t="s">
        <v>396</v>
      </c>
      <c r="R78" s="25"/>
      <c r="S78" s="26" t="s">
        <v>352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440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439</v>
      </c>
      <c r="C79" s="25" t="str">
        <f t="shared" si="18"/>
        <v>Shipment 2 CO-SCR Duct</v>
      </c>
      <c r="D79" s="25" t="s">
        <v>441</v>
      </c>
      <c r="E79" s="25" t="s">
        <v>442</v>
      </c>
      <c r="F79" s="25"/>
      <c r="G79" s="65">
        <v>46204</v>
      </c>
      <c r="H79" s="25" t="s">
        <v>443</v>
      </c>
      <c r="I79" s="25" t="s">
        <v>444</v>
      </c>
      <c r="J79" s="26" t="s">
        <v>447</v>
      </c>
      <c r="K79" s="27" t="s">
        <v>224</v>
      </c>
      <c r="L79" s="28" t="s">
        <v>225</v>
      </c>
      <c r="M79" s="28" t="s">
        <v>226</v>
      </c>
      <c r="N79" s="25">
        <v>10</v>
      </c>
      <c r="O79" s="29">
        <v>0.11000000000000001</v>
      </c>
      <c r="P79" s="29">
        <v>1.1000000000000001</v>
      </c>
      <c r="Q79" s="25" t="s">
        <v>397</v>
      </c>
      <c r="R79" s="25"/>
      <c r="S79" s="26" t="s">
        <v>352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1.1000000000000001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440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439</v>
      </c>
      <c r="C80" s="25" t="str">
        <f t="shared" si="18"/>
        <v>Shipment 2 CO-SCR Duct</v>
      </c>
      <c r="D80" s="25" t="s">
        <v>441</v>
      </c>
      <c r="E80" s="25" t="s">
        <v>442</v>
      </c>
      <c r="F80" s="25"/>
      <c r="G80" s="65">
        <v>46204</v>
      </c>
      <c r="H80" s="25" t="s">
        <v>443</v>
      </c>
      <c r="I80" s="25" t="s">
        <v>444</v>
      </c>
      <c r="J80" s="26" t="s">
        <v>447</v>
      </c>
      <c r="K80" s="27" t="s">
        <v>227</v>
      </c>
      <c r="L80" s="28" t="s">
        <v>228</v>
      </c>
      <c r="M80" s="28" t="s">
        <v>226</v>
      </c>
      <c r="N80" s="25">
        <v>2</v>
      </c>
      <c r="O80" s="29">
        <v>0.1</v>
      </c>
      <c r="P80" s="29">
        <v>0.2</v>
      </c>
      <c r="Q80" s="25" t="s">
        <v>397</v>
      </c>
      <c r="R80" s="25"/>
      <c r="S80" s="26" t="s">
        <v>352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0.2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440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439</v>
      </c>
      <c r="C81" s="25" t="str">
        <f t="shared" si="18"/>
        <v>Shipment 2 CO-SCR Duct</v>
      </c>
      <c r="D81" s="25" t="s">
        <v>441</v>
      </c>
      <c r="E81" s="25" t="s">
        <v>442</v>
      </c>
      <c r="F81" s="25"/>
      <c r="G81" s="65">
        <v>46204</v>
      </c>
      <c r="H81" s="25" t="s">
        <v>443</v>
      </c>
      <c r="I81" s="25" t="s">
        <v>444</v>
      </c>
      <c r="J81" s="26" t="s">
        <v>447</v>
      </c>
      <c r="K81" s="27" t="s">
        <v>283</v>
      </c>
      <c r="L81" s="28" t="s">
        <v>229</v>
      </c>
      <c r="M81" s="28" t="s">
        <v>226</v>
      </c>
      <c r="N81" s="25">
        <v>8</v>
      </c>
      <c r="O81" s="29">
        <v>0.1125</v>
      </c>
      <c r="P81" s="29">
        <v>0.9</v>
      </c>
      <c r="Q81" s="25" t="s">
        <v>397</v>
      </c>
      <c r="R81" s="25"/>
      <c r="S81" s="26" t="s">
        <v>352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0.9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440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439</v>
      </c>
      <c r="C82" s="25" t="str">
        <f t="shared" si="18"/>
        <v>Shipment 2 CO-SCR Duct</v>
      </c>
      <c r="D82" s="25" t="s">
        <v>441</v>
      </c>
      <c r="E82" s="25" t="s">
        <v>442</v>
      </c>
      <c r="F82" s="25"/>
      <c r="G82" s="65">
        <v>46204</v>
      </c>
      <c r="H82" s="25" t="s">
        <v>443</v>
      </c>
      <c r="I82" s="25" t="s">
        <v>444</v>
      </c>
      <c r="J82" s="26" t="s">
        <v>447</v>
      </c>
      <c r="K82" s="27" t="s">
        <v>230</v>
      </c>
      <c r="L82" s="28" t="s">
        <v>231</v>
      </c>
      <c r="M82" s="28" t="s">
        <v>232</v>
      </c>
      <c r="N82" s="25">
        <v>4</v>
      </c>
      <c r="O82" s="29">
        <v>31.9</v>
      </c>
      <c r="P82" s="29">
        <v>127.6</v>
      </c>
      <c r="Q82" s="25" t="s">
        <v>398</v>
      </c>
      <c r="R82" s="25"/>
      <c r="S82" s="26" t="s">
        <v>352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127.6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440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439</v>
      </c>
      <c r="C83" s="25" t="str">
        <f t="shared" si="18"/>
        <v>Shipment 2 CO-SCR Duct</v>
      </c>
      <c r="D83" s="25" t="s">
        <v>441</v>
      </c>
      <c r="E83" s="25" t="s">
        <v>442</v>
      </c>
      <c r="F83" s="25"/>
      <c r="G83" s="65">
        <v>46204</v>
      </c>
      <c r="H83" s="25" t="s">
        <v>443</v>
      </c>
      <c r="I83" s="25" t="s">
        <v>445</v>
      </c>
      <c r="J83" s="26" t="s">
        <v>447</v>
      </c>
      <c r="K83" s="27" t="s">
        <v>233</v>
      </c>
      <c r="L83" s="28" t="s">
        <v>234</v>
      </c>
      <c r="M83" s="28" t="s">
        <v>235</v>
      </c>
      <c r="N83" s="25">
        <v>1</v>
      </c>
      <c r="O83" s="29">
        <v>12022.800000000003</v>
      </c>
      <c r="P83" s="29">
        <v>12022.800000000003</v>
      </c>
      <c r="Q83" s="25" t="s">
        <v>399</v>
      </c>
      <c r="R83" s="25"/>
      <c r="S83" s="26" t="s">
        <v>353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10820.520000000004</v>
      </c>
      <c r="AF83" s="32">
        <f t="shared" si="20"/>
        <v>1202.2799999999988</v>
      </c>
      <c r="AG83" s="30"/>
      <c r="AH83" s="33"/>
      <c r="AI83" s="34">
        <f t="shared" si="21"/>
        <v>0</v>
      </c>
      <c r="AJ83" s="35">
        <v>46249</v>
      </c>
      <c r="AK83" s="30">
        <v>1</v>
      </c>
      <c r="AL83" s="36">
        <f t="shared" si="22"/>
        <v>12022.800000000003</v>
      </c>
      <c r="AM83" s="35">
        <v>46255</v>
      </c>
      <c r="AN83" s="30">
        <v>1</v>
      </c>
      <c r="AO83" s="36">
        <f t="shared" si="23"/>
        <v>12022.800000000003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440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439</v>
      </c>
      <c r="C84" s="25" t="str">
        <f t="shared" si="18"/>
        <v>Shipment 2 CO-SCR Duct</v>
      </c>
      <c r="D84" s="25" t="s">
        <v>441</v>
      </c>
      <c r="E84" s="25" t="s">
        <v>442</v>
      </c>
      <c r="F84" s="25"/>
      <c r="G84" s="65">
        <v>46204</v>
      </c>
      <c r="H84" s="25" t="s">
        <v>443</v>
      </c>
      <c r="I84" s="25" t="s">
        <v>445</v>
      </c>
      <c r="J84" s="26" t="s">
        <v>447</v>
      </c>
      <c r="K84" s="27" t="s">
        <v>236</v>
      </c>
      <c r="L84" s="28" t="s">
        <v>237</v>
      </c>
      <c r="M84" s="28" t="s">
        <v>235</v>
      </c>
      <c r="N84" s="25">
        <v>1</v>
      </c>
      <c r="O84" s="29">
        <v>1189.2999999999997</v>
      </c>
      <c r="P84" s="29">
        <v>1189.2999999999997</v>
      </c>
      <c r="Q84" s="25" t="s">
        <v>400</v>
      </c>
      <c r="R84" s="25"/>
      <c r="S84" s="26" t="s">
        <v>353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1070.3699999999999</v>
      </c>
      <c r="AF84" s="32">
        <f t="shared" si="20"/>
        <v>118.92999999999984</v>
      </c>
      <c r="AG84" s="30"/>
      <c r="AH84" s="33"/>
      <c r="AI84" s="34">
        <f t="shared" si="21"/>
        <v>0</v>
      </c>
      <c r="AJ84" s="35">
        <v>46251</v>
      </c>
      <c r="AK84" s="30">
        <v>1</v>
      </c>
      <c r="AL84" s="36">
        <f t="shared" si="22"/>
        <v>1189.2999999999997</v>
      </c>
      <c r="AM84" s="35">
        <v>46254</v>
      </c>
      <c r="AN84" s="30">
        <v>1</v>
      </c>
      <c r="AO84" s="36">
        <f t="shared" si="23"/>
        <v>1189.2999999999997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440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439</v>
      </c>
      <c r="C85" s="25" t="str">
        <f t="shared" si="18"/>
        <v>Shipment 2 CO-SCR Duct</v>
      </c>
      <c r="D85" s="25" t="s">
        <v>441</v>
      </c>
      <c r="E85" s="25" t="s">
        <v>442</v>
      </c>
      <c r="F85" s="25"/>
      <c r="G85" s="65">
        <v>46204</v>
      </c>
      <c r="H85" s="25" t="s">
        <v>443</v>
      </c>
      <c r="I85" s="25" t="s">
        <v>445</v>
      </c>
      <c r="J85" s="26" t="s">
        <v>447</v>
      </c>
      <c r="K85" s="27" t="s">
        <v>238</v>
      </c>
      <c r="L85" s="28" t="s">
        <v>239</v>
      </c>
      <c r="M85" s="28" t="s">
        <v>235</v>
      </c>
      <c r="N85" s="25">
        <v>1</v>
      </c>
      <c r="O85" s="29">
        <v>3279.5</v>
      </c>
      <c r="P85" s="29">
        <v>3279.5</v>
      </c>
      <c r="Q85" s="25" t="s">
        <v>401</v>
      </c>
      <c r="R85" s="25"/>
      <c r="S85" s="26" t="s">
        <v>353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2951.55</v>
      </c>
      <c r="AF85" s="32">
        <f t="shared" si="20"/>
        <v>327.94999999999982</v>
      </c>
      <c r="AG85" s="30"/>
      <c r="AH85" s="33"/>
      <c r="AI85" s="34">
        <f t="shared" si="21"/>
        <v>0</v>
      </c>
      <c r="AJ85" s="35">
        <v>46248</v>
      </c>
      <c r="AK85" s="30">
        <v>1</v>
      </c>
      <c r="AL85" s="36">
        <f t="shared" si="22"/>
        <v>3279.5</v>
      </c>
      <c r="AM85" s="35">
        <v>46253</v>
      </c>
      <c r="AN85" s="30">
        <v>1</v>
      </c>
      <c r="AO85" s="36">
        <f t="shared" si="23"/>
        <v>3279.5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440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439</v>
      </c>
      <c r="C86" s="25" t="str">
        <f t="shared" si="18"/>
        <v>Shipment 2 CO-SCR Duct</v>
      </c>
      <c r="D86" s="25" t="s">
        <v>441</v>
      </c>
      <c r="E86" s="25" t="s">
        <v>442</v>
      </c>
      <c r="F86" s="25"/>
      <c r="G86" s="65">
        <v>46204</v>
      </c>
      <c r="H86" s="25" t="s">
        <v>443</v>
      </c>
      <c r="I86" s="25" t="s">
        <v>445</v>
      </c>
      <c r="J86" s="26" t="s">
        <v>446</v>
      </c>
      <c r="K86" s="27" t="s">
        <v>240</v>
      </c>
      <c r="L86" s="28" t="s">
        <v>241</v>
      </c>
      <c r="M86" s="28" t="s">
        <v>242</v>
      </c>
      <c r="N86" s="25">
        <v>1</v>
      </c>
      <c r="O86" s="29">
        <v>4245.5</v>
      </c>
      <c r="P86" s="29">
        <v>4245.5</v>
      </c>
      <c r="Q86" s="25" t="s">
        <v>402</v>
      </c>
      <c r="R86" s="25"/>
      <c r="S86" s="26" t="s">
        <v>353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3820.95</v>
      </c>
      <c r="AF86" s="32">
        <f t="shared" si="20"/>
        <v>424.55000000000018</v>
      </c>
      <c r="AG86" s="30"/>
      <c r="AH86" s="33"/>
      <c r="AI86" s="34">
        <f t="shared" si="21"/>
        <v>0</v>
      </c>
      <c r="AJ86" s="35">
        <v>46232</v>
      </c>
      <c r="AK86" s="30">
        <v>1</v>
      </c>
      <c r="AL86" s="36">
        <f t="shared" si="22"/>
        <v>4245.5</v>
      </c>
      <c r="AM86" s="35">
        <v>46240</v>
      </c>
      <c r="AN86" s="30">
        <v>1</v>
      </c>
      <c r="AO86" s="36">
        <f t="shared" si="23"/>
        <v>4245.5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440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439</v>
      </c>
      <c r="C87" s="25" t="str">
        <f t="shared" si="18"/>
        <v>Shipment 2 CO-SCR Duct</v>
      </c>
      <c r="D87" s="25" t="s">
        <v>441</v>
      </c>
      <c r="E87" s="25" t="s">
        <v>442</v>
      </c>
      <c r="F87" s="25"/>
      <c r="G87" s="65">
        <v>46204</v>
      </c>
      <c r="H87" s="25" t="s">
        <v>443</v>
      </c>
      <c r="I87" s="25" t="s">
        <v>445</v>
      </c>
      <c r="J87" s="26" t="s">
        <v>446</v>
      </c>
      <c r="K87" s="27" t="s">
        <v>243</v>
      </c>
      <c r="L87" s="28" t="s">
        <v>244</v>
      </c>
      <c r="M87" s="28"/>
      <c r="N87" s="25">
        <v>1</v>
      </c>
      <c r="O87" s="29">
        <v>272.3</v>
      </c>
      <c r="P87" s="29">
        <v>272.3</v>
      </c>
      <c r="Q87" s="25" t="s">
        <v>403</v>
      </c>
      <c r="R87" s="25"/>
      <c r="S87" s="26" t="s">
        <v>354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245.07000000000002</v>
      </c>
      <c r="AF87" s="32">
        <f t="shared" si="20"/>
        <v>27.22999999999999</v>
      </c>
      <c r="AG87" s="30"/>
      <c r="AH87" s="33"/>
      <c r="AI87" s="34">
        <f t="shared" si="21"/>
        <v>0</v>
      </c>
      <c r="AJ87" s="35">
        <v>46286</v>
      </c>
      <c r="AK87" s="30">
        <v>1</v>
      </c>
      <c r="AL87" s="36">
        <f t="shared" si="22"/>
        <v>272.3</v>
      </c>
      <c r="AM87" s="35">
        <v>46293</v>
      </c>
      <c r="AN87" s="30">
        <v>1</v>
      </c>
      <c r="AO87" s="36">
        <f t="shared" si="23"/>
        <v>272.3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440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439</v>
      </c>
      <c r="C88" s="25" t="str">
        <f t="shared" si="18"/>
        <v>Shipment 2 CO-SCR Duct</v>
      </c>
      <c r="D88" s="25" t="s">
        <v>441</v>
      </c>
      <c r="E88" s="25" t="s">
        <v>442</v>
      </c>
      <c r="F88" s="25"/>
      <c r="G88" s="65">
        <v>46204</v>
      </c>
      <c r="H88" s="25" t="s">
        <v>443</v>
      </c>
      <c r="I88" s="25" t="s">
        <v>445</v>
      </c>
      <c r="J88" s="26" t="s">
        <v>446</v>
      </c>
      <c r="K88" s="27" t="s">
        <v>245</v>
      </c>
      <c r="L88" s="28" t="s">
        <v>246</v>
      </c>
      <c r="M88" s="28" t="s">
        <v>242</v>
      </c>
      <c r="N88" s="25">
        <v>1</v>
      </c>
      <c r="O88" s="29">
        <v>4184.0999999999995</v>
      </c>
      <c r="P88" s="29">
        <v>4184.0999999999995</v>
      </c>
      <c r="Q88" s="25" t="s">
        <v>404</v>
      </c>
      <c r="R88" s="25"/>
      <c r="S88" s="26" t="s">
        <v>353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3765.6899999999996</v>
      </c>
      <c r="AF88" s="32">
        <f t="shared" si="20"/>
        <v>418.40999999999985</v>
      </c>
      <c r="AG88" s="30"/>
      <c r="AH88" s="33"/>
      <c r="AI88" s="34">
        <f t="shared" si="21"/>
        <v>0</v>
      </c>
      <c r="AJ88" s="35">
        <v>46251</v>
      </c>
      <c r="AK88" s="30">
        <v>1</v>
      </c>
      <c r="AL88" s="36">
        <f t="shared" si="22"/>
        <v>4184.0999999999995</v>
      </c>
      <c r="AM88" s="35">
        <v>46253</v>
      </c>
      <c r="AN88" s="30">
        <v>1</v>
      </c>
      <c r="AO88" s="36">
        <f t="shared" si="23"/>
        <v>4184.0999999999995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440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439</v>
      </c>
      <c r="C89" s="25" t="str">
        <f t="shared" si="18"/>
        <v>Shipment 2 CO-SCR Duct</v>
      </c>
      <c r="D89" s="25" t="s">
        <v>441</v>
      </c>
      <c r="E89" s="25" t="s">
        <v>442</v>
      </c>
      <c r="F89" s="25"/>
      <c r="G89" s="65">
        <v>46204</v>
      </c>
      <c r="H89" s="25" t="s">
        <v>443</v>
      </c>
      <c r="I89" s="25" t="s">
        <v>445</v>
      </c>
      <c r="J89" s="26" t="s">
        <v>447</v>
      </c>
      <c r="K89" s="27" t="s">
        <v>247</v>
      </c>
      <c r="L89" s="28" t="s">
        <v>248</v>
      </c>
      <c r="M89" s="28" t="s">
        <v>242</v>
      </c>
      <c r="N89" s="25">
        <v>1</v>
      </c>
      <c r="O89" s="29">
        <v>33890.699999999997</v>
      </c>
      <c r="P89" s="29">
        <v>33890.699999999997</v>
      </c>
      <c r="Q89" s="25" t="s">
        <v>405</v>
      </c>
      <c r="R89" s="25"/>
      <c r="S89" s="26" t="s">
        <v>353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30501.629999999997</v>
      </c>
      <c r="AF89" s="32">
        <f t="shared" si="20"/>
        <v>3389.0699999999997</v>
      </c>
      <c r="AG89" s="30"/>
      <c r="AH89" s="33"/>
      <c r="AI89" s="34">
        <f t="shared" si="21"/>
        <v>0</v>
      </c>
      <c r="AJ89" s="35">
        <v>46252</v>
      </c>
      <c r="AK89" s="30">
        <v>1</v>
      </c>
      <c r="AL89" s="36">
        <f t="shared" si="22"/>
        <v>33890.699999999997</v>
      </c>
      <c r="AM89" s="35">
        <v>46260</v>
      </c>
      <c r="AN89" s="30">
        <v>1</v>
      </c>
      <c r="AO89" s="36">
        <f t="shared" si="23"/>
        <v>33890.699999999997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440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439</v>
      </c>
      <c r="C90" s="25" t="str">
        <f t="shared" si="18"/>
        <v>Shipment 2 CO-SCR Duct</v>
      </c>
      <c r="D90" s="25" t="s">
        <v>441</v>
      </c>
      <c r="E90" s="25" t="s">
        <v>442</v>
      </c>
      <c r="F90" s="25"/>
      <c r="G90" s="65">
        <v>46204</v>
      </c>
      <c r="H90" s="25" t="s">
        <v>443</v>
      </c>
      <c r="I90" s="25" t="s">
        <v>445</v>
      </c>
      <c r="J90" s="26" t="s">
        <v>446</v>
      </c>
      <c r="K90" s="27" t="s">
        <v>243</v>
      </c>
      <c r="L90" s="28" t="s">
        <v>249</v>
      </c>
      <c r="M90" s="28"/>
      <c r="N90" s="25">
        <v>1</v>
      </c>
      <c r="O90" s="29">
        <v>272.3</v>
      </c>
      <c r="P90" s="29">
        <v>272.3</v>
      </c>
      <c r="Q90" s="25" t="s">
        <v>403</v>
      </c>
      <c r="R90" s="25"/>
      <c r="S90" s="26" t="s">
        <v>354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245.07000000000002</v>
      </c>
      <c r="AF90" s="32">
        <f t="shared" si="20"/>
        <v>27.22999999999999</v>
      </c>
      <c r="AG90" s="30"/>
      <c r="AH90" s="33"/>
      <c r="AI90" s="34">
        <f t="shared" si="21"/>
        <v>0</v>
      </c>
      <c r="AJ90" s="35">
        <v>46286</v>
      </c>
      <c r="AK90" s="30">
        <v>1</v>
      </c>
      <c r="AL90" s="36">
        <f t="shared" si="22"/>
        <v>272.3</v>
      </c>
      <c r="AM90" s="35">
        <v>46293</v>
      </c>
      <c r="AN90" s="30">
        <v>1</v>
      </c>
      <c r="AO90" s="36">
        <f t="shared" si="23"/>
        <v>272.3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440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439</v>
      </c>
      <c r="C91" s="25" t="str">
        <f t="shared" si="18"/>
        <v>Shipment 2 CO-SCR Duct</v>
      </c>
      <c r="D91" s="25" t="s">
        <v>441</v>
      </c>
      <c r="E91" s="25" t="s">
        <v>442</v>
      </c>
      <c r="F91" s="25"/>
      <c r="G91" s="65">
        <v>46204</v>
      </c>
      <c r="H91" s="25" t="s">
        <v>443</v>
      </c>
      <c r="I91" s="25" t="s">
        <v>445</v>
      </c>
      <c r="J91" s="26" t="s">
        <v>446</v>
      </c>
      <c r="K91" s="27" t="s">
        <v>250</v>
      </c>
      <c r="L91" s="28" t="s">
        <v>251</v>
      </c>
      <c r="M91" s="28" t="s">
        <v>242</v>
      </c>
      <c r="N91" s="25">
        <v>1</v>
      </c>
      <c r="O91" s="29">
        <v>1802.0999999999997</v>
      </c>
      <c r="P91" s="29">
        <v>1802.0999999999997</v>
      </c>
      <c r="Q91" s="25" t="s">
        <v>406</v>
      </c>
      <c r="R91" s="25"/>
      <c r="S91" s="26" t="s">
        <v>353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1621.8899999999999</v>
      </c>
      <c r="AF91" s="32">
        <f t="shared" si="20"/>
        <v>180.20999999999981</v>
      </c>
      <c r="AG91" s="30"/>
      <c r="AH91" s="33"/>
      <c r="AI91" s="34">
        <f t="shared" si="21"/>
        <v>0</v>
      </c>
      <c r="AJ91" s="35">
        <v>46226</v>
      </c>
      <c r="AK91" s="30">
        <v>1</v>
      </c>
      <c r="AL91" s="36">
        <f t="shared" si="22"/>
        <v>1802.0999999999997</v>
      </c>
      <c r="AM91" s="35">
        <v>46238</v>
      </c>
      <c r="AN91" s="30">
        <v>1</v>
      </c>
      <c r="AO91" s="36">
        <f t="shared" si="23"/>
        <v>1802.0999999999997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440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439</v>
      </c>
      <c r="C92" s="25" t="str">
        <f t="shared" si="18"/>
        <v>Shipment 2 CO-SCR Duct</v>
      </c>
      <c r="D92" s="25" t="s">
        <v>441</v>
      </c>
      <c r="E92" s="25" t="s">
        <v>442</v>
      </c>
      <c r="F92" s="25"/>
      <c r="G92" s="65">
        <v>46204</v>
      </c>
      <c r="H92" s="25" t="s">
        <v>443</v>
      </c>
      <c r="I92" s="25" t="s">
        <v>445</v>
      </c>
      <c r="J92" s="26" t="s">
        <v>446</v>
      </c>
      <c r="K92" s="27" t="s">
        <v>243</v>
      </c>
      <c r="L92" s="28" t="s">
        <v>252</v>
      </c>
      <c r="M92" s="28"/>
      <c r="N92" s="25">
        <v>1</v>
      </c>
      <c r="O92" s="29">
        <v>272.3</v>
      </c>
      <c r="P92" s="29">
        <v>272.3</v>
      </c>
      <c r="Q92" s="25" t="s">
        <v>403</v>
      </c>
      <c r="R92" s="25"/>
      <c r="S92" s="26" t="s">
        <v>354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245.07000000000002</v>
      </c>
      <c r="AF92" s="32">
        <f t="shared" si="20"/>
        <v>27.22999999999999</v>
      </c>
      <c r="AG92" s="30"/>
      <c r="AH92" s="33"/>
      <c r="AI92" s="34">
        <f t="shared" si="21"/>
        <v>0</v>
      </c>
      <c r="AJ92" s="35">
        <v>46286</v>
      </c>
      <c r="AK92" s="30">
        <v>1</v>
      </c>
      <c r="AL92" s="36">
        <f t="shared" si="22"/>
        <v>272.3</v>
      </c>
      <c r="AM92" s="35">
        <v>46293</v>
      </c>
      <c r="AN92" s="30">
        <v>1</v>
      </c>
      <c r="AO92" s="36">
        <f t="shared" si="23"/>
        <v>272.3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440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439</v>
      </c>
      <c r="C93" s="25" t="str">
        <f t="shared" si="18"/>
        <v>Shipment 2 CO-SCR Duct</v>
      </c>
      <c r="D93" s="25" t="s">
        <v>441</v>
      </c>
      <c r="E93" s="25" t="s">
        <v>442</v>
      </c>
      <c r="F93" s="25"/>
      <c r="G93" s="65">
        <v>46204</v>
      </c>
      <c r="H93" s="25" t="s">
        <v>443</v>
      </c>
      <c r="I93" s="25" t="s">
        <v>445</v>
      </c>
      <c r="J93" s="26" t="s">
        <v>446</v>
      </c>
      <c r="K93" s="27" t="s">
        <v>253</v>
      </c>
      <c r="L93" s="28" t="s">
        <v>254</v>
      </c>
      <c r="M93" s="28" t="s">
        <v>242</v>
      </c>
      <c r="N93" s="25">
        <v>1</v>
      </c>
      <c r="O93" s="29">
        <v>1735.8000000000002</v>
      </c>
      <c r="P93" s="29">
        <v>1735.8000000000002</v>
      </c>
      <c r="Q93" s="25" t="s">
        <v>407</v>
      </c>
      <c r="R93" s="25"/>
      <c r="S93" s="26" t="s">
        <v>353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1562.2200000000003</v>
      </c>
      <c r="AF93" s="32">
        <f t="shared" si="20"/>
        <v>173.57999999999993</v>
      </c>
      <c r="AG93" s="30"/>
      <c r="AH93" s="33"/>
      <c r="AI93" s="34">
        <f t="shared" si="21"/>
        <v>0</v>
      </c>
      <c r="AJ93" s="35">
        <v>46232</v>
      </c>
      <c r="AK93" s="30">
        <v>1</v>
      </c>
      <c r="AL93" s="36">
        <f t="shared" si="22"/>
        <v>1735.8000000000002</v>
      </c>
      <c r="AM93" s="35">
        <v>46243</v>
      </c>
      <c r="AN93" s="30">
        <v>1</v>
      </c>
      <c r="AO93" s="36">
        <f t="shared" si="23"/>
        <v>1735.8000000000002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440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439</v>
      </c>
      <c r="C94" s="25" t="str">
        <f t="shared" si="18"/>
        <v>Shipment 2 CO-SCR Duct</v>
      </c>
      <c r="D94" s="25" t="s">
        <v>441</v>
      </c>
      <c r="E94" s="25" t="s">
        <v>442</v>
      </c>
      <c r="F94" s="25"/>
      <c r="G94" s="65">
        <v>46204</v>
      </c>
      <c r="H94" s="25" t="s">
        <v>443</v>
      </c>
      <c r="I94" s="25" t="s">
        <v>445</v>
      </c>
      <c r="J94" s="26" t="s">
        <v>446</v>
      </c>
      <c r="K94" s="27" t="s">
        <v>255</v>
      </c>
      <c r="L94" s="28" t="s">
        <v>256</v>
      </c>
      <c r="M94" s="28" t="s">
        <v>257</v>
      </c>
      <c r="N94" s="25">
        <v>1</v>
      </c>
      <c r="O94" s="29">
        <v>4245.4999999999991</v>
      </c>
      <c r="P94" s="29">
        <v>4245.4999999999991</v>
      </c>
      <c r="Q94" s="25" t="s">
        <v>402</v>
      </c>
      <c r="R94" s="25"/>
      <c r="S94" s="26" t="s">
        <v>353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3820.9499999999994</v>
      </c>
      <c r="AF94" s="32">
        <f t="shared" si="20"/>
        <v>424.54999999999973</v>
      </c>
      <c r="AG94" s="30"/>
      <c r="AH94" s="33"/>
      <c r="AI94" s="34">
        <f t="shared" si="21"/>
        <v>0</v>
      </c>
      <c r="AJ94" s="35">
        <v>46203</v>
      </c>
      <c r="AK94" s="30">
        <v>1</v>
      </c>
      <c r="AL94" s="36">
        <f t="shared" si="22"/>
        <v>4245.4999999999991</v>
      </c>
      <c r="AM94" s="35">
        <v>46206</v>
      </c>
      <c r="AN94" s="30">
        <v>1</v>
      </c>
      <c r="AO94" s="36">
        <f t="shared" si="23"/>
        <v>4245.4999999999991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440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439</v>
      </c>
      <c r="C95" s="25" t="str">
        <f t="shared" si="18"/>
        <v>Shipment 2 CO-SCR Duct</v>
      </c>
      <c r="D95" s="25" t="s">
        <v>441</v>
      </c>
      <c r="E95" s="25" t="s">
        <v>442</v>
      </c>
      <c r="F95" s="25"/>
      <c r="G95" s="65">
        <v>46204</v>
      </c>
      <c r="H95" s="25" t="s">
        <v>443</v>
      </c>
      <c r="I95" s="25" t="s">
        <v>445</v>
      </c>
      <c r="J95" s="26" t="s">
        <v>446</v>
      </c>
      <c r="K95" s="27" t="s">
        <v>243</v>
      </c>
      <c r="L95" s="28" t="s">
        <v>258</v>
      </c>
      <c r="M95" s="28"/>
      <c r="N95" s="25">
        <v>1</v>
      </c>
      <c r="O95" s="29">
        <v>272.3</v>
      </c>
      <c r="P95" s="29">
        <v>272.3</v>
      </c>
      <c r="Q95" s="25" t="s">
        <v>403</v>
      </c>
      <c r="R95" s="25"/>
      <c r="S95" s="26" t="s">
        <v>354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245.07000000000002</v>
      </c>
      <c r="AF95" s="32">
        <f t="shared" si="20"/>
        <v>27.22999999999999</v>
      </c>
      <c r="AG95" s="30"/>
      <c r="AH95" s="33"/>
      <c r="AI95" s="34">
        <f t="shared" si="21"/>
        <v>0</v>
      </c>
      <c r="AJ95" s="35">
        <v>46286</v>
      </c>
      <c r="AK95" s="30">
        <v>1</v>
      </c>
      <c r="AL95" s="36">
        <f t="shared" si="22"/>
        <v>272.3</v>
      </c>
      <c r="AM95" s="35">
        <v>46293</v>
      </c>
      <c r="AN95" s="30">
        <v>1</v>
      </c>
      <c r="AO95" s="36">
        <f t="shared" si="23"/>
        <v>272.3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440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439</v>
      </c>
      <c r="C96" s="25" t="str">
        <f t="shared" si="18"/>
        <v>Shipment 2 CO-SCR Duct</v>
      </c>
      <c r="D96" s="25" t="s">
        <v>441</v>
      </c>
      <c r="E96" s="25" t="s">
        <v>442</v>
      </c>
      <c r="F96" s="25"/>
      <c r="G96" s="65">
        <v>46204</v>
      </c>
      <c r="H96" s="25" t="s">
        <v>443</v>
      </c>
      <c r="I96" s="25" t="s">
        <v>445</v>
      </c>
      <c r="J96" s="26" t="s">
        <v>446</v>
      </c>
      <c r="K96" s="27" t="s">
        <v>259</v>
      </c>
      <c r="L96" s="28" t="s">
        <v>260</v>
      </c>
      <c r="M96" s="28" t="s">
        <v>257</v>
      </c>
      <c r="N96" s="25">
        <v>1</v>
      </c>
      <c r="O96" s="29">
        <v>4182.9999999999991</v>
      </c>
      <c r="P96" s="29">
        <v>4182.9999999999991</v>
      </c>
      <c r="Q96" s="25" t="s">
        <v>404</v>
      </c>
      <c r="R96" s="25"/>
      <c r="S96" s="26" t="s">
        <v>353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3764.6999999999994</v>
      </c>
      <c r="AF96" s="32">
        <f t="shared" si="20"/>
        <v>418.29999999999973</v>
      </c>
      <c r="AG96" s="30"/>
      <c r="AH96" s="33"/>
      <c r="AI96" s="34">
        <f t="shared" si="21"/>
        <v>0</v>
      </c>
      <c r="AJ96" s="35">
        <v>46203</v>
      </c>
      <c r="AK96" s="30">
        <v>1</v>
      </c>
      <c r="AL96" s="36">
        <f t="shared" si="22"/>
        <v>4182.9999999999991</v>
      </c>
      <c r="AM96" s="35">
        <v>46212</v>
      </c>
      <c r="AN96" s="30">
        <v>1</v>
      </c>
      <c r="AO96" s="36">
        <f t="shared" si="23"/>
        <v>4182.9999999999991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440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439</v>
      </c>
      <c r="C97" s="25" t="str">
        <f t="shared" si="18"/>
        <v>Shipment 2 CO-SCR Duct</v>
      </c>
      <c r="D97" s="25" t="s">
        <v>441</v>
      </c>
      <c r="E97" s="25" t="s">
        <v>442</v>
      </c>
      <c r="F97" s="25"/>
      <c r="G97" s="65">
        <v>46204</v>
      </c>
      <c r="H97" s="25" t="s">
        <v>443</v>
      </c>
      <c r="I97" s="25" t="s">
        <v>445</v>
      </c>
      <c r="J97" s="26" t="s">
        <v>446</v>
      </c>
      <c r="K97" s="27" t="s">
        <v>261</v>
      </c>
      <c r="L97" s="28" t="s">
        <v>262</v>
      </c>
      <c r="M97" s="28" t="s">
        <v>257</v>
      </c>
      <c r="N97" s="25">
        <v>1</v>
      </c>
      <c r="O97" s="29">
        <v>33888.5</v>
      </c>
      <c r="P97" s="29">
        <v>33888.5</v>
      </c>
      <c r="Q97" s="25" t="s">
        <v>405</v>
      </c>
      <c r="R97" s="25"/>
      <c r="S97" s="26" t="s">
        <v>353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30499.65</v>
      </c>
      <c r="AF97" s="32">
        <f t="shared" si="20"/>
        <v>3388.8499999999985</v>
      </c>
      <c r="AG97" s="30"/>
      <c r="AH97" s="33"/>
      <c r="AI97" s="34">
        <f t="shared" si="21"/>
        <v>0</v>
      </c>
      <c r="AJ97" s="35">
        <v>46225</v>
      </c>
      <c r="AK97" s="30">
        <v>1</v>
      </c>
      <c r="AL97" s="36">
        <f t="shared" si="22"/>
        <v>33888.5</v>
      </c>
      <c r="AM97" s="35">
        <v>46230</v>
      </c>
      <c r="AN97" s="30">
        <v>1</v>
      </c>
      <c r="AO97" s="36">
        <f t="shared" si="23"/>
        <v>33888.5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440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439</v>
      </c>
      <c r="C98" s="25" t="str">
        <f t="shared" si="18"/>
        <v>Shipment 2 CO-SCR Duct</v>
      </c>
      <c r="D98" s="25" t="s">
        <v>441</v>
      </c>
      <c r="E98" s="25" t="s">
        <v>442</v>
      </c>
      <c r="F98" s="25"/>
      <c r="G98" s="65">
        <v>46204</v>
      </c>
      <c r="H98" s="25" t="s">
        <v>443</v>
      </c>
      <c r="I98" s="25" t="s">
        <v>445</v>
      </c>
      <c r="J98" s="26" t="s">
        <v>446</v>
      </c>
      <c r="K98" s="27" t="s">
        <v>243</v>
      </c>
      <c r="L98" s="28" t="s">
        <v>263</v>
      </c>
      <c r="M98" s="28"/>
      <c r="N98" s="25">
        <v>1</v>
      </c>
      <c r="O98" s="29">
        <v>272.3</v>
      </c>
      <c r="P98" s="29">
        <v>272.3</v>
      </c>
      <c r="Q98" s="25" t="s">
        <v>403</v>
      </c>
      <c r="R98" s="25"/>
      <c r="S98" s="26" t="s">
        <v>354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245.07000000000002</v>
      </c>
      <c r="AF98" s="32">
        <f t="shared" si="20"/>
        <v>27.22999999999999</v>
      </c>
      <c r="AG98" s="30"/>
      <c r="AH98" s="33"/>
      <c r="AI98" s="34">
        <f t="shared" si="21"/>
        <v>0</v>
      </c>
      <c r="AJ98" s="35">
        <v>46286</v>
      </c>
      <c r="AK98" s="30">
        <v>1</v>
      </c>
      <c r="AL98" s="36">
        <f t="shared" si="22"/>
        <v>272.3</v>
      </c>
      <c r="AM98" s="35">
        <v>46293</v>
      </c>
      <c r="AN98" s="30">
        <v>1</v>
      </c>
      <c r="AO98" s="36">
        <f t="shared" si="23"/>
        <v>272.3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440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439</v>
      </c>
      <c r="C99" s="25" t="str">
        <f t="shared" si="18"/>
        <v>Shipment 2 CO-SCR Duct</v>
      </c>
      <c r="D99" s="25" t="s">
        <v>441</v>
      </c>
      <c r="E99" s="25" t="s">
        <v>442</v>
      </c>
      <c r="F99" s="25"/>
      <c r="G99" s="65">
        <v>46204</v>
      </c>
      <c r="H99" s="25" t="s">
        <v>443</v>
      </c>
      <c r="I99" s="25" t="s">
        <v>445</v>
      </c>
      <c r="J99" s="26" t="s">
        <v>446</v>
      </c>
      <c r="K99" s="27" t="s">
        <v>264</v>
      </c>
      <c r="L99" s="28" t="s">
        <v>265</v>
      </c>
      <c r="M99" s="28" t="s">
        <v>257</v>
      </c>
      <c r="N99" s="25">
        <v>1</v>
      </c>
      <c r="O99" s="29">
        <v>1800.9999999999998</v>
      </c>
      <c r="P99" s="29">
        <v>1800.9999999999998</v>
      </c>
      <c r="Q99" s="25" t="s">
        <v>408</v>
      </c>
      <c r="R99" s="25"/>
      <c r="S99" s="26" t="s">
        <v>353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1620.8999999999999</v>
      </c>
      <c r="AF99" s="32">
        <f t="shared" si="20"/>
        <v>180.09999999999991</v>
      </c>
      <c r="AG99" s="30"/>
      <c r="AH99" s="33"/>
      <c r="AI99" s="34">
        <f t="shared" si="21"/>
        <v>0</v>
      </c>
      <c r="AJ99" s="35">
        <v>46225</v>
      </c>
      <c r="AK99" s="30">
        <v>1</v>
      </c>
      <c r="AL99" s="36">
        <f t="shared" si="22"/>
        <v>1800.9999999999998</v>
      </c>
      <c r="AM99" s="35">
        <v>46226</v>
      </c>
      <c r="AN99" s="30">
        <v>1</v>
      </c>
      <c r="AO99" s="36">
        <f t="shared" si="23"/>
        <v>1800.9999999999998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440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439</v>
      </c>
      <c r="C100" s="25" t="str">
        <f t="shared" si="18"/>
        <v>Shipment 2 CO-SCR Duct</v>
      </c>
      <c r="D100" s="25" t="s">
        <v>441</v>
      </c>
      <c r="E100" s="25" t="s">
        <v>442</v>
      </c>
      <c r="F100" s="25"/>
      <c r="G100" s="65">
        <v>46204</v>
      </c>
      <c r="H100" s="25" t="s">
        <v>443</v>
      </c>
      <c r="I100" s="25" t="s">
        <v>445</v>
      </c>
      <c r="J100" s="26" t="s">
        <v>446</v>
      </c>
      <c r="K100" s="27" t="s">
        <v>243</v>
      </c>
      <c r="L100" s="28" t="s">
        <v>266</v>
      </c>
      <c r="M100" s="28"/>
      <c r="N100" s="25">
        <v>1</v>
      </c>
      <c r="O100" s="29">
        <v>272.3</v>
      </c>
      <c r="P100" s="29">
        <v>272.3</v>
      </c>
      <c r="Q100" s="25" t="s">
        <v>403</v>
      </c>
      <c r="R100" s="25"/>
      <c r="S100" s="26" t="s">
        <v>354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245.07000000000002</v>
      </c>
      <c r="AF100" s="32">
        <f t="shared" si="20"/>
        <v>27.22999999999999</v>
      </c>
      <c r="AG100" s="30"/>
      <c r="AH100" s="33"/>
      <c r="AI100" s="34">
        <f t="shared" si="21"/>
        <v>0</v>
      </c>
      <c r="AJ100" s="35">
        <v>46286</v>
      </c>
      <c r="AK100" s="30">
        <v>1</v>
      </c>
      <c r="AL100" s="36">
        <f t="shared" si="22"/>
        <v>272.3</v>
      </c>
      <c r="AM100" s="35">
        <v>46293</v>
      </c>
      <c r="AN100" s="30">
        <v>1</v>
      </c>
      <c r="AO100" s="36">
        <f t="shared" si="23"/>
        <v>272.3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440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439</v>
      </c>
      <c r="C101" s="25" t="str">
        <f t="shared" si="18"/>
        <v>Shipment 2 CO-SCR Duct</v>
      </c>
      <c r="D101" s="25" t="s">
        <v>441</v>
      </c>
      <c r="E101" s="25" t="s">
        <v>442</v>
      </c>
      <c r="F101" s="25"/>
      <c r="G101" s="65">
        <v>46204</v>
      </c>
      <c r="H101" s="25" t="s">
        <v>443</v>
      </c>
      <c r="I101" s="25" t="s">
        <v>445</v>
      </c>
      <c r="J101" s="26" t="s">
        <v>446</v>
      </c>
      <c r="K101" s="27" t="s">
        <v>267</v>
      </c>
      <c r="L101" s="28" t="s">
        <v>268</v>
      </c>
      <c r="M101" s="28" t="s">
        <v>257</v>
      </c>
      <c r="N101" s="25">
        <v>1</v>
      </c>
      <c r="O101" s="29">
        <v>1734.6999999999998</v>
      </c>
      <c r="P101" s="29">
        <v>1734.6999999999998</v>
      </c>
      <c r="Q101" s="25" t="s">
        <v>409</v>
      </c>
      <c r="R101" s="25"/>
      <c r="S101" s="26" t="s">
        <v>353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1561.23</v>
      </c>
      <c r="AF101" s="32">
        <f t="shared" si="20"/>
        <v>173.4699999999998</v>
      </c>
      <c r="AG101" s="30"/>
      <c r="AH101" s="33"/>
      <c r="AI101" s="34">
        <f t="shared" si="21"/>
        <v>0</v>
      </c>
      <c r="AJ101" s="35">
        <v>46203</v>
      </c>
      <c r="AK101" s="30">
        <v>1</v>
      </c>
      <c r="AL101" s="36">
        <f t="shared" si="22"/>
        <v>1734.6999999999998</v>
      </c>
      <c r="AM101" s="35">
        <v>46226</v>
      </c>
      <c r="AN101" s="30">
        <v>1</v>
      </c>
      <c r="AO101" s="36">
        <f t="shared" si="23"/>
        <v>1734.6999999999998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440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439</v>
      </c>
      <c r="C102" s="25" t="str">
        <f t="shared" si="18"/>
        <v>Shipment 2 CO-SCR Duct</v>
      </c>
      <c r="D102" s="25" t="s">
        <v>441</v>
      </c>
      <c r="E102" s="25" t="s">
        <v>442</v>
      </c>
      <c r="F102" s="25"/>
      <c r="G102" s="65">
        <v>46204</v>
      </c>
      <c r="H102" s="25" t="s">
        <v>443</v>
      </c>
      <c r="I102" s="25" t="s">
        <v>445</v>
      </c>
      <c r="J102" s="26" t="s">
        <v>868</v>
      </c>
      <c r="K102" s="27" t="s">
        <v>269</v>
      </c>
      <c r="L102" s="28" t="s">
        <v>270</v>
      </c>
      <c r="M102" s="28" t="s">
        <v>271</v>
      </c>
      <c r="N102" s="25">
        <v>1</v>
      </c>
      <c r="O102" s="29">
        <v>2290.4</v>
      </c>
      <c r="P102" s="29">
        <v>2290.4</v>
      </c>
      <c r="Q102" s="25" t="s">
        <v>410</v>
      </c>
      <c r="R102" s="25"/>
      <c r="S102" s="26" t="s">
        <v>353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2061.36</v>
      </c>
      <c r="AF102" s="32">
        <f t="shared" si="20"/>
        <v>229.03999999999996</v>
      </c>
      <c r="AG102" s="30"/>
      <c r="AH102" s="33"/>
      <c r="AI102" s="34">
        <f t="shared" si="21"/>
        <v>0</v>
      </c>
      <c r="AJ102" s="35">
        <v>46284</v>
      </c>
      <c r="AK102" s="30">
        <v>1</v>
      </c>
      <c r="AL102" s="36">
        <f t="shared" si="22"/>
        <v>2290.4</v>
      </c>
      <c r="AM102" s="35">
        <v>46286</v>
      </c>
      <c r="AN102" s="30">
        <v>1</v>
      </c>
      <c r="AO102" s="36">
        <f t="shared" si="23"/>
        <v>2290.4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440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439</v>
      </c>
      <c r="C103" s="25" t="str">
        <f t="shared" si="18"/>
        <v>Shipment 2 CO-SCR Duct</v>
      </c>
      <c r="D103" s="25" t="s">
        <v>441</v>
      </c>
      <c r="E103" s="25" t="s">
        <v>442</v>
      </c>
      <c r="F103" s="25"/>
      <c r="G103" s="65">
        <v>46204</v>
      </c>
      <c r="H103" s="25" t="s">
        <v>443</v>
      </c>
      <c r="I103" s="25" t="s">
        <v>445</v>
      </c>
      <c r="J103" s="26" t="s">
        <v>778</v>
      </c>
      <c r="K103" s="27" t="s">
        <v>272</v>
      </c>
      <c r="L103" s="28" t="s">
        <v>273</v>
      </c>
      <c r="M103" s="28" t="s">
        <v>271</v>
      </c>
      <c r="N103" s="25">
        <v>1</v>
      </c>
      <c r="O103" s="29">
        <v>11207.4</v>
      </c>
      <c r="P103" s="29">
        <v>11207.4</v>
      </c>
      <c r="Q103" s="25" t="s">
        <v>411</v>
      </c>
      <c r="R103" s="25"/>
      <c r="S103" s="26" t="s">
        <v>353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10086.66</v>
      </c>
      <c r="AF103" s="32">
        <f t="shared" si="20"/>
        <v>1120.7399999999998</v>
      </c>
      <c r="AG103" s="30"/>
      <c r="AH103" s="33"/>
      <c r="AI103" s="34">
        <f t="shared" si="21"/>
        <v>0</v>
      </c>
      <c r="AJ103" s="35">
        <v>46281</v>
      </c>
      <c r="AK103" s="30">
        <v>1</v>
      </c>
      <c r="AL103" s="36">
        <f t="shared" si="22"/>
        <v>11207.4</v>
      </c>
      <c r="AM103" s="35">
        <v>46287</v>
      </c>
      <c r="AN103" s="30">
        <v>1</v>
      </c>
      <c r="AO103" s="36">
        <f t="shared" si="23"/>
        <v>11207.4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440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439</v>
      </c>
      <c r="C104" s="25" t="str">
        <f t="shared" si="18"/>
        <v>Shipment 2 CO-SCR Duct</v>
      </c>
      <c r="D104" s="25" t="s">
        <v>441</v>
      </c>
      <c r="E104" s="25" t="s">
        <v>442</v>
      </c>
      <c r="F104" s="25"/>
      <c r="G104" s="65">
        <v>46204</v>
      </c>
      <c r="H104" s="25" t="s">
        <v>443</v>
      </c>
      <c r="I104" s="25" t="s">
        <v>445</v>
      </c>
      <c r="J104" s="26" t="s">
        <v>447</v>
      </c>
      <c r="K104" s="27" t="s">
        <v>274</v>
      </c>
      <c r="L104" s="28" t="s">
        <v>275</v>
      </c>
      <c r="M104" s="28" t="s">
        <v>276</v>
      </c>
      <c r="N104" s="25">
        <v>1</v>
      </c>
      <c r="O104" s="29">
        <v>618.9</v>
      </c>
      <c r="P104" s="29">
        <v>618.9</v>
      </c>
      <c r="Q104" s="25" t="s">
        <v>412</v>
      </c>
      <c r="R104" s="25"/>
      <c r="S104" s="26" t="s">
        <v>353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557.01</v>
      </c>
      <c r="AF104" s="32">
        <f t="shared" si="20"/>
        <v>61.889999999999986</v>
      </c>
      <c r="AG104" s="30"/>
      <c r="AH104" s="33"/>
      <c r="AI104" s="34">
        <f t="shared" si="21"/>
        <v>0</v>
      </c>
      <c r="AJ104" s="35">
        <v>46286</v>
      </c>
      <c r="AK104" s="30">
        <v>1</v>
      </c>
      <c r="AL104" s="36">
        <f t="shared" si="22"/>
        <v>618.9</v>
      </c>
      <c r="AM104" s="35">
        <v>46293</v>
      </c>
      <c r="AN104" s="30">
        <v>1</v>
      </c>
      <c r="AO104" s="36">
        <f t="shared" si="23"/>
        <v>618.9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440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439</v>
      </c>
      <c r="C105" s="25" t="str">
        <f t="shared" si="18"/>
        <v>Shipment 2 CO-SCR Duct</v>
      </c>
      <c r="D105" s="25" t="s">
        <v>441</v>
      </c>
      <c r="E105" s="25" t="s">
        <v>442</v>
      </c>
      <c r="F105" s="25"/>
      <c r="G105" s="65">
        <v>46204</v>
      </c>
      <c r="H105" s="25" t="s">
        <v>443</v>
      </c>
      <c r="I105" s="25" t="s">
        <v>445</v>
      </c>
      <c r="J105" s="26" t="s">
        <v>778</v>
      </c>
      <c r="K105" s="27" t="s">
        <v>277</v>
      </c>
      <c r="L105" s="28" t="s">
        <v>278</v>
      </c>
      <c r="M105" s="28" t="s">
        <v>276</v>
      </c>
      <c r="N105" s="25">
        <v>1</v>
      </c>
      <c r="O105" s="29">
        <v>669.3</v>
      </c>
      <c r="P105" s="29">
        <v>669.3</v>
      </c>
      <c r="Q105" s="25" t="s">
        <v>413</v>
      </c>
      <c r="R105" s="25"/>
      <c r="S105" s="26" t="s">
        <v>353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602.36999999999989</v>
      </c>
      <c r="AF105" s="32">
        <f t="shared" si="20"/>
        <v>66.930000000000064</v>
      </c>
      <c r="AG105" s="30"/>
      <c r="AH105" s="33"/>
      <c r="AI105" s="34">
        <f t="shared" si="21"/>
        <v>0</v>
      </c>
      <c r="AJ105" s="35">
        <v>46286</v>
      </c>
      <c r="AK105" s="30">
        <v>1</v>
      </c>
      <c r="AL105" s="36">
        <f t="shared" ref="AL105:AL106" si="27">IFERROR(AK105*$P105/$N105,0)</f>
        <v>669.3</v>
      </c>
      <c r="AM105" s="35">
        <v>46287</v>
      </c>
      <c r="AN105" s="30">
        <v>1</v>
      </c>
      <c r="AO105" s="36">
        <f t="shared" si="23"/>
        <v>669.3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440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439</v>
      </c>
      <c r="C106" s="25" t="str">
        <f t="shared" si="18"/>
        <v>Shipment 2 CO-SCR Duct</v>
      </c>
      <c r="D106" s="25" t="s">
        <v>441</v>
      </c>
      <c r="E106" s="25" t="s">
        <v>442</v>
      </c>
      <c r="F106" s="25"/>
      <c r="G106" s="65">
        <v>46204</v>
      </c>
      <c r="H106" s="25" t="s">
        <v>443</v>
      </c>
      <c r="I106" s="25" t="s">
        <v>445</v>
      </c>
      <c r="J106" s="26" t="s">
        <v>778</v>
      </c>
      <c r="K106" s="27" t="s">
        <v>279</v>
      </c>
      <c r="L106" s="28" t="s">
        <v>280</v>
      </c>
      <c r="M106" s="28" t="s">
        <v>276</v>
      </c>
      <c r="N106" s="25">
        <v>1</v>
      </c>
      <c r="O106" s="29">
        <v>618.70000000000005</v>
      </c>
      <c r="P106" s="29">
        <v>618.70000000000005</v>
      </c>
      <c r="Q106" s="25" t="s">
        <v>412</v>
      </c>
      <c r="R106" s="25"/>
      <c r="S106" s="26" t="s">
        <v>353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556.83000000000004</v>
      </c>
      <c r="AF106" s="32">
        <f t="shared" si="20"/>
        <v>61.870000000000005</v>
      </c>
      <c r="AG106" s="30"/>
      <c r="AH106" s="33"/>
      <c r="AI106" s="34">
        <f t="shared" si="21"/>
        <v>0</v>
      </c>
      <c r="AJ106" s="35">
        <v>46286</v>
      </c>
      <c r="AK106" s="30">
        <v>1</v>
      </c>
      <c r="AL106" s="36">
        <f t="shared" si="27"/>
        <v>618.70000000000005</v>
      </c>
      <c r="AM106" s="35">
        <v>46287</v>
      </c>
      <c r="AN106" s="30">
        <v>1</v>
      </c>
      <c r="AO106" s="36">
        <f t="shared" si="23"/>
        <v>618.70000000000005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440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439</v>
      </c>
      <c r="C107" s="25" t="str">
        <f t="shared" si="18"/>
        <v>Shipment 2 CO-SCR Duct</v>
      </c>
      <c r="D107" s="25" t="s">
        <v>441</v>
      </c>
      <c r="E107" s="25" t="s">
        <v>442</v>
      </c>
      <c r="F107" s="25"/>
      <c r="G107" s="65">
        <v>46204</v>
      </c>
      <c r="H107" s="25" t="s">
        <v>443</v>
      </c>
      <c r="I107" s="25" t="s">
        <v>445</v>
      </c>
      <c r="J107" s="26" t="s">
        <v>447</v>
      </c>
      <c r="K107" s="27" t="s">
        <v>281</v>
      </c>
      <c r="L107" s="28" t="s">
        <v>282</v>
      </c>
      <c r="M107" s="28" t="s">
        <v>271</v>
      </c>
      <c r="N107" s="25">
        <v>1</v>
      </c>
      <c r="O107" s="29">
        <v>1090</v>
      </c>
      <c r="P107" s="29">
        <v>1090</v>
      </c>
      <c r="Q107" s="25" t="s">
        <v>414</v>
      </c>
      <c r="R107" s="25"/>
      <c r="S107" s="26" t="s">
        <v>353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981</v>
      </c>
      <c r="AF107" s="32">
        <f t="shared" si="20"/>
        <v>109</v>
      </c>
      <c r="AG107" s="30"/>
      <c r="AH107" s="33"/>
      <c r="AI107" s="34">
        <f t="shared" si="21"/>
        <v>0</v>
      </c>
      <c r="AJ107" s="35">
        <v>46279</v>
      </c>
      <c r="AK107" s="30">
        <v>1</v>
      </c>
      <c r="AL107" s="36">
        <f t="shared" si="22"/>
        <v>1090</v>
      </c>
      <c r="AM107" s="35">
        <v>46295</v>
      </c>
      <c r="AN107" s="30">
        <v>1</v>
      </c>
      <c r="AO107" s="36">
        <f t="shared" si="23"/>
        <v>1090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440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439</v>
      </c>
      <c r="C108" s="25" t="str">
        <f t="shared" si="18"/>
        <v>Shipment 2 CO-SCR Duct</v>
      </c>
      <c r="D108" s="25" t="s">
        <v>441</v>
      </c>
      <c r="E108" s="25" t="s">
        <v>442</v>
      </c>
      <c r="F108" s="25"/>
      <c r="G108" s="65">
        <v>46204</v>
      </c>
      <c r="H108" s="25" t="s">
        <v>443</v>
      </c>
      <c r="I108" s="25" t="s">
        <v>444</v>
      </c>
      <c r="J108" s="26" t="s">
        <v>447</v>
      </c>
      <c r="K108" s="27" t="s">
        <v>283</v>
      </c>
      <c r="L108" s="28" t="s">
        <v>284</v>
      </c>
      <c r="M108" s="28" t="s">
        <v>285</v>
      </c>
      <c r="N108" s="25">
        <v>2</v>
      </c>
      <c r="O108" s="29">
        <v>366.15</v>
      </c>
      <c r="P108" s="29">
        <v>732.3</v>
      </c>
      <c r="Q108" s="25" t="s">
        <v>415</v>
      </c>
      <c r="R108" s="25"/>
      <c r="S108" s="26" t="s">
        <v>355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732.3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440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439</v>
      </c>
      <c r="C109" s="25" t="str">
        <f t="shared" si="18"/>
        <v>Shipment 2 CO-SCR Duct</v>
      </c>
      <c r="D109" s="25" t="s">
        <v>441</v>
      </c>
      <c r="E109" s="25" t="s">
        <v>442</v>
      </c>
      <c r="F109" s="25"/>
      <c r="G109" s="65">
        <v>46204</v>
      </c>
      <c r="H109" s="25" t="s">
        <v>443</v>
      </c>
      <c r="I109" s="25" t="s">
        <v>444</v>
      </c>
      <c r="J109" s="26" t="s">
        <v>447</v>
      </c>
      <c r="K109" s="27" t="s">
        <v>286</v>
      </c>
      <c r="L109" s="28" t="s">
        <v>287</v>
      </c>
      <c r="M109" s="28" t="s">
        <v>288</v>
      </c>
      <c r="N109" s="25">
        <v>1</v>
      </c>
      <c r="O109" s="29">
        <v>2.6</v>
      </c>
      <c r="P109" s="29">
        <v>2.6</v>
      </c>
      <c r="Q109" s="25" t="s">
        <v>416</v>
      </c>
      <c r="R109" s="25"/>
      <c r="S109" s="26" t="s">
        <v>355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2.6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440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439</v>
      </c>
      <c r="C110" s="25" t="str">
        <f t="shared" si="18"/>
        <v>Shipment 2 CO-SCR Duct</v>
      </c>
      <c r="D110" s="25" t="s">
        <v>441</v>
      </c>
      <c r="E110" s="25" t="s">
        <v>442</v>
      </c>
      <c r="F110" s="25"/>
      <c r="G110" s="65">
        <v>46204</v>
      </c>
      <c r="H110" s="25" t="s">
        <v>443</v>
      </c>
      <c r="I110" s="25" t="s">
        <v>444</v>
      </c>
      <c r="J110" s="26" t="s">
        <v>447</v>
      </c>
      <c r="K110" s="27" t="s">
        <v>289</v>
      </c>
      <c r="L110" s="28" t="s">
        <v>290</v>
      </c>
      <c r="M110" s="28" t="s">
        <v>288</v>
      </c>
      <c r="N110" s="25">
        <v>1</v>
      </c>
      <c r="O110" s="29">
        <v>2.6</v>
      </c>
      <c r="P110" s="29">
        <v>2.6</v>
      </c>
      <c r="Q110" s="25" t="s">
        <v>417</v>
      </c>
      <c r="R110" s="25"/>
      <c r="S110" s="26" t="s">
        <v>355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2.6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440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439</v>
      </c>
      <c r="C111" s="25" t="str">
        <f t="shared" si="18"/>
        <v>Shipment 2 CO-SCR Duct</v>
      </c>
      <c r="D111" s="25" t="s">
        <v>441</v>
      </c>
      <c r="E111" s="25" t="s">
        <v>442</v>
      </c>
      <c r="F111" s="25"/>
      <c r="G111" s="65">
        <v>46204</v>
      </c>
      <c r="H111" s="25" t="s">
        <v>443</v>
      </c>
      <c r="I111" s="25" t="s">
        <v>444</v>
      </c>
      <c r="J111" s="26" t="s">
        <v>447</v>
      </c>
      <c r="K111" s="27" t="s">
        <v>291</v>
      </c>
      <c r="L111" s="28" t="s">
        <v>292</v>
      </c>
      <c r="M111" s="28" t="s">
        <v>288</v>
      </c>
      <c r="N111" s="25">
        <v>1</v>
      </c>
      <c r="O111" s="29">
        <v>2.6</v>
      </c>
      <c r="P111" s="29">
        <v>2.6</v>
      </c>
      <c r="Q111" s="25" t="s">
        <v>418</v>
      </c>
      <c r="R111" s="25"/>
      <c r="S111" s="26" t="s">
        <v>355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2.6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440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439</v>
      </c>
      <c r="C112" s="25" t="str">
        <f t="shared" si="18"/>
        <v>Shipment 2 CO-SCR Duct</v>
      </c>
      <c r="D112" s="25" t="s">
        <v>441</v>
      </c>
      <c r="E112" s="25" t="s">
        <v>442</v>
      </c>
      <c r="F112" s="25"/>
      <c r="G112" s="65">
        <v>46204</v>
      </c>
      <c r="H112" s="25" t="s">
        <v>443</v>
      </c>
      <c r="I112" s="25" t="s">
        <v>444</v>
      </c>
      <c r="J112" s="26" t="s">
        <v>447</v>
      </c>
      <c r="K112" s="27" t="s">
        <v>293</v>
      </c>
      <c r="L112" s="28" t="s">
        <v>294</v>
      </c>
      <c r="M112" s="28" t="s">
        <v>295</v>
      </c>
      <c r="N112" s="25">
        <v>1</v>
      </c>
      <c r="O112" s="29">
        <v>0.5</v>
      </c>
      <c r="P112" s="29">
        <v>0.5</v>
      </c>
      <c r="Q112" s="25" t="s">
        <v>419</v>
      </c>
      <c r="R112" s="25"/>
      <c r="S112" s="26" t="s">
        <v>355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0.5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440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439</v>
      </c>
      <c r="C113" s="25" t="str">
        <f t="shared" si="18"/>
        <v>Shipment 2 CO-SCR Duct</v>
      </c>
      <c r="D113" s="25" t="s">
        <v>441</v>
      </c>
      <c r="E113" s="25" t="s">
        <v>442</v>
      </c>
      <c r="F113" s="25"/>
      <c r="G113" s="65">
        <v>46204</v>
      </c>
      <c r="H113" s="25" t="s">
        <v>443</v>
      </c>
      <c r="I113" s="25" t="s">
        <v>444</v>
      </c>
      <c r="J113" s="26" t="s">
        <v>447</v>
      </c>
      <c r="K113" s="27" t="s">
        <v>296</v>
      </c>
      <c r="L113" s="28" t="s">
        <v>297</v>
      </c>
      <c r="M113" s="28" t="s">
        <v>295</v>
      </c>
      <c r="N113" s="25">
        <v>20</v>
      </c>
      <c r="O113" s="29">
        <v>2.4950000000000001</v>
      </c>
      <c r="P113" s="29">
        <v>49.9</v>
      </c>
      <c r="Q113" s="25" t="s">
        <v>420</v>
      </c>
      <c r="R113" s="25"/>
      <c r="S113" s="26" t="s">
        <v>355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49.9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440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439</v>
      </c>
      <c r="C114" s="25" t="str">
        <f t="shared" si="18"/>
        <v>Shipment 2 CO-SCR Duct</v>
      </c>
      <c r="D114" s="25" t="s">
        <v>441</v>
      </c>
      <c r="E114" s="25" t="s">
        <v>442</v>
      </c>
      <c r="F114" s="25"/>
      <c r="G114" s="65">
        <v>46204</v>
      </c>
      <c r="H114" s="25" t="s">
        <v>443</v>
      </c>
      <c r="I114" s="25" t="s">
        <v>444</v>
      </c>
      <c r="J114" s="26" t="s">
        <v>447</v>
      </c>
      <c r="K114" s="27" t="s">
        <v>298</v>
      </c>
      <c r="L114" s="28" t="s">
        <v>299</v>
      </c>
      <c r="M114" s="28" t="s">
        <v>295</v>
      </c>
      <c r="N114" s="25">
        <v>1</v>
      </c>
      <c r="O114" s="29">
        <v>0.7</v>
      </c>
      <c r="P114" s="29">
        <v>0.7</v>
      </c>
      <c r="Q114" s="25" t="s">
        <v>421</v>
      </c>
      <c r="R114" s="25"/>
      <c r="S114" s="26" t="s">
        <v>355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0.7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440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439</v>
      </c>
      <c r="C115" s="25" t="str">
        <f t="shared" si="18"/>
        <v>Shipment 2 CO-SCR Duct</v>
      </c>
      <c r="D115" s="25" t="s">
        <v>441</v>
      </c>
      <c r="E115" s="25" t="s">
        <v>442</v>
      </c>
      <c r="F115" s="25"/>
      <c r="G115" s="65">
        <v>46204</v>
      </c>
      <c r="H115" s="25" t="s">
        <v>443</v>
      </c>
      <c r="I115" s="25" t="s">
        <v>444</v>
      </c>
      <c r="J115" s="26" t="s">
        <v>447</v>
      </c>
      <c r="K115" s="27" t="s">
        <v>300</v>
      </c>
      <c r="L115" s="28" t="s">
        <v>301</v>
      </c>
      <c r="M115" s="28" t="s">
        <v>302</v>
      </c>
      <c r="N115" s="25">
        <v>1</v>
      </c>
      <c r="O115" s="29">
        <v>0.5</v>
      </c>
      <c r="P115" s="29">
        <v>0.5</v>
      </c>
      <c r="Q115" s="25" t="s">
        <v>419</v>
      </c>
      <c r="R115" s="25"/>
      <c r="S115" s="26" t="s">
        <v>355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0.5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440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439</v>
      </c>
      <c r="C116" s="25" t="str">
        <f t="shared" si="18"/>
        <v>Shipment 2 CO-SCR Duct</v>
      </c>
      <c r="D116" s="25" t="s">
        <v>441</v>
      </c>
      <c r="E116" s="25" t="s">
        <v>442</v>
      </c>
      <c r="F116" s="25"/>
      <c r="G116" s="65">
        <v>46204</v>
      </c>
      <c r="H116" s="25" t="s">
        <v>443</v>
      </c>
      <c r="I116" s="25" t="s">
        <v>444</v>
      </c>
      <c r="J116" s="26" t="s">
        <v>447</v>
      </c>
      <c r="K116" s="27" t="s">
        <v>303</v>
      </c>
      <c r="L116" s="28" t="s">
        <v>304</v>
      </c>
      <c r="M116" s="28" t="s">
        <v>302</v>
      </c>
      <c r="N116" s="25">
        <v>20</v>
      </c>
      <c r="O116" s="29">
        <v>2.4950000000000001</v>
      </c>
      <c r="P116" s="29">
        <v>49.9</v>
      </c>
      <c r="Q116" s="25" t="s">
        <v>420</v>
      </c>
      <c r="R116" s="25"/>
      <c r="S116" s="26" t="s">
        <v>355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49.9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440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439</v>
      </c>
      <c r="C117" s="25" t="str">
        <f t="shared" si="18"/>
        <v>Shipment 2 CO-SCR Duct</v>
      </c>
      <c r="D117" s="25" t="s">
        <v>441</v>
      </c>
      <c r="E117" s="25" t="s">
        <v>442</v>
      </c>
      <c r="F117" s="25"/>
      <c r="G117" s="65">
        <v>46204</v>
      </c>
      <c r="H117" s="25" t="s">
        <v>443</v>
      </c>
      <c r="I117" s="25" t="s">
        <v>444</v>
      </c>
      <c r="J117" s="26" t="s">
        <v>447</v>
      </c>
      <c r="K117" s="27" t="s">
        <v>305</v>
      </c>
      <c r="L117" s="28" t="s">
        <v>306</v>
      </c>
      <c r="M117" s="28" t="s">
        <v>302</v>
      </c>
      <c r="N117" s="25">
        <v>1</v>
      </c>
      <c r="O117" s="29">
        <v>0.7</v>
      </c>
      <c r="P117" s="29">
        <v>0.7</v>
      </c>
      <c r="Q117" s="25" t="s">
        <v>421</v>
      </c>
      <c r="R117" s="25"/>
      <c r="S117" s="26" t="s">
        <v>355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0.7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440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439</v>
      </c>
      <c r="C118" s="25" t="str">
        <f t="shared" si="18"/>
        <v>Shipment 2 CO-SCR Duct</v>
      </c>
      <c r="D118" s="25" t="s">
        <v>441</v>
      </c>
      <c r="E118" s="25" t="s">
        <v>442</v>
      </c>
      <c r="F118" s="25"/>
      <c r="G118" s="65">
        <v>46204</v>
      </c>
      <c r="H118" s="25" t="s">
        <v>443</v>
      </c>
      <c r="I118" s="25" t="s">
        <v>444</v>
      </c>
      <c r="J118" s="26" t="s">
        <v>447</v>
      </c>
      <c r="K118" s="27" t="s">
        <v>307</v>
      </c>
      <c r="L118" s="28" t="s">
        <v>308</v>
      </c>
      <c r="M118" s="28" t="s">
        <v>309</v>
      </c>
      <c r="N118" s="25">
        <v>156</v>
      </c>
      <c r="O118" s="29">
        <v>1.0089743589743589</v>
      </c>
      <c r="P118" s="29">
        <v>157.4</v>
      </c>
      <c r="Q118" s="25" t="s">
        <v>422</v>
      </c>
      <c r="R118" s="25"/>
      <c r="S118" s="26" t="s">
        <v>355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157.4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440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439</v>
      </c>
      <c r="C119" s="25" t="str">
        <f t="shared" si="18"/>
        <v>Shipment 2 CO-SCR Duct</v>
      </c>
      <c r="D119" s="25" t="s">
        <v>441</v>
      </c>
      <c r="E119" s="25" t="s">
        <v>442</v>
      </c>
      <c r="F119" s="25"/>
      <c r="G119" s="65">
        <v>46204</v>
      </c>
      <c r="H119" s="25" t="s">
        <v>443</v>
      </c>
      <c r="I119" s="25" t="s">
        <v>444</v>
      </c>
      <c r="J119" s="26" t="s">
        <v>447</v>
      </c>
      <c r="K119" s="27" t="s">
        <v>310</v>
      </c>
      <c r="L119" s="28" t="s">
        <v>311</v>
      </c>
      <c r="M119" s="28" t="s">
        <v>288</v>
      </c>
      <c r="N119" s="25">
        <v>1</v>
      </c>
      <c r="O119" s="29">
        <v>0</v>
      </c>
      <c r="P119" s="29">
        <v>0</v>
      </c>
      <c r="Q119" s="25" t="s">
        <v>423</v>
      </c>
      <c r="R119" s="25"/>
      <c r="S119" s="26" t="s">
        <v>355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0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440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439</v>
      </c>
      <c r="C120" s="25" t="str">
        <f t="shared" si="18"/>
        <v>Shipment 2 CO-SCR Duct</v>
      </c>
      <c r="D120" s="25" t="s">
        <v>441</v>
      </c>
      <c r="E120" s="25" t="s">
        <v>442</v>
      </c>
      <c r="F120" s="25"/>
      <c r="G120" s="65">
        <v>46204</v>
      </c>
      <c r="H120" s="25" t="s">
        <v>443</v>
      </c>
      <c r="I120" s="25" t="s">
        <v>444</v>
      </c>
      <c r="J120" s="26" t="s">
        <v>447</v>
      </c>
      <c r="K120" s="27" t="s">
        <v>312</v>
      </c>
      <c r="L120" s="28" t="s">
        <v>313</v>
      </c>
      <c r="M120" s="28" t="s">
        <v>314</v>
      </c>
      <c r="N120" s="25">
        <v>1</v>
      </c>
      <c r="O120" s="29">
        <v>616.29999999999995</v>
      </c>
      <c r="P120" s="29">
        <v>616.29999999999995</v>
      </c>
      <c r="Q120" s="25" t="s">
        <v>424</v>
      </c>
      <c r="R120" s="25"/>
      <c r="S120" s="26" t="s">
        <v>355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616.29999999999995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440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439</v>
      </c>
      <c r="C121" s="25" t="str">
        <f t="shared" si="18"/>
        <v>Shipment 2 CO-SCR Duct</v>
      </c>
      <c r="D121" s="25" t="s">
        <v>441</v>
      </c>
      <c r="E121" s="25" t="s">
        <v>442</v>
      </c>
      <c r="F121" s="25"/>
      <c r="G121" s="65">
        <v>46204</v>
      </c>
      <c r="H121" s="25" t="s">
        <v>443</v>
      </c>
      <c r="I121" s="25" t="s">
        <v>444</v>
      </c>
      <c r="J121" s="26" t="s">
        <v>447</v>
      </c>
      <c r="K121" s="27" t="s">
        <v>315</v>
      </c>
      <c r="L121" s="28" t="s">
        <v>316</v>
      </c>
      <c r="M121" s="28" t="s">
        <v>314</v>
      </c>
      <c r="N121" s="25">
        <v>1</v>
      </c>
      <c r="O121" s="29">
        <v>757.7</v>
      </c>
      <c r="P121" s="29">
        <v>757.7</v>
      </c>
      <c r="Q121" s="25" t="s">
        <v>425</v>
      </c>
      <c r="R121" s="25"/>
      <c r="S121" s="26" t="s">
        <v>355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757.7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440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439</v>
      </c>
      <c r="C122" s="25" t="str">
        <f t="shared" si="18"/>
        <v>Shipment 2 CO-SCR Duct</v>
      </c>
      <c r="D122" s="25" t="s">
        <v>441</v>
      </c>
      <c r="E122" s="25" t="s">
        <v>442</v>
      </c>
      <c r="F122" s="25"/>
      <c r="G122" s="65">
        <v>46204</v>
      </c>
      <c r="H122" s="25" t="s">
        <v>443</v>
      </c>
      <c r="I122" s="25" t="s">
        <v>444</v>
      </c>
      <c r="J122" s="26" t="s">
        <v>447</v>
      </c>
      <c r="K122" s="27" t="s">
        <v>317</v>
      </c>
      <c r="L122" s="28" t="s">
        <v>318</v>
      </c>
      <c r="M122" s="28" t="s">
        <v>285</v>
      </c>
      <c r="N122" s="25">
        <v>2</v>
      </c>
      <c r="O122" s="29">
        <v>129</v>
      </c>
      <c r="P122" s="29">
        <v>258</v>
      </c>
      <c r="Q122" s="25" t="s">
        <v>426</v>
      </c>
      <c r="R122" s="25"/>
      <c r="S122" s="26" t="s">
        <v>355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258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440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439</v>
      </c>
      <c r="C123" s="25" t="str">
        <f t="shared" si="18"/>
        <v>Shipment 2 CO-SCR Duct</v>
      </c>
      <c r="D123" s="25" t="s">
        <v>441</v>
      </c>
      <c r="E123" s="25" t="s">
        <v>442</v>
      </c>
      <c r="F123" s="25"/>
      <c r="G123" s="65">
        <v>46204</v>
      </c>
      <c r="H123" s="25" t="s">
        <v>443</v>
      </c>
      <c r="I123" s="25" t="s">
        <v>444</v>
      </c>
      <c r="J123" s="26" t="s">
        <v>447</v>
      </c>
      <c r="K123" s="27" t="s">
        <v>319</v>
      </c>
      <c r="L123" s="28" t="s">
        <v>320</v>
      </c>
      <c r="M123" s="28" t="s">
        <v>314</v>
      </c>
      <c r="N123" s="25">
        <v>2</v>
      </c>
      <c r="O123" s="29">
        <v>632.6</v>
      </c>
      <c r="P123" s="29">
        <v>1265.2</v>
      </c>
      <c r="Q123" s="25" t="s">
        <v>427</v>
      </c>
      <c r="R123" s="25"/>
      <c r="S123" s="26" t="s">
        <v>355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1265.2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440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439</v>
      </c>
      <c r="C124" s="25" t="str">
        <f t="shared" si="18"/>
        <v>Shipment 2 CO-SCR Duct</v>
      </c>
      <c r="D124" s="25" t="s">
        <v>441</v>
      </c>
      <c r="E124" s="25" t="s">
        <v>442</v>
      </c>
      <c r="F124" s="25"/>
      <c r="G124" s="65">
        <v>46204</v>
      </c>
      <c r="H124" s="25" t="s">
        <v>443</v>
      </c>
      <c r="I124" s="25" t="s">
        <v>444</v>
      </c>
      <c r="J124" s="26" t="s">
        <v>447</v>
      </c>
      <c r="K124" s="27" t="s">
        <v>321</v>
      </c>
      <c r="L124" s="28" t="s">
        <v>322</v>
      </c>
      <c r="M124" s="28" t="s">
        <v>314</v>
      </c>
      <c r="N124" s="25">
        <v>2</v>
      </c>
      <c r="O124" s="29">
        <v>785.3</v>
      </c>
      <c r="P124" s="29">
        <v>1570.6</v>
      </c>
      <c r="Q124" s="25" t="s">
        <v>428</v>
      </c>
      <c r="R124" s="25"/>
      <c r="S124" s="26" t="s">
        <v>355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1570.6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440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439</v>
      </c>
      <c r="C125" s="25" t="str">
        <f t="shared" si="18"/>
        <v>Shipment 2 CO-SCR Duct</v>
      </c>
      <c r="D125" s="25" t="s">
        <v>441</v>
      </c>
      <c r="E125" s="25" t="s">
        <v>442</v>
      </c>
      <c r="F125" s="25"/>
      <c r="G125" s="65">
        <v>46204</v>
      </c>
      <c r="H125" s="25" t="s">
        <v>443</v>
      </c>
      <c r="I125" s="25" t="s">
        <v>444</v>
      </c>
      <c r="J125" s="26" t="s">
        <v>447</v>
      </c>
      <c r="K125" s="27" t="s">
        <v>323</v>
      </c>
      <c r="L125" s="28" t="s">
        <v>324</v>
      </c>
      <c r="M125" s="28" t="s">
        <v>325</v>
      </c>
      <c r="N125" s="25">
        <v>1</v>
      </c>
      <c r="O125" s="29">
        <v>72.099999999999994</v>
      </c>
      <c r="P125" s="29">
        <v>72.099999999999994</v>
      </c>
      <c r="Q125" s="25" t="s">
        <v>429</v>
      </c>
      <c r="R125" s="25"/>
      <c r="S125" s="26" t="s">
        <v>355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72.099999999999994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440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439</v>
      </c>
      <c r="C126" s="25" t="str">
        <f t="shared" si="18"/>
        <v>Shipment 2 CO-SCR Duct</v>
      </c>
      <c r="D126" s="25" t="s">
        <v>441</v>
      </c>
      <c r="E126" s="25" t="s">
        <v>442</v>
      </c>
      <c r="F126" s="25"/>
      <c r="G126" s="65">
        <v>46204</v>
      </c>
      <c r="H126" s="25" t="s">
        <v>443</v>
      </c>
      <c r="I126" s="25" t="s">
        <v>444</v>
      </c>
      <c r="J126" s="26" t="s">
        <v>447</v>
      </c>
      <c r="K126" s="27" t="s">
        <v>326</v>
      </c>
      <c r="L126" s="28" t="s">
        <v>327</v>
      </c>
      <c r="M126" s="28" t="s">
        <v>325</v>
      </c>
      <c r="N126" s="25">
        <v>1</v>
      </c>
      <c r="O126" s="29">
        <v>74.099999999999994</v>
      </c>
      <c r="P126" s="29">
        <v>74.099999999999994</v>
      </c>
      <c r="Q126" s="25" t="s">
        <v>430</v>
      </c>
      <c r="R126" s="25"/>
      <c r="S126" s="26" t="s">
        <v>355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74.099999999999994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440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439</v>
      </c>
      <c r="C127" s="25" t="str">
        <f t="shared" si="18"/>
        <v>Shipment 2 CO-SCR Duct</v>
      </c>
      <c r="D127" s="25" t="s">
        <v>441</v>
      </c>
      <c r="E127" s="25" t="s">
        <v>442</v>
      </c>
      <c r="F127" s="25"/>
      <c r="G127" s="65">
        <v>46204</v>
      </c>
      <c r="H127" s="25" t="s">
        <v>443</v>
      </c>
      <c r="I127" s="25" t="s">
        <v>444</v>
      </c>
      <c r="J127" s="26" t="s">
        <v>447</v>
      </c>
      <c r="K127" s="27" t="s">
        <v>328</v>
      </c>
      <c r="L127" s="28" t="s">
        <v>329</v>
      </c>
      <c r="M127" s="28" t="s">
        <v>285</v>
      </c>
      <c r="N127" s="25">
        <v>1</v>
      </c>
      <c r="O127" s="29">
        <v>130.30000000000001</v>
      </c>
      <c r="P127" s="29">
        <v>130.30000000000001</v>
      </c>
      <c r="Q127" s="25" t="s">
        <v>431</v>
      </c>
      <c r="R127" s="25"/>
      <c r="S127" s="26" t="s">
        <v>355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130.30000000000001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440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439</v>
      </c>
      <c r="C128" s="25" t="str">
        <f t="shared" si="18"/>
        <v>Shipment 2 CO-SCR Duct</v>
      </c>
      <c r="D128" s="25" t="s">
        <v>441</v>
      </c>
      <c r="E128" s="25" t="s">
        <v>442</v>
      </c>
      <c r="F128" s="25"/>
      <c r="G128" s="65">
        <v>46204</v>
      </c>
      <c r="H128" s="25" t="s">
        <v>443</v>
      </c>
      <c r="I128" s="25" t="s">
        <v>444</v>
      </c>
      <c r="J128" s="26" t="s">
        <v>447</v>
      </c>
      <c r="K128" s="27" t="s">
        <v>330</v>
      </c>
      <c r="L128" s="28" t="s">
        <v>331</v>
      </c>
      <c r="M128" s="28" t="s">
        <v>325</v>
      </c>
      <c r="N128" s="25">
        <v>1</v>
      </c>
      <c r="O128" s="29">
        <v>74.099999999999994</v>
      </c>
      <c r="P128" s="29">
        <v>74.099999999999994</v>
      </c>
      <c r="Q128" s="25" t="s">
        <v>430</v>
      </c>
      <c r="R128" s="25"/>
      <c r="S128" s="26" t="s">
        <v>355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74.099999999999994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440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439</v>
      </c>
      <c r="C129" s="25" t="str">
        <f t="shared" si="18"/>
        <v>Shipment 2 CO-SCR Duct</v>
      </c>
      <c r="D129" s="25" t="s">
        <v>441</v>
      </c>
      <c r="E129" s="25" t="s">
        <v>442</v>
      </c>
      <c r="F129" s="25"/>
      <c r="G129" s="65">
        <v>46204</v>
      </c>
      <c r="H129" s="25" t="s">
        <v>443</v>
      </c>
      <c r="I129" s="25" t="s">
        <v>444</v>
      </c>
      <c r="J129" s="26" t="s">
        <v>447</v>
      </c>
      <c r="K129" s="27" t="s">
        <v>332</v>
      </c>
      <c r="L129" s="28" t="s">
        <v>333</v>
      </c>
      <c r="M129" s="28" t="s">
        <v>314</v>
      </c>
      <c r="N129" s="25">
        <v>1</v>
      </c>
      <c r="O129" s="29">
        <v>616.29999999999995</v>
      </c>
      <c r="P129" s="29">
        <v>616.29999999999995</v>
      </c>
      <c r="Q129" s="25" t="s">
        <v>424</v>
      </c>
      <c r="R129" s="25"/>
      <c r="S129" s="26" t="s">
        <v>355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616.29999999999995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440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439</v>
      </c>
      <c r="C130" s="25" t="str">
        <f t="shared" si="18"/>
        <v>Shipment 2 CO-SCR Duct</v>
      </c>
      <c r="D130" s="25" t="s">
        <v>441</v>
      </c>
      <c r="E130" s="25" t="s">
        <v>442</v>
      </c>
      <c r="F130" s="25"/>
      <c r="G130" s="65">
        <v>46204</v>
      </c>
      <c r="H130" s="25" t="s">
        <v>443</v>
      </c>
      <c r="I130" s="25" t="s">
        <v>444</v>
      </c>
      <c r="J130" s="26" t="s">
        <v>447</v>
      </c>
      <c r="K130" s="27" t="s">
        <v>334</v>
      </c>
      <c r="L130" s="28" t="s">
        <v>335</v>
      </c>
      <c r="M130" s="28" t="s">
        <v>314</v>
      </c>
      <c r="N130" s="25">
        <v>1</v>
      </c>
      <c r="O130" s="29">
        <v>757.7</v>
      </c>
      <c r="P130" s="29">
        <v>757.7</v>
      </c>
      <c r="Q130" s="25" t="s">
        <v>432</v>
      </c>
      <c r="R130" s="25"/>
      <c r="S130" s="26" t="s">
        <v>355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757.7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440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439</v>
      </c>
      <c r="C131" s="25" t="str">
        <f t="shared" si="18"/>
        <v>Shipment 2 CO-SCR Duct</v>
      </c>
      <c r="D131" s="25" t="s">
        <v>441</v>
      </c>
      <c r="E131" s="25" t="s">
        <v>442</v>
      </c>
      <c r="F131" s="25"/>
      <c r="G131" s="65">
        <v>46204</v>
      </c>
      <c r="H131" s="25" t="s">
        <v>443</v>
      </c>
      <c r="I131" s="25" t="s">
        <v>444</v>
      </c>
      <c r="J131" s="26" t="s">
        <v>447</v>
      </c>
      <c r="K131" s="27" t="s">
        <v>336</v>
      </c>
      <c r="L131" s="28" t="s">
        <v>337</v>
      </c>
      <c r="M131" s="28" t="s">
        <v>314</v>
      </c>
      <c r="N131" s="25">
        <v>6</v>
      </c>
      <c r="O131" s="29">
        <v>536.54999999999995</v>
      </c>
      <c r="P131" s="29">
        <v>3219.2999999999997</v>
      </c>
      <c r="Q131" s="25" t="s">
        <v>433</v>
      </c>
      <c r="R131" s="25"/>
      <c r="S131" s="26" t="s">
        <v>355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3219.2999999999997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440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439</v>
      </c>
      <c r="C132" s="25" t="str">
        <f t="shared" si="18"/>
        <v>Shipment 2 CO-SCR Duct</v>
      </c>
      <c r="D132" s="25" t="s">
        <v>441</v>
      </c>
      <c r="E132" s="25" t="s">
        <v>442</v>
      </c>
      <c r="F132" s="25"/>
      <c r="G132" s="65">
        <v>46204</v>
      </c>
      <c r="H132" s="25" t="s">
        <v>443</v>
      </c>
      <c r="I132" s="25" t="s">
        <v>444</v>
      </c>
      <c r="J132" s="26" t="s">
        <v>447</v>
      </c>
      <c r="K132" s="27" t="s">
        <v>338</v>
      </c>
      <c r="L132" s="28" t="s">
        <v>339</v>
      </c>
      <c r="M132" s="28" t="s">
        <v>325</v>
      </c>
      <c r="N132" s="25">
        <v>1</v>
      </c>
      <c r="O132" s="29">
        <v>3.6</v>
      </c>
      <c r="P132" s="29">
        <v>3.6</v>
      </c>
      <c r="Q132" s="25" t="s">
        <v>434</v>
      </c>
      <c r="R132" s="25"/>
      <c r="S132" s="26" t="s">
        <v>355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3.6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440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439</v>
      </c>
      <c r="C133" s="25" t="str">
        <f t="shared" si="18"/>
        <v>Shipment 2 CO-SCR Duct</v>
      </c>
      <c r="D133" s="25" t="s">
        <v>441</v>
      </c>
      <c r="E133" s="25" t="s">
        <v>442</v>
      </c>
      <c r="F133" s="25"/>
      <c r="G133" s="65">
        <v>46204</v>
      </c>
      <c r="H133" s="25" t="s">
        <v>443</v>
      </c>
      <c r="I133" s="25" t="s">
        <v>444</v>
      </c>
      <c r="J133" s="26" t="s">
        <v>447</v>
      </c>
      <c r="K133" s="27" t="s">
        <v>340</v>
      </c>
      <c r="L133" s="28" t="s">
        <v>341</v>
      </c>
      <c r="M133" s="28" t="s">
        <v>325</v>
      </c>
      <c r="N133" s="25">
        <v>7</v>
      </c>
      <c r="O133" s="29">
        <v>4.7142857142857144</v>
      </c>
      <c r="P133" s="29">
        <v>33</v>
      </c>
      <c r="Q133" s="25" t="s">
        <v>435</v>
      </c>
      <c r="R133" s="25"/>
      <c r="S133" s="26" t="s">
        <v>355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33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440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439</v>
      </c>
      <c r="C134" s="25" t="str">
        <f t="shared" si="18"/>
        <v>Shipment 2 CO-SCR Duct</v>
      </c>
      <c r="D134" s="25" t="s">
        <v>441</v>
      </c>
      <c r="E134" s="25" t="s">
        <v>442</v>
      </c>
      <c r="F134" s="25"/>
      <c r="G134" s="65">
        <v>46204</v>
      </c>
      <c r="H134" s="25" t="s">
        <v>443</v>
      </c>
      <c r="I134" s="25" t="s">
        <v>444</v>
      </c>
      <c r="J134" s="26" t="s">
        <v>447</v>
      </c>
      <c r="K134" s="27" t="s">
        <v>342</v>
      </c>
      <c r="L134" s="28" t="s">
        <v>343</v>
      </c>
      <c r="M134" s="28" t="s">
        <v>325</v>
      </c>
      <c r="N134" s="25">
        <v>1</v>
      </c>
      <c r="O134" s="29">
        <v>3.4</v>
      </c>
      <c r="P134" s="29">
        <v>3.4</v>
      </c>
      <c r="Q134" s="25" t="s">
        <v>436</v>
      </c>
      <c r="R134" s="25"/>
      <c r="S134" s="26" t="s">
        <v>355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3.4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440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439</v>
      </c>
      <c r="C135" s="25" t="str">
        <f t="shared" si="18"/>
        <v>Shipment 2 CO-SCR Duct</v>
      </c>
      <c r="D135" s="25" t="s">
        <v>441</v>
      </c>
      <c r="E135" s="25" t="s">
        <v>442</v>
      </c>
      <c r="F135" s="25"/>
      <c r="G135" s="65">
        <v>46204</v>
      </c>
      <c r="H135" s="25" t="s">
        <v>443</v>
      </c>
      <c r="I135" s="25" t="s">
        <v>444</v>
      </c>
      <c r="J135" s="26" t="s">
        <v>447</v>
      </c>
      <c r="K135" s="27" t="s">
        <v>344</v>
      </c>
      <c r="L135" s="28" t="s">
        <v>345</v>
      </c>
      <c r="M135" s="28" t="s">
        <v>325</v>
      </c>
      <c r="N135" s="25">
        <v>16</v>
      </c>
      <c r="O135" s="29">
        <v>173.1875</v>
      </c>
      <c r="P135" s="29">
        <v>2771</v>
      </c>
      <c r="Q135" s="25" t="s">
        <v>437</v>
      </c>
      <c r="R135" s="25"/>
      <c r="S135" s="26" t="s">
        <v>355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2771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440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439</v>
      </c>
      <c r="C136" s="25" t="str">
        <f t="shared" si="18"/>
        <v>Shipment 2 CO-SCR Duct</v>
      </c>
      <c r="D136" s="25" t="s">
        <v>441</v>
      </c>
      <c r="E136" s="25" t="s">
        <v>442</v>
      </c>
      <c r="F136" s="25"/>
      <c r="G136" s="65">
        <v>46204</v>
      </c>
      <c r="H136" s="25" t="s">
        <v>443</v>
      </c>
      <c r="I136" s="25" t="s">
        <v>444</v>
      </c>
      <c r="J136" s="26" t="s">
        <v>447</v>
      </c>
      <c r="K136" s="27" t="s">
        <v>346</v>
      </c>
      <c r="L136" s="28" t="s">
        <v>347</v>
      </c>
      <c r="M136" s="28" t="s">
        <v>295</v>
      </c>
      <c r="N136" s="25">
        <v>1</v>
      </c>
      <c r="O136" s="29">
        <v>2.2000000000000002</v>
      </c>
      <c r="P136" s="29">
        <v>2.2000000000000002</v>
      </c>
      <c r="Q136" s="25" t="s">
        <v>438</v>
      </c>
      <c r="R136" s="25"/>
      <c r="S136" s="26" t="s">
        <v>355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2.2000000000000002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440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439</v>
      </c>
      <c r="C137" s="25" t="str">
        <f t="shared" si="18"/>
        <v>Shipment 2 CO-SCR Duct</v>
      </c>
      <c r="D137" s="25" t="s">
        <v>441</v>
      </c>
      <c r="E137" s="25" t="s">
        <v>442</v>
      </c>
      <c r="F137" s="25"/>
      <c r="G137" s="65">
        <v>46204</v>
      </c>
      <c r="H137" s="25" t="s">
        <v>443</v>
      </c>
      <c r="I137" s="25" t="s">
        <v>444</v>
      </c>
      <c r="J137" s="26" t="s">
        <v>447</v>
      </c>
      <c r="K137" s="27" t="s">
        <v>348</v>
      </c>
      <c r="L137" s="28" t="s">
        <v>349</v>
      </c>
      <c r="M137" s="28" t="s">
        <v>302</v>
      </c>
      <c r="N137" s="25">
        <v>1</v>
      </c>
      <c r="O137" s="29">
        <v>2.2000000000000002</v>
      </c>
      <c r="P137" s="29">
        <v>2.2000000000000002</v>
      </c>
      <c r="Q137" s="25" t="s">
        <v>438</v>
      </c>
      <c r="R137" s="25"/>
      <c r="S137" s="26" t="s">
        <v>355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2.2000000000000002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440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439</v>
      </c>
      <c r="C138" s="25" t="str">
        <f t="shared" ref="C138" si="28">D138&amp;" "&amp;E138</f>
        <v>Shipment 2 Outlet Stack</v>
      </c>
      <c r="D138" s="25" t="s">
        <v>441</v>
      </c>
      <c r="E138" s="25" t="s">
        <v>775</v>
      </c>
      <c r="F138" s="25"/>
      <c r="G138" s="65">
        <v>46204</v>
      </c>
      <c r="H138" s="25" t="s">
        <v>443</v>
      </c>
      <c r="I138" s="25" t="s">
        <v>444</v>
      </c>
      <c r="J138" s="26" t="s">
        <v>447</v>
      </c>
      <c r="K138" s="27" t="s">
        <v>448</v>
      </c>
      <c r="L138" s="28" t="s">
        <v>449</v>
      </c>
      <c r="M138" s="28" t="s">
        <v>450</v>
      </c>
      <c r="N138" s="25">
        <v>1</v>
      </c>
      <c r="O138" s="29">
        <v>1141.0999999999999</v>
      </c>
      <c r="P138" s="29">
        <v>1141.0999999999999</v>
      </c>
      <c r="Q138" s="25" t="s">
        <v>708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143" si="29">+AL138*0.5+AO138*0.4+AV138*0.1</f>
        <v>0</v>
      </c>
      <c r="AF138" s="32">
        <f t="shared" ref="AF138:AF143" si="30">+P138-AE138</f>
        <v>1141.0999999999999</v>
      </c>
      <c r="AG138" s="30"/>
      <c r="AH138" s="33"/>
      <c r="AI138" s="34">
        <f t="shared" ref="AI138:AI143" si="31">+AH138*P138</f>
        <v>0</v>
      </c>
      <c r="AJ138" s="35"/>
      <c r="AK138" s="30"/>
      <c r="AL138" s="36">
        <f t="shared" ref="AL138:AL143" si="32">IFERROR(AK138*$P138/$N138,0)</f>
        <v>0</v>
      </c>
      <c r="AM138" s="35"/>
      <c r="AN138" s="30"/>
      <c r="AO138" s="36">
        <f t="shared" ref="AO138:AO143" si="33">IFERROR(AN138*$P138/$N138,0)</f>
        <v>0</v>
      </c>
      <c r="AP138" s="35"/>
      <c r="AQ138" s="30"/>
      <c r="AR138" s="36">
        <f t="shared" ref="AR138:AR143" si="34">IFERROR(AQ138*$P138/$N138,0)</f>
        <v>0</v>
      </c>
      <c r="AS138" s="27"/>
      <c r="AT138" s="37"/>
      <c r="AU138" s="30"/>
      <c r="AV138" s="36">
        <f t="shared" ref="AV138:AV143" si="35">IFERROR(AU138*$P138/$N138,0)</f>
        <v>0</v>
      </c>
      <c r="AW138" s="35"/>
      <c r="AX138" s="30"/>
      <c r="AY138" s="32">
        <f t="shared" ref="AY138:AY143" si="36">IFERROR(AX138*$P138/$N138,0)</f>
        <v>0</v>
      </c>
      <c r="AZ138" s="30" t="s">
        <v>440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439</v>
      </c>
      <c r="C139" s="25" t="str">
        <f t="shared" ref="C139:C202" si="37">D139&amp;" "&amp;E139</f>
        <v>Shipment 2 Outlet Stack</v>
      </c>
      <c r="D139" s="25" t="s">
        <v>441</v>
      </c>
      <c r="E139" s="25" t="s">
        <v>775</v>
      </c>
      <c r="F139" s="25"/>
      <c r="G139" s="65">
        <v>46204</v>
      </c>
      <c r="H139" s="25" t="s">
        <v>443</v>
      </c>
      <c r="I139" s="25" t="s">
        <v>444</v>
      </c>
      <c r="J139" s="26" t="s">
        <v>447</v>
      </c>
      <c r="K139" s="27" t="s">
        <v>451</v>
      </c>
      <c r="L139" s="28" t="s">
        <v>452</v>
      </c>
      <c r="M139" s="28" t="s">
        <v>450</v>
      </c>
      <c r="N139" s="25">
        <v>4</v>
      </c>
      <c r="O139" s="29">
        <v>1110.9000000000001</v>
      </c>
      <c r="P139" s="29">
        <v>4443.8</v>
      </c>
      <c r="Q139" s="25" t="s">
        <v>709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4443.8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440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439</v>
      </c>
      <c r="C140" s="25" t="str">
        <f t="shared" si="37"/>
        <v>Shipment 2 Outlet Stack</v>
      </c>
      <c r="D140" s="25" t="s">
        <v>441</v>
      </c>
      <c r="E140" s="25" t="s">
        <v>775</v>
      </c>
      <c r="F140" s="25"/>
      <c r="G140" s="65">
        <v>46204</v>
      </c>
      <c r="H140" s="25" t="s">
        <v>443</v>
      </c>
      <c r="I140" s="25" t="s">
        <v>444</v>
      </c>
      <c r="J140" s="26" t="s">
        <v>447</v>
      </c>
      <c r="K140" s="27" t="s">
        <v>453</v>
      </c>
      <c r="L140" s="28" t="s">
        <v>454</v>
      </c>
      <c r="M140" s="28" t="s">
        <v>450</v>
      </c>
      <c r="N140" s="25">
        <v>1</v>
      </c>
      <c r="O140" s="29">
        <v>1141.0999999999999</v>
      </c>
      <c r="P140" s="29">
        <v>1141.0999999999999</v>
      </c>
      <c r="Q140" s="25" t="s">
        <v>708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1141.0999999999999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440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439</v>
      </c>
      <c r="C141" s="25" t="str">
        <f t="shared" si="37"/>
        <v>Shipment 2 Outlet Stack</v>
      </c>
      <c r="D141" s="25" t="s">
        <v>441</v>
      </c>
      <c r="E141" s="25" t="s">
        <v>775</v>
      </c>
      <c r="F141" s="25"/>
      <c r="G141" s="65">
        <v>46204</v>
      </c>
      <c r="H141" s="25" t="s">
        <v>443</v>
      </c>
      <c r="I141" s="25" t="s">
        <v>444</v>
      </c>
      <c r="J141" s="26" t="s">
        <v>447</v>
      </c>
      <c r="K141" s="27" t="s">
        <v>455</v>
      </c>
      <c r="L141" s="28" t="s">
        <v>456</v>
      </c>
      <c r="M141" s="28" t="s">
        <v>457</v>
      </c>
      <c r="N141" s="25">
        <v>1</v>
      </c>
      <c r="O141" s="29">
        <v>45</v>
      </c>
      <c r="P141" s="29">
        <v>45</v>
      </c>
      <c r="Q141" s="25" t="s">
        <v>710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0</v>
      </c>
      <c r="AF141" s="32">
        <f t="shared" si="30"/>
        <v>45</v>
      </c>
      <c r="AG141" s="30"/>
      <c r="AH141" s="33"/>
      <c r="AI141" s="34">
        <f t="shared" si="31"/>
        <v>0</v>
      </c>
      <c r="AJ141" s="35"/>
      <c r="AK141" s="30"/>
      <c r="AL141" s="36">
        <f t="shared" si="32"/>
        <v>0</v>
      </c>
      <c r="AM141" s="35"/>
      <c r="AN141" s="30"/>
      <c r="AO141" s="36">
        <f t="shared" si="33"/>
        <v>0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440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439</v>
      </c>
      <c r="C142" s="25" t="str">
        <f t="shared" si="37"/>
        <v>Shipment 2 Outlet Stack</v>
      </c>
      <c r="D142" s="25" t="s">
        <v>441</v>
      </c>
      <c r="E142" s="25" t="s">
        <v>775</v>
      </c>
      <c r="F142" s="25"/>
      <c r="G142" s="65">
        <v>46204</v>
      </c>
      <c r="H142" s="25" t="s">
        <v>443</v>
      </c>
      <c r="I142" s="25" t="s">
        <v>444</v>
      </c>
      <c r="J142" s="26" t="s">
        <v>447</v>
      </c>
      <c r="K142" s="27" t="s">
        <v>458</v>
      </c>
      <c r="L142" s="28" t="s">
        <v>459</v>
      </c>
      <c r="M142" s="28" t="s">
        <v>457</v>
      </c>
      <c r="N142" s="25">
        <v>1</v>
      </c>
      <c r="O142" s="29">
        <v>41.5</v>
      </c>
      <c r="P142" s="29">
        <v>41.5</v>
      </c>
      <c r="Q142" s="25" t="s">
        <v>711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0</v>
      </c>
      <c r="AF142" s="32">
        <f t="shared" si="30"/>
        <v>41.5</v>
      </c>
      <c r="AG142" s="30"/>
      <c r="AH142" s="33"/>
      <c r="AI142" s="34">
        <f t="shared" si="31"/>
        <v>0</v>
      </c>
      <c r="AJ142" s="35"/>
      <c r="AK142" s="30"/>
      <c r="AL142" s="36">
        <f t="shared" si="32"/>
        <v>0</v>
      </c>
      <c r="AM142" s="35"/>
      <c r="AN142" s="30"/>
      <c r="AO142" s="36">
        <f t="shared" si="33"/>
        <v>0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440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439</v>
      </c>
      <c r="C143" s="25" t="str">
        <f t="shared" si="37"/>
        <v>Shipment 2 Outlet Stack</v>
      </c>
      <c r="D143" s="25" t="s">
        <v>441</v>
      </c>
      <c r="E143" s="25" t="s">
        <v>775</v>
      </c>
      <c r="F143" s="25"/>
      <c r="G143" s="65">
        <v>46204</v>
      </c>
      <c r="H143" s="25" t="s">
        <v>443</v>
      </c>
      <c r="I143" s="25" t="s">
        <v>444</v>
      </c>
      <c r="J143" s="26" t="s">
        <v>447</v>
      </c>
      <c r="K143" s="27" t="s">
        <v>460</v>
      </c>
      <c r="L143" s="28" t="s">
        <v>461</v>
      </c>
      <c r="M143" s="28" t="s">
        <v>462</v>
      </c>
      <c r="N143" s="25">
        <v>1</v>
      </c>
      <c r="O143" s="29">
        <v>2429.1999999999998</v>
      </c>
      <c r="P143" s="29">
        <v>2429.1999999999998</v>
      </c>
      <c r="Q143" s="25" t="s">
        <v>712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0</v>
      </c>
      <c r="AF143" s="32">
        <f t="shared" si="30"/>
        <v>2429.1999999999998</v>
      </c>
      <c r="AG143" s="30"/>
      <c r="AH143" s="33"/>
      <c r="AI143" s="34">
        <f t="shared" si="31"/>
        <v>0</v>
      </c>
      <c r="AJ143" s="35"/>
      <c r="AK143" s="30"/>
      <c r="AL143" s="36">
        <f t="shared" si="32"/>
        <v>0</v>
      </c>
      <c r="AM143" s="35"/>
      <c r="AN143" s="30"/>
      <c r="AO143" s="36">
        <f t="shared" si="33"/>
        <v>0</v>
      </c>
      <c r="AP143" s="35"/>
      <c r="AQ143" s="30"/>
      <c r="AR143" s="36">
        <f t="shared" si="34"/>
        <v>0</v>
      </c>
      <c r="AS143" s="27"/>
      <c r="AT143" s="37"/>
      <c r="AU143" s="30"/>
      <c r="AV143" s="36">
        <f t="shared" si="35"/>
        <v>0</v>
      </c>
      <c r="AW143" s="35"/>
      <c r="AX143" s="30"/>
      <c r="AY143" s="32">
        <f t="shared" si="36"/>
        <v>0</v>
      </c>
      <c r="AZ143" s="30" t="s">
        <v>440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439</v>
      </c>
      <c r="C144" s="25" t="str">
        <f t="shared" si="37"/>
        <v>Shipment 2 Outlet Stack</v>
      </c>
      <c r="D144" s="25" t="s">
        <v>441</v>
      </c>
      <c r="E144" s="25" t="s">
        <v>775</v>
      </c>
      <c r="F144" s="25"/>
      <c r="G144" s="65">
        <v>46204</v>
      </c>
      <c r="H144" s="25" t="s">
        <v>443</v>
      </c>
      <c r="I144" s="25" t="s">
        <v>444</v>
      </c>
      <c r="J144" s="26" t="s">
        <v>447</v>
      </c>
      <c r="K144" s="27" t="s">
        <v>463</v>
      </c>
      <c r="L144" s="28" t="s">
        <v>464</v>
      </c>
      <c r="M144" s="28" t="s">
        <v>465</v>
      </c>
      <c r="N144" s="25">
        <v>5</v>
      </c>
      <c r="O144" s="29">
        <v>7.4</v>
      </c>
      <c r="P144" s="29">
        <v>37</v>
      </c>
      <c r="Q144" s="25" t="s">
        <v>713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ref="AE144:AE207" si="38">+AL144*0.5+AO144*0.4+AV144*0.1</f>
        <v>0</v>
      </c>
      <c r="AF144" s="32">
        <f t="shared" ref="AF144:AF207" si="39">+P144-AE144</f>
        <v>37</v>
      </c>
      <c r="AG144" s="30"/>
      <c r="AH144" s="33"/>
      <c r="AI144" s="34">
        <f t="shared" ref="AI144:AI207" si="40">+AH144*P144</f>
        <v>0</v>
      </c>
      <c r="AJ144" s="35"/>
      <c r="AK144" s="30"/>
      <c r="AL144" s="36">
        <f t="shared" ref="AL144:AL207" si="41">IFERROR(AK144*$P144/$N144,0)</f>
        <v>0</v>
      </c>
      <c r="AM144" s="35"/>
      <c r="AN144" s="30"/>
      <c r="AO144" s="36">
        <f t="shared" ref="AO144:AO207" si="42">IFERROR(AN144*$P144/$N144,0)</f>
        <v>0</v>
      </c>
      <c r="AP144" s="35"/>
      <c r="AQ144" s="30"/>
      <c r="AR144" s="36">
        <f t="shared" ref="AR144:AR207" si="43">IFERROR(AQ144*$P144/$N144,0)</f>
        <v>0</v>
      </c>
      <c r="AS144" s="27"/>
      <c r="AT144" s="37"/>
      <c r="AU144" s="30"/>
      <c r="AV144" s="36">
        <f t="shared" ref="AV144:AV207" si="44">IFERROR(AU144*$P144/$N144,0)</f>
        <v>0</v>
      </c>
      <c r="AW144" s="35"/>
      <c r="AX144" s="30"/>
      <c r="AY144" s="32">
        <f t="shared" ref="AY144:AY207" si="45">IFERROR(AX144*$P144/$N144,0)</f>
        <v>0</v>
      </c>
      <c r="AZ144" s="30" t="s">
        <v>440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439</v>
      </c>
      <c r="C145" s="25" t="str">
        <f t="shared" si="37"/>
        <v>Shipment 2 Outlet Stack</v>
      </c>
      <c r="D145" s="25" t="s">
        <v>441</v>
      </c>
      <c r="E145" s="25" t="s">
        <v>775</v>
      </c>
      <c r="F145" s="25"/>
      <c r="G145" s="65">
        <v>46204</v>
      </c>
      <c r="H145" s="25" t="s">
        <v>443</v>
      </c>
      <c r="I145" s="25" t="s">
        <v>444</v>
      </c>
      <c r="J145" s="26" t="s">
        <v>447</v>
      </c>
      <c r="K145" s="27" t="s">
        <v>466</v>
      </c>
      <c r="L145" s="28" t="s">
        <v>467</v>
      </c>
      <c r="M145" s="28" t="s">
        <v>465</v>
      </c>
      <c r="N145" s="25">
        <v>2</v>
      </c>
      <c r="O145" s="29">
        <v>7.2</v>
      </c>
      <c r="P145" s="29">
        <v>14.3</v>
      </c>
      <c r="Q145" s="25" t="s">
        <v>713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8"/>
        <v>0</v>
      </c>
      <c r="AF145" s="32">
        <f t="shared" si="39"/>
        <v>14.3</v>
      </c>
      <c r="AG145" s="30"/>
      <c r="AH145" s="33"/>
      <c r="AI145" s="34">
        <f t="shared" si="40"/>
        <v>0</v>
      </c>
      <c r="AJ145" s="35"/>
      <c r="AK145" s="30"/>
      <c r="AL145" s="36">
        <f t="shared" si="41"/>
        <v>0</v>
      </c>
      <c r="AM145" s="35"/>
      <c r="AN145" s="30"/>
      <c r="AO145" s="36">
        <f t="shared" si="42"/>
        <v>0</v>
      </c>
      <c r="AP145" s="35"/>
      <c r="AQ145" s="30"/>
      <c r="AR145" s="36">
        <f t="shared" si="43"/>
        <v>0</v>
      </c>
      <c r="AS145" s="27"/>
      <c r="AT145" s="37"/>
      <c r="AU145" s="30"/>
      <c r="AV145" s="36">
        <f t="shared" si="44"/>
        <v>0</v>
      </c>
      <c r="AW145" s="35"/>
      <c r="AX145" s="30"/>
      <c r="AY145" s="32">
        <f t="shared" si="45"/>
        <v>0</v>
      </c>
      <c r="AZ145" s="30" t="s">
        <v>440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439</v>
      </c>
      <c r="C146" s="25" t="str">
        <f t="shared" si="37"/>
        <v>Shipment 2 Outlet Stack</v>
      </c>
      <c r="D146" s="25" t="s">
        <v>441</v>
      </c>
      <c r="E146" s="25" t="s">
        <v>775</v>
      </c>
      <c r="F146" s="25"/>
      <c r="G146" s="65">
        <v>46204</v>
      </c>
      <c r="H146" s="25" t="s">
        <v>443</v>
      </c>
      <c r="I146" s="25" t="s">
        <v>444</v>
      </c>
      <c r="J146" s="26" t="s">
        <v>447</v>
      </c>
      <c r="K146" s="27" t="s">
        <v>468</v>
      </c>
      <c r="L146" s="28" t="s">
        <v>469</v>
      </c>
      <c r="M146" s="28" t="s">
        <v>465</v>
      </c>
      <c r="N146" s="25">
        <v>2</v>
      </c>
      <c r="O146" s="29">
        <v>7.3</v>
      </c>
      <c r="P146" s="29">
        <v>14.5</v>
      </c>
      <c r="Q146" s="25" t="s">
        <v>714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8"/>
        <v>0</v>
      </c>
      <c r="AF146" s="32">
        <f t="shared" si="39"/>
        <v>14.5</v>
      </c>
      <c r="AG146" s="30"/>
      <c r="AH146" s="33"/>
      <c r="AI146" s="34">
        <f t="shared" si="40"/>
        <v>0</v>
      </c>
      <c r="AJ146" s="35"/>
      <c r="AK146" s="30"/>
      <c r="AL146" s="36">
        <f t="shared" si="41"/>
        <v>0</v>
      </c>
      <c r="AM146" s="35"/>
      <c r="AN146" s="30"/>
      <c r="AO146" s="36">
        <f t="shared" si="42"/>
        <v>0</v>
      </c>
      <c r="AP146" s="35"/>
      <c r="AQ146" s="30"/>
      <c r="AR146" s="36">
        <f t="shared" si="43"/>
        <v>0</v>
      </c>
      <c r="AS146" s="27"/>
      <c r="AT146" s="37"/>
      <c r="AU146" s="30"/>
      <c r="AV146" s="36">
        <f t="shared" si="44"/>
        <v>0</v>
      </c>
      <c r="AW146" s="35"/>
      <c r="AX146" s="30"/>
      <c r="AY146" s="32">
        <f t="shared" si="45"/>
        <v>0</v>
      </c>
      <c r="AZ146" s="30" t="s">
        <v>440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439</v>
      </c>
      <c r="C147" s="25" t="str">
        <f t="shared" si="37"/>
        <v>Shipment 2 Outlet Stack</v>
      </c>
      <c r="D147" s="25" t="s">
        <v>441</v>
      </c>
      <c r="E147" s="25" t="s">
        <v>775</v>
      </c>
      <c r="F147" s="25"/>
      <c r="G147" s="65">
        <v>46204</v>
      </c>
      <c r="H147" s="25" t="s">
        <v>443</v>
      </c>
      <c r="I147" s="25" t="s">
        <v>444</v>
      </c>
      <c r="J147" s="26" t="s">
        <v>447</v>
      </c>
      <c r="K147" s="27" t="s">
        <v>470</v>
      </c>
      <c r="L147" s="28" t="s">
        <v>471</v>
      </c>
      <c r="M147" s="28" t="s">
        <v>465</v>
      </c>
      <c r="N147" s="25">
        <v>8</v>
      </c>
      <c r="O147" s="29">
        <v>7.4</v>
      </c>
      <c r="P147" s="29">
        <v>59.1</v>
      </c>
      <c r="Q147" s="25" t="s">
        <v>713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8"/>
        <v>0</v>
      </c>
      <c r="AF147" s="32">
        <f t="shared" si="39"/>
        <v>59.1</v>
      </c>
      <c r="AG147" s="30"/>
      <c r="AH147" s="33"/>
      <c r="AI147" s="34">
        <f t="shared" si="40"/>
        <v>0</v>
      </c>
      <c r="AJ147" s="35"/>
      <c r="AK147" s="30"/>
      <c r="AL147" s="36">
        <f t="shared" si="41"/>
        <v>0</v>
      </c>
      <c r="AM147" s="35"/>
      <c r="AN147" s="30"/>
      <c r="AO147" s="36">
        <f t="shared" si="42"/>
        <v>0</v>
      </c>
      <c r="AP147" s="35"/>
      <c r="AQ147" s="30"/>
      <c r="AR147" s="36">
        <f t="shared" si="43"/>
        <v>0</v>
      </c>
      <c r="AS147" s="27"/>
      <c r="AT147" s="37"/>
      <c r="AU147" s="30"/>
      <c r="AV147" s="36">
        <f t="shared" si="44"/>
        <v>0</v>
      </c>
      <c r="AW147" s="35"/>
      <c r="AX147" s="30"/>
      <c r="AY147" s="32">
        <f t="shared" si="45"/>
        <v>0</v>
      </c>
      <c r="AZ147" s="30" t="s">
        <v>440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439</v>
      </c>
      <c r="C148" s="25" t="str">
        <f t="shared" si="37"/>
        <v>Shipment 2 Outlet Stack</v>
      </c>
      <c r="D148" s="25" t="s">
        <v>441</v>
      </c>
      <c r="E148" s="25" t="s">
        <v>775</v>
      </c>
      <c r="F148" s="25"/>
      <c r="G148" s="65">
        <v>46204</v>
      </c>
      <c r="H148" s="25" t="s">
        <v>443</v>
      </c>
      <c r="I148" s="25" t="s">
        <v>444</v>
      </c>
      <c r="J148" s="26" t="s">
        <v>447</v>
      </c>
      <c r="K148" s="27" t="s">
        <v>472</v>
      </c>
      <c r="L148" s="28" t="s">
        <v>473</v>
      </c>
      <c r="M148" s="28" t="s">
        <v>465</v>
      </c>
      <c r="N148" s="25">
        <v>2</v>
      </c>
      <c r="O148" s="29">
        <v>7.2</v>
      </c>
      <c r="P148" s="29">
        <v>14.4</v>
      </c>
      <c r="Q148" s="25" t="s">
        <v>713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8"/>
        <v>0</v>
      </c>
      <c r="AF148" s="32">
        <f t="shared" si="39"/>
        <v>14.4</v>
      </c>
      <c r="AG148" s="30"/>
      <c r="AH148" s="33"/>
      <c r="AI148" s="34">
        <f t="shared" si="40"/>
        <v>0</v>
      </c>
      <c r="AJ148" s="35"/>
      <c r="AK148" s="30"/>
      <c r="AL148" s="36">
        <f t="shared" si="41"/>
        <v>0</v>
      </c>
      <c r="AM148" s="35"/>
      <c r="AN148" s="30"/>
      <c r="AO148" s="36">
        <f t="shared" si="42"/>
        <v>0</v>
      </c>
      <c r="AP148" s="35"/>
      <c r="AQ148" s="30"/>
      <c r="AR148" s="36">
        <f t="shared" si="43"/>
        <v>0</v>
      </c>
      <c r="AS148" s="27"/>
      <c r="AT148" s="37"/>
      <c r="AU148" s="30"/>
      <c r="AV148" s="36">
        <f t="shared" si="44"/>
        <v>0</v>
      </c>
      <c r="AW148" s="35"/>
      <c r="AX148" s="30"/>
      <c r="AY148" s="32">
        <f t="shared" si="45"/>
        <v>0</v>
      </c>
      <c r="AZ148" s="30" t="s">
        <v>440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439</v>
      </c>
      <c r="C149" s="25" t="str">
        <f t="shared" si="37"/>
        <v>Shipment 2 Outlet Stack</v>
      </c>
      <c r="D149" s="25" t="s">
        <v>441</v>
      </c>
      <c r="E149" s="25" t="s">
        <v>775</v>
      </c>
      <c r="F149" s="25"/>
      <c r="G149" s="65">
        <v>46204</v>
      </c>
      <c r="H149" s="25" t="s">
        <v>443</v>
      </c>
      <c r="I149" s="25" t="s">
        <v>444</v>
      </c>
      <c r="J149" s="26" t="s">
        <v>447</v>
      </c>
      <c r="K149" s="27" t="s">
        <v>474</v>
      </c>
      <c r="L149" s="28" t="s">
        <v>475</v>
      </c>
      <c r="M149" s="28" t="s">
        <v>465</v>
      </c>
      <c r="N149" s="25">
        <v>1</v>
      </c>
      <c r="O149" s="29">
        <v>7.1</v>
      </c>
      <c r="P149" s="29">
        <v>7.1</v>
      </c>
      <c r="Q149" s="25" t="s">
        <v>713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8"/>
        <v>0</v>
      </c>
      <c r="AF149" s="32">
        <f t="shared" si="39"/>
        <v>7.1</v>
      </c>
      <c r="AG149" s="30"/>
      <c r="AH149" s="33"/>
      <c r="AI149" s="34">
        <f t="shared" si="40"/>
        <v>0</v>
      </c>
      <c r="AJ149" s="35"/>
      <c r="AK149" s="30"/>
      <c r="AL149" s="36">
        <f t="shared" si="41"/>
        <v>0</v>
      </c>
      <c r="AM149" s="35"/>
      <c r="AN149" s="30"/>
      <c r="AO149" s="36">
        <f t="shared" si="42"/>
        <v>0</v>
      </c>
      <c r="AP149" s="35"/>
      <c r="AQ149" s="30"/>
      <c r="AR149" s="36">
        <f t="shared" si="43"/>
        <v>0</v>
      </c>
      <c r="AS149" s="27"/>
      <c r="AT149" s="37"/>
      <c r="AU149" s="30"/>
      <c r="AV149" s="36">
        <f t="shared" si="44"/>
        <v>0</v>
      </c>
      <c r="AW149" s="35"/>
      <c r="AX149" s="30"/>
      <c r="AY149" s="32">
        <f t="shared" si="45"/>
        <v>0</v>
      </c>
      <c r="AZ149" s="30" t="s">
        <v>440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439</v>
      </c>
      <c r="C150" s="25" t="str">
        <f t="shared" si="37"/>
        <v>Shipment 2 Outlet Stack</v>
      </c>
      <c r="D150" s="25" t="s">
        <v>441</v>
      </c>
      <c r="E150" s="25" t="s">
        <v>775</v>
      </c>
      <c r="F150" s="25"/>
      <c r="G150" s="65">
        <v>46204</v>
      </c>
      <c r="H150" s="25" t="s">
        <v>443</v>
      </c>
      <c r="I150" s="25" t="s">
        <v>444</v>
      </c>
      <c r="J150" s="26" t="s">
        <v>447</v>
      </c>
      <c r="K150" s="27" t="s">
        <v>476</v>
      </c>
      <c r="L150" s="28" t="s">
        <v>477</v>
      </c>
      <c r="M150" s="28" t="s">
        <v>465</v>
      </c>
      <c r="N150" s="25">
        <v>4</v>
      </c>
      <c r="O150" s="29">
        <v>6.9</v>
      </c>
      <c r="P150" s="29">
        <v>27.7</v>
      </c>
      <c r="Q150" s="25" t="s">
        <v>715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8"/>
        <v>0</v>
      </c>
      <c r="AF150" s="32">
        <f t="shared" si="39"/>
        <v>27.7</v>
      </c>
      <c r="AG150" s="30"/>
      <c r="AH150" s="33"/>
      <c r="AI150" s="34">
        <f t="shared" si="40"/>
        <v>0</v>
      </c>
      <c r="AJ150" s="35"/>
      <c r="AK150" s="30"/>
      <c r="AL150" s="36">
        <f t="shared" si="41"/>
        <v>0</v>
      </c>
      <c r="AM150" s="35"/>
      <c r="AN150" s="30"/>
      <c r="AO150" s="36">
        <f t="shared" si="42"/>
        <v>0</v>
      </c>
      <c r="AP150" s="35"/>
      <c r="AQ150" s="30"/>
      <c r="AR150" s="36">
        <f t="shared" si="43"/>
        <v>0</v>
      </c>
      <c r="AS150" s="27"/>
      <c r="AT150" s="37"/>
      <c r="AU150" s="30"/>
      <c r="AV150" s="36">
        <f t="shared" si="44"/>
        <v>0</v>
      </c>
      <c r="AW150" s="35"/>
      <c r="AX150" s="30"/>
      <c r="AY150" s="32">
        <f t="shared" si="45"/>
        <v>0</v>
      </c>
      <c r="AZ150" s="30" t="s">
        <v>440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439</v>
      </c>
      <c r="C151" s="25" t="str">
        <f t="shared" si="37"/>
        <v>Shipment 2 Outlet Stack</v>
      </c>
      <c r="D151" s="25" t="s">
        <v>441</v>
      </c>
      <c r="E151" s="25" t="s">
        <v>775</v>
      </c>
      <c r="F151" s="25"/>
      <c r="G151" s="65">
        <v>46204</v>
      </c>
      <c r="H151" s="25" t="s">
        <v>443</v>
      </c>
      <c r="I151" s="25" t="s">
        <v>444</v>
      </c>
      <c r="J151" s="26" t="s">
        <v>447</v>
      </c>
      <c r="K151" s="27" t="s">
        <v>478</v>
      </c>
      <c r="L151" s="28" t="s">
        <v>479</v>
      </c>
      <c r="M151" s="28" t="s">
        <v>465</v>
      </c>
      <c r="N151" s="25">
        <v>10</v>
      </c>
      <c r="O151" s="29">
        <v>2.8</v>
      </c>
      <c r="P151" s="29">
        <v>27.6</v>
      </c>
      <c r="Q151" s="25" t="s">
        <v>716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8"/>
        <v>0</v>
      </c>
      <c r="AF151" s="32">
        <f t="shared" si="39"/>
        <v>27.6</v>
      </c>
      <c r="AG151" s="30"/>
      <c r="AH151" s="33"/>
      <c r="AI151" s="34">
        <f t="shared" si="40"/>
        <v>0</v>
      </c>
      <c r="AJ151" s="35"/>
      <c r="AK151" s="30"/>
      <c r="AL151" s="36">
        <f t="shared" si="41"/>
        <v>0</v>
      </c>
      <c r="AM151" s="35"/>
      <c r="AN151" s="30"/>
      <c r="AO151" s="36">
        <f t="shared" si="42"/>
        <v>0</v>
      </c>
      <c r="AP151" s="35"/>
      <c r="AQ151" s="30"/>
      <c r="AR151" s="36">
        <f t="shared" si="43"/>
        <v>0</v>
      </c>
      <c r="AS151" s="27"/>
      <c r="AT151" s="37"/>
      <c r="AU151" s="30"/>
      <c r="AV151" s="36">
        <f t="shared" si="44"/>
        <v>0</v>
      </c>
      <c r="AW151" s="35"/>
      <c r="AX151" s="30"/>
      <c r="AY151" s="32">
        <f t="shared" si="45"/>
        <v>0</v>
      </c>
      <c r="AZ151" s="30" t="s">
        <v>440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439</v>
      </c>
      <c r="C152" s="25" t="str">
        <f t="shared" si="37"/>
        <v>Shipment 2 Outlet Stack</v>
      </c>
      <c r="D152" s="25" t="s">
        <v>441</v>
      </c>
      <c r="E152" s="25" t="s">
        <v>775</v>
      </c>
      <c r="F152" s="25"/>
      <c r="G152" s="65">
        <v>46204</v>
      </c>
      <c r="H152" s="25" t="s">
        <v>443</v>
      </c>
      <c r="I152" s="25" t="s">
        <v>444</v>
      </c>
      <c r="J152" s="26" t="s">
        <v>447</v>
      </c>
      <c r="K152" s="27" t="s">
        <v>480</v>
      </c>
      <c r="L152" s="28" t="s">
        <v>481</v>
      </c>
      <c r="M152" s="28" t="s">
        <v>465</v>
      </c>
      <c r="N152" s="25">
        <v>10</v>
      </c>
      <c r="O152" s="29">
        <v>2.6</v>
      </c>
      <c r="P152" s="29">
        <v>26</v>
      </c>
      <c r="Q152" s="25" t="s">
        <v>717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8"/>
        <v>0</v>
      </c>
      <c r="AF152" s="32">
        <f t="shared" si="39"/>
        <v>26</v>
      </c>
      <c r="AG152" s="30"/>
      <c r="AH152" s="33"/>
      <c r="AI152" s="34">
        <f t="shared" si="40"/>
        <v>0</v>
      </c>
      <c r="AJ152" s="35"/>
      <c r="AK152" s="30"/>
      <c r="AL152" s="36">
        <f t="shared" si="41"/>
        <v>0</v>
      </c>
      <c r="AM152" s="35"/>
      <c r="AN152" s="30"/>
      <c r="AO152" s="36">
        <f t="shared" si="42"/>
        <v>0</v>
      </c>
      <c r="AP152" s="35"/>
      <c r="AQ152" s="30"/>
      <c r="AR152" s="36">
        <f t="shared" si="43"/>
        <v>0</v>
      </c>
      <c r="AS152" s="27"/>
      <c r="AT152" s="37"/>
      <c r="AU152" s="30"/>
      <c r="AV152" s="36">
        <f t="shared" si="44"/>
        <v>0</v>
      </c>
      <c r="AW152" s="35"/>
      <c r="AX152" s="30"/>
      <c r="AY152" s="32">
        <f t="shared" si="45"/>
        <v>0</v>
      </c>
      <c r="AZ152" s="30" t="s">
        <v>440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439</v>
      </c>
      <c r="C153" s="25" t="str">
        <f t="shared" si="37"/>
        <v>Shipment 2 Outlet Stack</v>
      </c>
      <c r="D153" s="25" t="s">
        <v>441</v>
      </c>
      <c r="E153" s="25" t="s">
        <v>775</v>
      </c>
      <c r="F153" s="25"/>
      <c r="G153" s="65">
        <v>46204</v>
      </c>
      <c r="H153" s="25" t="s">
        <v>443</v>
      </c>
      <c r="I153" s="25" t="s">
        <v>444</v>
      </c>
      <c r="J153" s="26" t="s">
        <v>447</v>
      </c>
      <c r="K153" s="27" t="s">
        <v>482</v>
      </c>
      <c r="L153" s="28" t="s">
        <v>483</v>
      </c>
      <c r="M153" s="28" t="s">
        <v>465</v>
      </c>
      <c r="N153" s="25">
        <v>2</v>
      </c>
      <c r="O153" s="29">
        <v>7.2</v>
      </c>
      <c r="P153" s="29">
        <v>14.5</v>
      </c>
      <c r="Q153" s="25" t="s">
        <v>714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8"/>
        <v>0</v>
      </c>
      <c r="AF153" s="32">
        <f t="shared" si="39"/>
        <v>14.5</v>
      </c>
      <c r="AG153" s="30"/>
      <c r="AH153" s="33"/>
      <c r="AI153" s="34">
        <f t="shared" si="40"/>
        <v>0</v>
      </c>
      <c r="AJ153" s="35"/>
      <c r="AK153" s="30"/>
      <c r="AL153" s="36">
        <f t="shared" si="41"/>
        <v>0</v>
      </c>
      <c r="AM153" s="35"/>
      <c r="AN153" s="30"/>
      <c r="AO153" s="36">
        <f t="shared" si="42"/>
        <v>0</v>
      </c>
      <c r="AP153" s="35"/>
      <c r="AQ153" s="30"/>
      <c r="AR153" s="36">
        <f t="shared" si="43"/>
        <v>0</v>
      </c>
      <c r="AS153" s="27"/>
      <c r="AT153" s="37"/>
      <c r="AU153" s="30"/>
      <c r="AV153" s="36">
        <f t="shared" si="44"/>
        <v>0</v>
      </c>
      <c r="AW153" s="35"/>
      <c r="AX153" s="30"/>
      <c r="AY153" s="32">
        <f t="shared" si="45"/>
        <v>0</v>
      </c>
      <c r="AZ153" s="30" t="s">
        <v>440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439</v>
      </c>
      <c r="C154" s="25" t="str">
        <f t="shared" si="37"/>
        <v>Shipment 2 Outlet Stack</v>
      </c>
      <c r="D154" s="25" t="s">
        <v>441</v>
      </c>
      <c r="E154" s="25" t="s">
        <v>775</v>
      </c>
      <c r="F154" s="25"/>
      <c r="G154" s="65">
        <v>46204</v>
      </c>
      <c r="H154" s="25" t="s">
        <v>443</v>
      </c>
      <c r="I154" s="25" t="s">
        <v>444</v>
      </c>
      <c r="J154" s="26" t="s">
        <v>447</v>
      </c>
      <c r="K154" s="27" t="s">
        <v>484</v>
      </c>
      <c r="L154" s="28" t="s">
        <v>485</v>
      </c>
      <c r="M154" s="28" t="s">
        <v>465</v>
      </c>
      <c r="N154" s="25">
        <v>1</v>
      </c>
      <c r="O154" s="29">
        <v>7.1</v>
      </c>
      <c r="P154" s="29">
        <v>7.1</v>
      </c>
      <c r="Q154" s="25" t="s">
        <v>713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8"/>
        <v>0</v>
      </c>
      <c r="AF154" s="32">
        <f t="shared" si="39"/>
        <v>7.1</v>
      </c>
      <c r="AG154" s="30"/>
      <c r="AH154" s="33"/>
      <c r="AI154" s="34">
        <f t="shared" si="40"/>
        <v>0</v>
      </c>
      <c r="AJ154" s="35"/>
      <c r="AK154" s="30"/>
      <c r="AL154" s="36">
        <f t="shared" si="41"/>
        <v>0</v>
      </c>
      <c r="AM154" s="35"/>
      <c r="AN154" s="30"/>
      <c r="AO154" s="36">
        <f t="shared" si="42"/>
        <v>0</v>
      </c>
      <c r="AP154" s="35"/>
      <c r="AQ154" s="30"/>
      <c r="AR154" s="36">
        <f t="shared" si="43"/>
        <v>0</v>
      </c>
      <c r="AS154" s="27"/>
      <c r="AT154" s="37"/>
      <c r="AU154" s="30"/>
      <c r="AV154" s="36">
        <f t="shared" si="44"/>
        <v>0</v>
      </c>
      <c r="AW154" s="35"/>
      <c r="AX154" s="30"/>
      <c r="AY154" s="32">
        <f t="shared" si="45"/>
        <v>0</v>
      </c>
      <c r="AZ154" s="30" t="s">
        <v>440</v>
      </c>
      <c r="BA154" s="63"/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439</v>
      </c>
      <c r="C155" s="25" t="str">
        <f t="shared" si="37"/>
        <v>Shipment 2 Outlet Stack</v>
      </c>
      <c r="D155" s="25" t="s">
        <v>441</v>
      </c>
      <c r="E155" s="25" t="s">
        <v>775</v>
      </c>
      <c r="F155" s="25"/>
      <c r="G155" s="65">
        <v>46204</v>
      </c>
      <c r="H155" s="25" t="s">
        <v>443</v>
      </c>
      <c r="I155" s="25" t="s">
        <v>444</v>
      </c>
      <c r="J155" s="26" t="s">
        <v>447</v>
      </c>
      <c r="K155" s="27" t="s">
        <v>486</v>
      </c>
      <c r="L155" s="28" t="s">
        <v>487</v>
      </c>
      <c r="M155" s="28" t="s">
        <v>465</v>
      </c>
      <c r="N155" s="25">
        <v>1</v>
      </c>
      <c r="O155" s="29">
        <v>7.1</v>
      </c>
      <c r="P155" s="29">
        <v>7.1</v>
      </c>
      <c r="Q155" s="25" t="s">
        <v>713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8"/>
        <v>0</v>
      </c>
      <c r="AF155" s="32">
        <f t="shared" si="39"/>
        <v>7.1</v>
      </c>
      <c r="AG155" s="30"/>
      <c r="AH155" s="33"/>
      <c r="AI155" s="34">
        <f t="shared" si="40"/>
        <v>0</v>
      </c>
      <c r="AJ155" s="35"/>
      <c r="AK155" s="30"/>
      <c r="AL155" s="36">
        <f t="shared" si="41"/>
        <v>0</v>
      </c>
      <c r="AM155" s="35"/>
      <c r="AN155" s="30"/>
      <c r="AO155" s="36">
        <f t="shared" si="42"/>
        <v>0</v>
      </c>
      <c r="AP155" s="35"/>
      <c r="AQ155" s="30"/>
      <c r="AR155" s="36">
        <f t="shared" si="43"/>
        <v>0</v>
      </c>
      <c r="AS155" s="27"/>
      <c r="AT155" s="37"/>
      <c r="AU155" s="30"/>
      <c r="AV155" s="36">
        <f t="shared" si="44"/>
        <v>0</v>
      </c>
      <c r="AW155" s="35"/>
      <c r="AX155" s="30"/>
      <c r="AY155" s="32">
        <f t="shared" si="45"/>
        <v>0</v>
      </c>
      <c r="AZ155" s="30" t="s">
        <v>440</v>
      </c>
      <c r="BA155" s="63"/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439</v>
      </c>
      <c r="C156" s="25" t="str">
        <f t="shared" si="37"/>
        <v>Shipment 2 Outlet Stack</v>
      </c>
      <c r="D156" s="25" t="s">
        <v>441</v>
      </c>
      <c r="E156" s="25" t="s">
        <v>775</v>
      </c>
      <c r="F156" s="25"/>
      <c r="G156" s="65">
        <v>46204</v>
      </c>
      <c r="H156" s="25" t="s">
        <v>443</v>
      </c>
      <c r="I156" s="25" t="s">
        <v>444</v>
      </c>
      <c r="J156" s="26" t="s">
        <v>447</v>
      </c>
      <c r="K156" s="27" t="s">
        <v>488</v>
      </c>
      <c r="L156" s="28" t="s">
        <v>489</v>
      </c>
      <c r="M156" s="28" t="s">
        <v>465</v>
      </c>
      <c r="N156" s="25">
        <v>1</v>
      </c>
      <c r="O156" s="29">
        <v>1.5</v>
      </c>
      <c r="P156" s="29">
        <v>1.5</v>
      </c>
      <c r="Q156" s="25" t="s">
        <v>718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38"/>
        <v>0</v>
      </c>
      <c r="AF156" s="32">
        <f t="shared" si="39"/>
        <v>1.5</v>
      </c>
      <c r="AG156" s="30"/>
      <c r="AH156" s="33"/>
      <c r="AI156" s="34">
        <f t="shared" si="40"/>
        <v>0</v>
      </c>
      <c r="AJ156" s="35"/>
      <c r="AK156" s="30"/>
      <c r="AL156" s="36">
        <f t="shared" si="41"/>
        <v>0</v>
      </c>
      <c r="AM156" s="35"/>
      <c r="AN156" s="30"/>
      <c r="AO156" s="36">
        <f t="shared" si="42"/>
        <v>0</v>
      </c>
      <c r="AP156" s="35"/>
      <c r="AQ156" s="30"/>
      <c r="AR156" s="36">
        <f t="shared" si="43"/>
        <v>0</v>
      </c>
      <c r="AS156" s="27"/>
      <c r="AT156" s="37"/>
      <c r="AU156" s="30"/>
      <c r="AV156" s="36">
        <f t="shared" si="44"/>
        <v>0</v>
      </c>
      <c r="AW156" s="35"/>
      <c r="AX156" s="30"/>
      <c r="AY156" s="32">
        <f t="shared" si="45"/>
        <v>0</v>
      </c>
      <c r="AZ156" s="30" t="s">
        <v>440</v>
      </c>
      <c r="BA156" s="63"/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439</v>
      </c>
      <c r="C157" s="25" t="str">
        <f t="shared" si="37"/>
        <v>Shipment 2 Outlet Stack</v>
      </c>
      <c r="D157" s="25" t="s">
        <v>441</v>
      </c>
      <c r="E157" s="25" t="s">
        <v>775</v>
      </c>
      <c r="F157" s="25"/>
      <c r="G157" s="65">
        <v>46204</v>
      </c>
      <c r="H157" s="25" t="s">
        <v>443</v>
      </c>
      <c r="I157" s="25" t="s">
        <v>444</v>
      </c>
      <c r="J157" s="26" t="s">
        <v>447</v>
      </c>
      <c r="K157" s="27" t="s">
        <v>490</v>
      </c>
      <c r="L157" s="28" t="s">
        <v>491</v>
      </c>
      <c r="M157" s="28" t="s">
        <v>465</v>
      </c>
      <c r="N157" s="25">
        <v>1</v>
      </c>
      <c r="O157" s="29">
        <v>2.2999999999999998</v>
      </c>
      <c r="P157" s="29">
        <v>1.5</v>
      </c>
      <c r="Q157" s="25" t="s">
        <v>719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38"/>
        <v>0</v>
      </c>
      <c r="AF157" s="32">
        <f t="shared" si="39"/>
        <v>1.5</v>
      </c>
      <c r="AG157" s="30"/>
      <c r="AH157" s="33"/>
      <c r="AI157" s="34">
        <f t="shared" si="40"/>
        <v>0</v>
      </c>
      <c r="AJ157" s="35"/>
      <c r="AK157" s="30"/>
      <c r="AL157" s="36">
        <f t="shared" si="41"/>
        <v>0</v>
      </c>
      <c r="AM157" s="35"/>
      <c r="AN157" s="30"/>
      <c r="AO157" s="36">
        <f t="shared" si="42"/>
        <v>0</v>
      </c>
      <c r="AP157" s="35"/>
      <c r="AQ157" s="30"/>
      <c r="AR157" s="36">
        <f t="shared" si="43"/>
        <v>0</v>
      </c>
      <c r="AS157" s="27"/>
      <c r="AT157" s="37"/>
      <c r="AU157" s="30"/>
      <c r="AV157" s="36">
        <f t="shared" si="44"/>
        <v>0</v>
      </c>
      <c r="AW157" s="35"/>
      <c r="AX157" s="30"/>
      <c r="AY157" s="32">
        <f t="shared" si="45"/>
        <v>0</v>
      </c>
      <c r="AZ157" s="30" t="s">
        <v>440</v>
      </c>
      <c r="BA157" s="63"/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439</v>
      </c>
      <c r="C158" s="25" t="str">
        <f t="shared" si="37"/>
        <v>Shipment 2 Outlet Stack</v>
      </c>
      <c r="D158" s="25" t="s">
        <v>441</v>
      </c>
      <c r="E158" s="25" t="s">
        <v>775</v>
      </c>
      <c r="F158" s="25"/>
      <c r="G158" s="65">
        <v>46204</v>
      </c>
      <c r="H158" s="25" t="s">
        <v>443</v>
      </c>
      <c r="I158" s="25" t="s">
        <v>444</v>
      </c>
      <c r="J158" s="26" t="s">
        <v>447</v>
      </c>
      <c r="K158" s="27" t="s">
        <v>492</v>
      </c>
      <c r="L158" s="28" t="s">
        <v>493</v>
      </c>
      <c r="M158" s="28" t="s">
        <v>465</v>
      </c>
      <c r="N158" s="25">
        <v>1</v>
      </c>
      <c r="O158" s="29">
        <v>2.9</v>
      </c>
      <c r="P158" s="29">
        <v>2.9</v>
      </c>
      <c r="Q158" s="25" t="s">
        <v>720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38"/>
        <v>0</v>
      </c>
      <c r="AF158" s="32">
        <f t="shared" si="39"/>
        <v>2.9</v>
      </c>
      <c r="AG158" s="30"/>
      <c r="AH158" s="33"/>
      <c r="AI158" s="34">
        <f t="shared" si="40"/>
        <v>0</v>
      </c>
      <c r="AJ158" s="35"/>
      <c r="AK158" s="30"/>
      <c r="AL158" s="36">
        <f t="shared" si="41"/>
        <v>0</v>
      </c>
      <c r="AM158" s="35"/>
      <c r="AN158" s="30"/>
      <c r="AO158" s="36">
        <f t="shared" si="42"/>
        <v>0</v>
      </c>
      <c r="AP158" s="35"/>
      <c r="AQ158" s="30"/>
      <c r="AR158" s="36">
        <f t="shared" si="43"/>
        <v>0</v>
      </c>
      <c r="AS158" s="27"/>
      <c r="AT158" s="37"/>
      <c r="AU158" s="30"/>
      <c r="AV158" s="36">
        <f t="shared" si="44"/>
        <v>0</v>
      </c>
      <c r="AW158" s="35"/>
      <c r="AX158" s="30"/>
      <c r="AY158" s="32">
        <f t="shared" si="45"/>
        <v>0</v>
      </c>
      <c r="AZ158" s="30" t="s">
        <v>440</v>
      </c>
      <c r="BA158" s="63"/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439</v>
      </c>
      <c r="C159" s="25" t="str">
        <f t="shared" si="37"/>
        <v>Shipment 2 Outlet Stack</v>
      </c>
      <c r="D159" s="25" t="s">
        <v>441</v>
      </c>
      <c r="E159" s="25" t="s">
        <v>775</v>
      </c>
      <c r="F159" s="25"/>
      <c r="G159" s="65">
        <v>46204</v>
      </c>
      <c r="H159" s="25" t="s">
        <v>443</v>
      </c>
      <c r="I159" s="25" t="s">
        <v>444</v>
      </c>
      <c r="J159" s="26" t="s">
        <v>447</v>
      </c>
      <c r="K159" s="27" t="s">
        <v>494</v>
      </c>
      <c r="L159" s="28" t="s">
        <v>495</v>
      </c>
      <c r="M159" s="28" t="s">
        <v>465</v>
      </c>
      <c r="N159" s="25">
        <v>1</v>
      </c>
      <c r="O159" s="29">
        <v>3.3</v>
      </c>
      <c r="P159" s="29">
        <v>3.3</v>
      </c>
      <c r="Q159" s="25" t="s">
        <v>721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38"/>
        <v>0</v>
      </c>
      <c r="AF159" s="32">
        <f t="shared" si="39"/>
        <v>3.3</v>
      </c>
      <c r="AG159" s="30"/>
      <c r="AH159" s="33"/>
      <c r="AI159" s="34">
        <f t="shared" si="40"/>
        <v>0</v>
      </c>
      <c r="AJ159" s="35"/>
      <c r="AK159" s="30"/>
      <c r="AL159" s="36">
        <f t="shared" si="41"/>
        <v>0</v>
      </c>
      <c r="AM159" s="35"/>
      <c r="AN159" s="30"/>
      <c r="AO159" s="36">
        <f t="shared" si="42"/>
        <v>0</v>
      </c>
      <c r="AP159" s="35"/>
      <c r="AQ159" s="30"/>
      <c r="AR159" s="36">
        <f t="shared" si="43"/>
        <v>0</v>
      </c>
      <c r="AS159" s="27"/>
      <c r="AT159" s="37"/>
      <c r="AU159" s="30"/>
      <c r="AV159" s="36">
        <f t="shared" si="44"/>
        <v>0</v>
      </c>
      <c r="AW159" s="35"/>
      <c r="AX159" s="30"/>
      <c r="AY159" s="32">
        <f t="shared" si="45"/>
        <v>0</v>
      </c>
      <c r="AZ159" s="30" t="s">
        <v>440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439</v>
      </c>
      <c r="C160" s="25" t="str">
        <f t="shared" si="37"/>
        <v>Shipment 2 Outlet Stack</v>
      </c>
      <c r="D160" s="25" t="s">
        <v>441</v>
      </c>
      <c r="E160" s="25" t="s">
        <v>775</v>
      </c>
      <c r="F160" s="25"/>
      <c r="G160" s="65">
        <v>46204</v>
      </c>
      <c r="H160" s="25" t="s">
        <v>443</v>
      </c>
      <c r="I160" s="25" t="s">
        <v>444</v>
      </c>
      <c r="J160" s="26" t="s">
        <v>447</v>
      </c>
      <c r="K160" s="27" t="s">
        <v>496</v>
      </c>
      <c r="L160" s="28" t="s">
        <v>497</v>
      </c>
      <c r="M160" s="28" t="s">
        <v>465</v>
      </c>
      <c r="N160" s="25">
        <v>1</v>
      </c>
      <c r="O160" s="29">
        <v>1.7</v>
      </c>
      <c r="P160" s="29">
        <v>1.7</v>
      </c>
      <c r="Q160" s="25" t="s">
        <v>722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38"/>
        <v>0</v>
      </c>
      <c r="AF160" s="32">
        <f t="shared" si="39"/>
        <v>1.7</v>
      </c>
      <c r="AG160" s="30"/>
      <c r="AH160" s="33"/>
      <c r="AI160" s="34">
        <f t="shared" si="40"/>
        <v>0</v>
      </c>
      <c r="AJ160" s="35"/>
      <c r="AK160" s="30"/>
      <c r="AL160" s="36">
        <f t="shared" si="41"/>
        <v>0</v>
      </c>
      <c r="AM160" s="35"/>
      <c r="AN160" s="30"/>
      <c r="AO160" s="36">
        <f t="shared" si="42"/>
        <v>0</v>
      </c>
      <c r="AP160" s="35"/>
      <c r="AQ160" s="30"/>
      <c r="AR160" s="36">
        <f t="shared" si="43"/>
        <v>0</v>
      </c>
      <c r="AS160" s="27"/>
      <c r="AT160" s="37"/>
      <c r="AU160" s="30"/>
      <c r="AV160" s="36">
        <f t="shared" si="44"/>
        <v>0</v>
      </c>
      <c r="AW160" s="35"/>
      <c r="AX160" s="30"/>
      <c r="AY160" s="32">
        <f t="shared" si="45"/>
        <v>0</v>
      </c>
      <c r="AZ160" s="30" t="s">
        <v>440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439</v>
      </c>
      <c r="C161" s="25" t="str">
        <f t="shared" si="37"/>
        <v>Shipment 2 Outlet Stack</v>
      </c>
      <c r="D161" s="25" t="s">
        <v>441</v>
      </c>
      <c r="E161" s="25" t="s">
        <v>775</v>
      </c>
      <c r="F161" s="25"/>
      <c r="G161" s="65">
        <v>46204</v>
      </c>
      <c r="H161" s="25" t="s">
        <v>443</v>
      </c>
      <c r="I161" s="25" t="s">
        <v>444</v>
      </c>
      <c r="J161" s="26" t="s">
        <v>447</v>
      </c>
      <c r="K161" s="27" t="s">
        <v>498</v>
      </c>
      <c r="L161" s="28" t="s">
        <v>499</v>
      </c>
      <c r="M161" s="28" t="s">
        <v>465</v>
      </c>
      <c r="N161" s="25">
        <v>1</v>
      </c>
      <c r="O161" s="29">
        <v>3.2</v>
      </c>
      <c r="P161" s="29">
        <v>3.2</v>
      </c>
      <c r="Q161" s="25" t="s">
        <v>723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38"/>
        <v>0</v>
      </c>
      <c r="AF161" s="32">
        <f t="shared" si="39"/>
        <v>3.2</v>
      </c>
      <c r="AG161" s="30"/>
      <c r="AH161" s="33"/>
      <c r="AI161" s="34">
        <f t="shared" si="40"/>
        <v>0</v>
      </c>
      <c r="AJ161" s="35"/>
      <c r="AK161" s="30"/>
      <c r="AL161" s="36">
        <f t="shared" si="41"/>
        <v>0</v>
      </c>
      <c r="AM161" s="35"/>
      <c r="AN161" s="30"/>
      <c r="AO161" s="36">
        <f t="shared" si="42"/>
        <v>0</v>
      </c>
      <c r="AP161" s="35"/>
      <c r="AQ161" s="30"/>
      <c r="AR161" s="36">
        <f t="shared" si="43"/>
        <v>0</v>
      </c>
      <c r="AS161" s="27"/>
      <c r="AT161" s="37"/>
      <c r="AU161" s="30"/>
      <c r="AV161" s="36">
        <f t="shared" si="44"/>
        <v>0</v>
      </c>
      <c r="AW161" s="35"/>
      <c r="AX161" s="30"/>
      <c r="AY161" s="32">
        <f t="shared" si="45"/>
        <v>0</v>
      </c>
      <c r="AZ161" s="30" t="s">
        <v>440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439</v>
      </c>
      <c r="C162" s="25" t="str">
        <f t="shared" si="37"/>
        <v>Shipment 2 Outlet Stack</v>
      </c>
      <c r="D162" s="25" t="s">
        <v>441</v>
      </c>
      <c r="E162" s="25" t="s">
        <v>775</v>
      </c>
      <c r="F162" s="25"/>
      <c r="G162" s="65">
        <v>46204</v>
      </c>
      <c r="H162" s="25" t="s">
        <v>443</v>
      </c>
      <c r="I162" s="25" t="s">
        <v>444</v>
      </c>
      <c r="J162" s="26" t="s">
        <v>447</v>
      </c>
      <c r="K162" s="27" t="s">
        <v>500</v>
      </c>
      <c r="L162" s="28" t="s">
        <v>501</v>
      </c>
      <c r="M162" s="28" t="s">
        <v>465</v>
      </c>
      <c r="N162" s="25">
        <v>1</v>
      </c>
      <c r="O162" s="29">
        <v>0.3</v>
      </c>
      <c r="P162" s="29">
        <v>0.3</v>
      </c>
      <c r="Q162" s="25" t="s">
        <v>724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38"/>
        <v>0</v>
      </c>
      <c r="AF162" s="32">
        <f t="shared" si="39"/>
        <v>0.3</v>
      </c>
      <c r="AG162" s="30"/>
      <c r="AH162" s="33"/>
      <c r="AI162" s="34">
        <f t="shared" si="40"/>
        <v>0</v>
      </c>
      <c r="AJ162" s="35"/>
      <c r="AK162" s="30"/>
      <c r="AL162" s="36">
        <f t="shared" si="41"/>
        <v>0</v>
      </c>
      <c r="AM162" s="35"/>
      <c r="AN162" s="30"/>
      <c r="AO162" s="36">
        <f t="shared" si="42"/>
        <v>0</v>
      </c>
      <c r="AP162" s="35"/>
      <c r="AQ162" s="30"/>
      <c r="AR162" s="36">
        <f t="shared" si="43"/>
        <v>0</v>
      </c>
      <c r="AS162" s="27"/>
      <c r="AT162" s="37"/>
      <c r="AU162" s="30"/>
      <c r="AV162" s="36">
        <f t="shared" si="44"/>
        <v>0</v>
      </c>
      <c r="AW162" s="35"/>
      <c r="AX162" s="30"/>
      <c r="AY162" s="32">
        <f t="shared" si="45"/>
        <v>0</v>
      </c>
      <c r="AZ162" s="30" t="s">
        <v>440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439</v>
      </c>
      <c r="C163" s="25" t="str">
        <f t="shared" si="37"/>
        <v>Shipment 2 Outlet Stack</v>
      </c>
      <c r="D163" s="25" t="s">
        <v>441</v>
      </c>
      <c r="E163" s="25" t="s">
        <v>775</v>
      </c>
      <c r="F163" s="25"/>
      <c r="G163" s="65">
        <v>46204</v>
      </c>
      <c r="H163" s="25" t="s">
        <v>443</v>
      </c>
      <c r="I163" s="25" t="s">
        <v>444</v>
      </c>
      <c r="J163" s="26" t="s">
        <v>447</v>
      </c>
      <c r="K163" s="27" t="s">
        <v>502</v>
      </c>
      <c r="L163" s="28" t="s">
        <v>503</v>
      </c>
      <c r="M163" s="28" t="s">
        <v>465</v>
      </c>
      <c r="N163" s="25">
        <v>1</v>
      </c>
      <c r="O163" s="29">
        <v>5.4</v>
      </c>
      <c r="P163" s="29">
        <v>5.4</v>
      </c>
      <c r="Q163" s="25" t="s">
        <v>725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38"/>
        <v>0</v>
      </c>
      <c r="AF163" s="32">
        <f t="shared" si="39"/>
        <v>5.4</v>
      </c>
      <c r="AG163" s="30"/>
      <c r="AH163" s="33"/>
      <c r="AI163" s="34">
        <f t="shared" si="40"/>
        <v>0</v>
      </c>
      <c r="AJ163" s="35"/>
      <c r="AK163" s="30"/>
      <c r="AL163" s="36">
        <f t="shared" si="41"/>
        <v>0</v>
      </c>
      <c r="AM163" s="35"/>
      <c r="AN163" s="30"/>
      <c r="AO163" s="36">
        <f t="shared" si="42"/>
        <v>0</v>
      </c>
      <c r="AP163" s="35"/>
      <c r="AQ163" s="30"/>
      <c r="AR163" s="36">
        <f t="shared" si="43"/>
        <v>0</v>
      </c>
      <c r="AS163" s="27"/>
      <c r="AT163" s="37"/>
      <c r="AU163" s="30"/>
      <c r="AV163" s="36">
        <f t="shared" si="44"/>
        <v>0</v>
      </c>
      <c r="AW163" s="35"/>
      <c r="AX163" s="30"/>
      <c r="AY163" s="32">
        <f t="shared" si="45"/>
        <v>0</v>
      </c>
      <c r="AZ163" s="30" t="s">
        <v>440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439</v>
      </c>
      <c r="C164" s="25" t="str">
        <f t="shared" si="37"/>
        <v>Shipment 2 Outlet Stack</v>
      </c>
      <c r="D164" s="25" t="s">
        <v>441</v>
      </c>
      <c r="E164" s="25" t="s">
        <v>775</v>
      </c>
      <c r="F164" s="25"/>
      <c r="G164" s="65">
        <v>46204</v>
      </c>
      <c r="H164" s="25" t="s">
        <v>443</v>
      </c>
      <c r="I164" s="25" t="s">
        <v>444</v>
      </c>
      <c r="J164" s="26" t="s">
        <v>447</v>
      </c>
      <c r="K164" s="27" t="s">
        <v>504</v>
      </c>
      <c r="L164" s="28" t="s">
        <v>505</v>
      </c>
      <c r="M164" s="28" t="s">
        <v>465</v>
      </c>
      <c r="N164" s="25">
        <v>1</v>
      </c>
      <c r="O164" s="29">
        <v>2.8</v>
      </c>
      <c r="P164" s="29">
        <v>2.8</v>
      </c>
      <c r="Q164" s="25" t="s">
        <v>726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38"/>
        <v>0</v>
      </c>
      <c r="AF164" s="32">
        <f t="shared" si="39"/>
        <v>2.8</v>
      </c>
      <c r="AG164" s="30"/>
      <c r="AH164" s="33"/>
      <c r="AI164" s="34">
        <f t="shared" si="40"/>
        <v>0</v>
      </c>
      <c r="AJ164" s="35"/>
      <c r="AK164" s="30"/>
      <c r="AL164" s="36">
        <f t="shared" si="41"/>
        <v>0</v>
      </c>
      <c r="AM164" s="35"/>
      <c r="AN164" s="30"/>
      <c r="AO164" s="36">
        <f t="shared" si="42"/>
        <v>0</v>
      </c>
      <c r="AP164" s="35"/>
      <c r="AQ164" s="30"/>
      <c r="AR164" s="36">
        <f t="shared" si="43"/>
        <v>0</v>
      </c>
      <c r="AS164" s="27"/>
      <c r="AT164" s="37"/>
      <c r="AU164" s="30"/>
      <c r="AV164" s="36">
        <f t="shared" si="44"/>
        <v>0</v>
      </c>
      <c r="AW164" s="35"/>
      <c r="AX164" s="30"/>
      <c r="AY164" s="32">
        <f t="shared" si="45"/>
        <v>0</v>
      </c>
      <c r="AZ164" s="30" t="s">
        <v>440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439</v>
      </c>
      <c r="C165" s="25" t="str">
        <f t="shared" si="37"/>
        <v>Shipment 2 Outlet Stack</v>
      </c>
      <c r="D165" s="25" t="s">
        <v>441</v>
      </c>
      <c r="E165" s="25" t="s">
        <v>775</v>
      </c>
      <c r="F165" s="25"/>
      <c r="G165" s="65">
        <v>46204</v>
      </c>
      <c r="H165" s="25" t="s">
        <v>443</v>
      </c>
      <c r="I165" s="25" t="s">
        <v>444</v>
      </c>
      <c r="J165" s="26" t="s">
        <v>447</v>
      </c>
      <c r="K165" s="27" t="s">
        <v>506</v>
      </c>
      <c r="L165" s="28" t="s">
        <v>507</v>
      </c>
      <c r="M165" s="28" t="s">
        <v>465</v>
      </c>
      <c r="N165" s="25">
        <v>1</v>
      </c>
      <c r="O165" s="29">
        <v>0.3</v>
      </c>
      <c r="P165" s="29">
        <v>0.3</v>
      </c>
      <c r="Q165" s="25" t="s">
        <v>727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38"/>
        <v>0</v>
      </c>
      <c r="AF165" s="32">
        <f t="shared" si="39"/>
        <v>0.3</v>
      </c>
      <c r="AG165" s="30"/>
      <c r="AH165" s="33"/>
      <c r="AI165" s="34">
        <f t="shared" si="40"/>
        <v>0</v>
      </c>
      <c r="AJ165" s="35"/>
      <c r="AK165" s="30"/>
      <c r="AL165" s="36">
        <f t="shared" si="41"/>
        <v>0</v>
      </c>
      <c r="AM165" s="35"/>
      <c r="AN165" s="30"/>
      <c r="AO165" s="36">
        <f t="shared" si="42"/>
        <v>0</v>
      </c>
      <c r="AP165" s="35"/>
      <c r="AQ165" s="30"/>
      <c r="AR165" s="36">
        <f t="shared" si="43"/>
        <v>0</v>
      </c>
      <c r="AS165" s="27"/>
      <c r="AT165" s="37"/>
      <c r="AU165" s="30"/>
      <c r="AV165" s="36">
        <f t="shared" si="44"/>
        <v>0</v>
      </c>
      <c r="AW165" s="35"/>
      <c r="AX165" s="30"/>
      <c r="AY165" s="32">
        <f t="shared" si="45"/>
        <v>0</v>
      </c>
      <c r="AZ165" s="30" t="s">
        <v>440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439</v>
      </c>
      <c r="C166" s="25" t="str">
        <f t="shared" si="37"/>
        <v>Shipment 2 Outlet Stack</v>
      </c>
      <c r="D166" s="25" t="s">
        <v>441</v>
      </c>
      <c r="E166" s="25" t="s">
        <v>775</v>
      </c>
      <c r="F166" s="25"/>
      <c r="G166" s="65">
        <v>46204</v>
      </c>
      <c r="H166" s="25" t="s">
        <v>443</v>
      </c>
      <c r="I166" s="25" t="s">
        <v>444</v>
      </c>
      <c r="J166" s="26" t="s">
        <v>447</v>
      </c>
      <c r="K166" s="27" t="s">
        <v>508</v>
      </c>
      <c r="L166" s="28" t="s">
        <v>509</v>
      </c>
      <c r="M166" s="28" t="s">
        <v>465</v>
      </c>
      <c r="N166" s="25">
        <v>1</v>
      </c>
      <c r="O166" s="29">
        <v>2.8</v>
      </c>
      <c r="P166" s="29">
        <v>2.8</v>
      </c>
      <c r="Q166" s="25" t="s">
        <v>728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38"/>
        <v>0</v>
      </c>
      <c r="AF166" s="32">
        <f t="shared" si="39"/>
        <v>2.8</v>
      </c>
      <c r="AG166" s="30"/>
      <c r="AH166" s="33"/>
      <c r="AI166" s="34">
        <f t="shared" si="40"/>
        <v>0</v>
      </c>
      <c r="AJ166" s="35"/>
      <c r="AK166" s="30"/>
      <c r="AL166" s="36">
        <f t="shared" si="41"/>
        <v>0</v>
      </c>
      <c r="AM166" s="35"/>
      <c r="AN166" s="30"/>
      <c r="AO166" s="36">
        <f t="shared" si="42"/>
        <v>0</v>
      </c>
      <c r="AP166" s="35"/>
      <c r="AQ166" s="30"/>
      <c r="AR166" s="36">
        <f t="shared" si="43"/>
        <v>0</v>
      </c>
      <c r="AS166" s="27"/>
      <c r="AT166" s="37"/>
      <c r="AU166" s="30"/>
      <c r="AV166" s="36">
        <f t="shared" si="44"/>
        <v>0</v>
      </c>
      <c r="AW166" s="35"/>
      <c r="AX166" s="30"/>
      <c r="AY166" s="32">
        <f t="shared" si="45"/>
        <v>0</v>
      </c>
      <c r="AZ166" s="30" t="s">
        <v>440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439</v>
      </c>
      <c r="C167" s="25" t="str">
        <f t="shared" si="37"/>
        <v>Shipment 2 Outlet Stack</v>
      </c>
      <c r="D167" s="25" t="s">
        <v>441</v>
      </c>
      <c r="E167" s="25" t="s">
        <v>775</v>
      </c>
      <c r="F167" s="25"/>
      <c r="G167" s="65">
        <v>46204</v>
      </c>
      <c r="H167" s="25" t="s">
        <v>443</v>
      </c>
      <c r="I167" s="25" t="s">
        <v>444</v>
      </c>
      <c r="J167" s="26" t="s">
        <v>447</v>
      </c>
      <c r="K167" s="27" t="s">
        <v>510</v>
      </c>
      <c r="L167" s="28" t="s">
        <v>511</v>
      </c>
      <c r="M167" s="28" t="s">
        <v>465</v>
      </c>
      <c r="N167" s="25">
        <v>1</v>
      </c>
      <c r="O167" s="29">
        <v>3.3</v>
      </c>
      <c r="P167" s="29">
        <v>3.3</v>
      </c>
      <c r="Q167" s="25" t="s">
        <v>729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38"/>
        <v>0</v>
      </c>
      <c r="AF167" s="32">
        <f t="shared" si="39"/>
        <v>3.3</v>
      </c>
      <c r="AG167" s="30"/>
      <c r="AH167" s="33"/>
      <c r="AI167" s="34">
        <f t="shared" si="40"/>
        <v>0</v>
      </c>
      <c r="AJ167" s="35"/>
      <c r="AK167" s="30"/>
      <c r="AL167" s="36">
        <f t="shared" si="41"/>
        <v>0</v>
      </c>
      <c r="AM167" s="35"/>
      <c r="AN167" s="30"/>
      <c r="AO167" s="36">
        <f t="shared" si="42"/>
        <v>0</v>
      </c>
      <c r="AP167" s="35"/>
      <c r="AQ167" s="30"/>
      <c r="AR167" s="36">
        <f t="shared" si="43"/>
        <v>0</v>
      </c>
      <c r="AS167" s="27"/>
      <c r="AT167" s="37"/>
      <c r="AU167" s="30"/>
      <c r="AV167" s="36">
        <f t="shared" si="44"/>
        <v>0</v>
      </c>
      <c r="AW167" s="35"/>
      <c r="AX167" s="30"/>
      <c r="AY167" s="32">
        <f t="shared" si="45"/>
        <v>0</v>
      </c>
      <c r="AZ167" s="30" t="s">
        <v>440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439</v>
      </c>
      <c r="C168" s="25" t="str">
        <f t="shared" si="37"/>
        <v>Shipment 2 Outlet Stack</v>
      </c>
      <c r="D168" s="25" t="s">
        <v>441</v>
      </c>
      <c r="E168" s="25" t="s">
        <v>775</v>
      </c>
      <c r="F168" s="25"/>
      <c r="G168" s="65">
        <v>46204</v>
      </c>
      <c r="H168" s="25" t="s">
        <v>443</v>
      </c>
      <c r="I168" s="25" t="s">
        <v>444</v>
      </c>
      <c r="J168" s="26" t="s">
        <v>447</v>
      </c>
      <c r="K168" s="27" t="s">
        <v>512</v>
      </c>
      <c r="L168" s="28" t="s">
        <v>513</v>
      </c>
      <c r="M168" s="28" t="s">
        <v>465</v>
      </c>
      <c r="N168" s="25">
        <v>1</v>
      </c>
      <c r="O168" s="29">
        <v>1.7</v>
      </c>
      <c r="P168" s="29">
        <v>1.7</v>
      </c>
      <c r="Q168" s="25" t="s">
        <v>730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38"/>
        <v>0</v>
      </c>
      <c r="AF168" s="32">
        <f t="shared" si="39"/>
        <v>1.7</v>
      </c>
      <c r="AG168" s="30"/>
      <c r="AH168" s="33"/>
      <c r="AI168" s="34">
        <f t="shared" si="40"/>
        <v>0</v>
      </c>
      <c r="AJ168" s="35"/>
      <c r="AK168" s="30"/>
      <c r="AL168" s="36">
        <f t="shared" si="41"/>
        <v>0</v>
      </c>
      <c r="AM168" s="35"/>
      <c r="AN168" s="30"/>
      <c r="AO168" s="36">
        <f t="shared" si="42"/>
        <v>0</v>
      </c>
      <c r="AP168" s="35"/>
      <c r="AQ168" s="30"/>
      <c r="AR168" s="36">
        <f t="shared" si="43"/>
        <v>0</v>
      </c>
      <c r="AS168" s="27"/>
      <c r="AT168" s="37"/>
      <c r="AU168" s="30"/>
      <c r="AV168" s="36">
        <f t="shared" si="44"/>
        <v>0</v>
      </c>
      <c r="AW168" s="35"/>
      <c r="AX168" s="30"/>
      <c r="AY168" s="32">
        <f t="shared" si="45"/>
        <v>0</v>
      </c>
      <c r="AZ168" s="30" t="s">
        <v>440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439</v>
      </c>
      <c r="C169" s="25" t="str">
        <f t="shared" si="37"/>
        <v>Shipment 2 Outlet Stack</v>
      </c>
      <c r="D169" s="25" t="s">
        <v>441</v>
      </c>
      <c r="E169" s="25" t="s">
        <v>775</v>
      </c>
      <c r="F169" s="25"/>
      <c r="G169" s="65">
        <v>46204</v>
      </c>
      <c r="H169" s="25" t="s">
        <v>443</v>
      </c>
      <c r="I169" s="25" t="s">
        <v>444</v>
      </c>
      <c r="J169" s="26" t="s">
        <v>447</v>
      </c>
      <c r="K169" s="27" t="s">
        <v>514</v>
      </c>
      <c r="L169" s="28" t="s">
        <v>515</v>
      </c>
      <c r="M169" s="28" t="s">
        <v>465</v>
      </c>
      <c r="N169" s="25">
        <v>1</v>
      </c>
      <c r="O169" s="29">
        <v>1.5</v>
      </c>
      <c r="P169" s="29">
        <v>1.5</v>
      </c>
      <c r="Q169" s="25" t="s">
        <v>731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38"/>
        <v>0</v>
      </c>
      <c r="AF169" s="32">
        <f t="shared" si="39"/>
        <v>1.5</v>
      </c>
      <c r="AG169" s="30"/>
      <c r="AH169" s="33"/>
      <c r="AI169" s="34">
        <f t="shared" si="40"/>
        <v>0</v>
      </c>
      <c r="AJ169" s="35"/>
      <c r="AK169" s="30"/>
      <c r="AL169" s="36">
        <f t="shared" si="41"/>
        <v>0</v>
      </c>
      <c r="AM169" s="35"/>
      <c r="AN169" s="30"/>
      <c r="AO169" s="36">
        <f t="shared" si="42"/>
        <v>0</v>
      </c>
      <c r="AP169" s="35"/>
      <c r="AQ169" s="30"/>
      <c r="AR169" s="36">
        <f t="shared" si="43"/>
        <v>0</v>
      </c>
      <c r="AS169" s="27"/>
      <c r="AT169" s="37"/>
      <c r="AU169" s="30"/>
      <c r="AV169" s="36">
        <f t="shared" si="44"/>
        <v>0</v>
      </c>
      <c r="AW169" s="35"/>
      <c r="AX169" s="30"/>
      <c r="AY169" s="32">
        <f t="shared" si="45"/>
        <v>0</v>
      </c>
      <c r="AZ169" s="30" t="s">
        <v>440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439</v>
      </c>
      <c r="C170" s="25" t="str">
        <f t="shared" si="37"/>
        <v>Shipment 2 Outlet Stack</v>
      </c>
      <c r="D170" s="25" t="s">
        <v>441</v>
      </c>
      <c r="E170" s="25" t="s">
        <v>775</v>
      </c>
      <c r="F170" s="25"/>
      <c r="G170" s="65">
        <v>46204</v>
      </c>
      <c r="H170" s="25" t="s">
        <v>443</v>
      </c>
      <c r="I170" s="25" t="s">
        <v>444</v>
      </c>
      <c r="J170" s="26" t="s">
        <v>447</v>
      </c>
      <c r="K170" s="27" t="s">
        <v>516</v>
      </c>
      <c r="L170" s="28" t="s">
        <v>517</v>
      </c>
      <c r="M170" s="28" t="s">
        <v>465</v>
      </c>
      <c r="N170" s="25">
        <v>1</v>
      </c>
      <c r="O170" s="29">
        <v>5.4</v>
      </c>
      <c r="P170" s="29">
        <v>5.4</v>
      </c>
      <c r="Q170" s="25" t="s">
        <v>732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38"/>
        <v>0</v>
      </c>
      <c r="AF170" s="32">
        <f t="shared" si="39"/>
        <v>5.4</v>
      </c>
      <c r="AG170" s="30"/>
      <c r="AH170" s="33"/>
      <c r="AI170" s="34">
        <f t="shared" si="40"/>
        <v>0</v>
      </c>
      <c r="AJ170" s="35"/>
      <c r="AK170" s="30"/>
      <c r="AL170" s="36">
        <f t="shared" si="41"/>
        <v>0</v>
      </c>
      <c r="AM170" s="35"/>
      <c r="AN170" s="30"/>
      <c r="AO170" s="36">
        <f t="shared" si="42"/>
        <v>0</v>
      </c>
      <c r="AP170" s="35"/>
      <c r="AQ170" s="30"/>
      <c r="AR170" s="36">
        <f t="shared" si="43"/>
        <v>0</v>
      </c>
      <c r="AS170" s="27"/>
      <c r="AT170" s="37"/>
      <c r="AU170" s="30"/>
      <c r="AV170" s="36">
        <f t="shared" si="44"/>
        <v>0</v>
      </c>
      <c r="AW170" s="35"/>
      <c r="AX170" s="30"/>
      <c r="AY170" s="32">
        <f t="shared" si="45"/>
        <v>0</v>
      </c>
      <c r="AZ170" s="30" t="s">
        <v>440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439</v>
      </c>
      <c r="C171" s="25" t="str">
        <f t="shared" si="37"/>
        <v>Shipment 2 Outlet Stack</v>
      </c>
      <c r="D171" s="25" t="s">
        <v>441</v>
      </c>
      <c r="E171" s="25" t="s">
        <v>775</v>
      </c>
      <c r="F171" s="25"/>
      <c r="G171" s="65">
        <v>46204</v>
      </c>
      <c r="H171" s="25" t="s">
        <v>443</v>
      </c>
      <c r="I171" s="25" t="s">
        <v>444</v>
      </c>
      <c r="J171" s="26" t="s">
        <v>447</v>
      </c>
      <c r="K171" s="27" t="s">
        <v>518</v>
      </c>
      <c r="L171" s="28" t="s">
        <v>519</v>
      </c>
      <c r="M171" s="28" t="s">
        <v>465</v>
      </c>
      <c r="N171" s="25">
        <v>1</v>
      </c>
      <c r="O171" s="29">
        <v>1.3</v>
      </c>
      <c r="P171" s="29">
        <v>1.3</v>
      </c>
      <c r="Q171" s="25" t="s">
        <v>733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38"/>
        <v>0</v>
      </c>
      <c r="AF171" s="32">
        <f t="shared" si="39"/>
        <v>1.3</v>
      </c>
      <c r="AG171" s="30"/>
      <c r="AH171" s="33"/>
      <c r="AI171" s="34">
        <f t="shared" si="40"/>
        <v>0</v>
      </c>
      <c r="AJ171" s="35"/>
      <c r="AK171" s="30"/>
      <c r="AL171" s="36">
        <f t="shared" si="41"/>
        <v>0</v>
      </c>
      <c r="AM171" s="35"/>
      <c r="AN171" s="30"/>
      <c r="AO171" s="36">
        <f t="shared" si="42"/>
        <v>0</v>
      </c>
      <c r="AP171" s="35"/>
      <c r="AQ171" s="30"/>
      <c r="AR171" s="36">
        <f t="shared" si="43"/>
        <v>0</v>
      </c>
      <c r="AS171" s="27"/>
      <c r="AT171" s="37"/>
      <c r="AU171" s="30"/>
      <c r="AV171" s="36">
        <f t="shared" si="44"/>
        <v>0</v>
      </c>
      <c r="AW171" s="35"/>
      <c r="AX171" s="30"/>
      <c r="AY171" s="32">
        <f t="shared" si="45"/>
        <v>0</v>
      </c>
      <c r="AZ171" s="30" t="s">
        <v>440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439</v>
      </c>
      <c r="C172" s="25" t="str">
        <f t="shared" si="37"/>
        <v>Shipment 2 Outlet Stack</v>
      </c>
      <c r="D172" s="25" t="s">
        <v>441</v>
      </c>
      <c r="E172" s="25" t="s">
        <v>775</v>
      </c>
      <c r="F172" s="25"/>
      <c r="G172" s="65">
        <v>46204</v>
      </c>
      <c r="H172" s="25" t="s">
        <v>443</v>
      </c>
      <c r="I172" s="25" t="s">
        <v>444</v>
      </c>
      <c r="J172" s="26" t="s">
        <v>447</v>
      </c>
      <c r="K172" s="27" t="s">
        <v>520</v>
      </c>
      <c r="L172" s="28" t="s">
        <v>521</v>
      </c>
      <c r="M172" s="28" t="s">
        <v>465</v>
      </c>
      <c r="N172" s="25">
        <v>17</v>
      </c>
      <c r="O172" s="29">
        <v>5</v>
      </c>
      <c r="P172" s="29">
        <v>85.1</v>
      </c>
      <c r="Q172" s="25" t="s">
        <v>734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38"/>
        <v>0</v>
      </c>
      <c r="AF172" s="32">
        <f t="shared" si="39"/>
        <v>85.1</v>
      </c>
      <c r="AG172" s="30"/>
      <c r="AH172" s="33"/>
      <c r="AI172" s="34">
        <f t="shared" si="40"/>
        <v>0</v>
      </c>
      <c r="AJ172" s="35"/>
      <c r="AK172" s="30"/>
      <c r="AL172" s="36">
        <f t="shared" si="41"/>
        <v>0</v>
      </c>
      <c r="AM172" s="35"/>
      <c r="AN172" s="30"/>
      <c r="AO172" s="36">
        <f t="shared" si="42"/>
        <v>0</v>
      </c>
      <c r="AP172" s="35"/>
      <c r="AQ172" s="30"/>
      <c r="AR172" s="36">
        <f t="shared" si="43"/>
        <v>0</v>
      </c>
      <c r="AS172" s="27"/>
      <c r="AT172" s="37"/>
      <c r="AU172" s="30"/>
      <c r="AV172" s="36">
        <f t="shared" si="44"/>
        <v>0</v>
      </c>
      <c r="AW172" s="35"/>
      <c r="AX172" s="30"/>
      <c r="AY172" s="32">
        <f t="shared" si="45"/>
        <v>0</v>
      </c>
      <c r="AZ172" s="30" t="s">
        <v>440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439</v>
      </c>
      <c r="C173" s="25" t="str">
        <f t="shared" si="37"/>
        <v>Shipment 2 Outlet Stack</v>
      </c>
      <c r="D173" s="25" t="s">
        <v>441</v>
      </c>
      <c r="E173" s="25" t="s">
        <v>775</v>
      </c>
      <c r="F173" s="25"/>
      <c r="G173" s="65">
        <v>46204</v>
      </c>
      <c r="H173" s="25" t="s">
        <v>443</v>
      </c>
      <c r="I173" s="25" t="s">
        <v>444</v>
      </c>
      <c r="J173" s="26" t="s">
        <v>447</v>
      </c>
      <c r="K173" s="27" t="s">
        <v>522</v>
      </c>
      <c r="L173" s="28" t="s">
        <v>523</v>
      </c>
      <c r="M173" s="28" t="s">
        <v>465</v>
      </c>
      <c r="N173" s="25">
        <v>1</v>
      </c>
      <c r="O173" s="29">
        <v>6.7</v>
      </c>
      <c r="P173" s="29">
        <v>6.7</v>
      </c>
      <c r="Q173" s="25" t="s">
        <v>713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38"/>
        <v>0</v>
      </c>
      <c r="AF173" s="32">
        <f t="shared" si="39"/>
        <v>6.7</v>
      </c>
      <c r="AG173" s="30"/>
      <c r="AH173" s="33"/>
      <c r="AI173" s="34">
        <f t="shared" si="40"/>
        <v>0</v>
      </c>
      <c r="AJ173" s="35"/>
      <c r="AK173" s="30"/>
      <c r="AL173" s="36">
        <f t="shared" si="41"/>
        <v>0</v>
      </c>
      <c r="AM173" s="35"/>
      <c r="AN173" s="30"/>
      <c r="AO173" s="36">
        <f t="shared" si="42"/>
        <v>0</v>
      </c>
      <c r="AP173" s="35"/>
      <c r="AQ173" s="30"/>
      <c r="AR173" s="36">
        <f t="shared" si="43"/>
        <v>0</v>
      </c>
      <c r="AS173" s="27"/>
      <c r="AT173" s="37"/>
      <c r="AU173" s="30"/>
      <c r="AV173" s="36">
        <f t="shared" si="44"/>
        <v>0</v>
      </c>
      <c r="AW173" s="35"/>
      <c r="AX173" s="30"/>
      <c r="AY173" s="32">
        <f t="shared" si="45"/>
        <v>0</v>
      </c>
      <c r="AZ173" s="30" t="s">
        <v>440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439</v>
      </c>
      <c r="C174" s="25" t="str">
        <f t="shared" si="37"/>
        <v>Shipment 2 Outlet Stack</v>
      </c>
      <c r="D174" s="25" t="s">
        <v>441</v>
      </c>
      <c r="E174" s="25" t="s">
        <v>775</v>
      </c>
      <c r="F174" s="25"/>
      <c r="G174" s="65">
        <v>46204</v>
      </c>
      <c r="H174" s="25" t="s">
        <v>443</v>
      </c>
      <c r="I174" s="25" t="s">
        <v>444</v>
      </c>
      <c r="J174" s="26" t="s">
        <v>447</v>
      </c>
      <c r="K174" s="27" t="s">
        <v>524</v>
      </c>
      <c r="L174" s="28" t="s">
        <v>525</v>
      </c>
      <c r="M174" s="28" t="s">
        <v>465</v>
      </c>
      <c r="N174" s="25">
        <v>1</v>
      </c>
      <c r="O174" s="29">
        <v>5.9</v>
      </c>
      <c r="P174" s="29">
        <v>5.9</v>
      </c>
      <c r="Q174" s="25" t="s">
        <v>713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38"/>
        <v>0</v>
      </c>
      <c r="AF174" s="32">
        <f t="shared" si="39"/>
        <v>5.9</v>
      </c>
      <c r="AG174" s="30"/>
      <c r="AH174" s="33"/>
      <c r="AI174" s="34">
        <f t="shared" si="40"/>
        <v>0</v>
      </c>
      <c r="AJ174" s="35"/>
      <c r="AK174" s="30"/>
      <c r="AL174" s="36">
        <f t="shared" si="41"/>
        <v>0</v>
      </c>
      <c r="AM174" s="35"/>
      <c r="AN174" s="30"/>
      <c r="AO174" s="36">
        <f t="shared" si="42"/>
        <v>0</v>
      </c>
      <c r="AP174" s="35"/>
      <c r="AQ174" s="30"/>
      <c r="AR174" s="36">
        <f t="shared" si="43"/>
        <v>0</v>
      </c>
      <c r="AS174" s="27"/>
      <c r="AT174" s="37"/>
      <c r="AU174" s="30"/>
      <c r="AV174" s="36">
        <f t="shared" si="44"/>
        <v>0</v>
      </c>
      <c r="AW174" s="35"/>
      <c r="AX174" s="30"/>
      <c r="AY174" s="32">
        <f t="shared" si="45"/>
        <v>0</v>
      </c>
      <c r="AZ174" s="30" t="s">
        <v>440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439</v>
      </c>
      <c r="C175" s="25" t="str">
        <f t="shared" si="37"/>
        <v>Shipment 2 Outlet Stack</v>
      </c>
      <c r="D175" s="25" t="s">
        <v>441</v>
      </c>
      <c r="E175" s="25" t="s">
        <v>775</v>
      </c>
      <c r="F175" s="25"/>
      <c r="G175" s="65">
        <v>46204</v>
      </c>
      <c r="H175" s="25" t="s">
        <v>443</v>
      </c>
      <c r="I175" s="25" t="s">
        <v>444</v>
      </c>
      <c r="J175" s="26" t="s">
        <v>447</v>
      </c>
      <c r="K175" s="27" t="s">
        <v>526</v>
      </c>
      <c r="L175" s="28" t="s">
        <v>527</v>
      </c>
      <c r="M175" s="28" t="s">
        <v>465</v>
      </c>
      <c r="N175" s="25">
        <v>1</v>
      </c>
      <c r="O175" s="29">
        <v>4.7</v>
      </c>
      <c r="P175" s="29">
        <v>4.7</v>
      </c>
      <c r="Q175" s="25" t="s">
        <v>734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38"/>
        <v>0</v>
      </c>
      <c r="AF175" s="32">
        <f t="shared" si="39"/>
        <v>4.7</v>
      </c>
      <c r="AG175" s="30"/>
      <c r="AH175" s="33"/>
      <c r="AI175" s="34">
        <f t="shared" si="40"/>
        <v>0</v>
      </c>
      <c r="AJ175" s="35"/>
      <c r="AK175" s="30"/>
      <c r="AL175" s="36">
        <f t="shared" si="41"/>
        <v>0</v>
      </c>
      <c r="AM175" s="35"/>
      <c r="AN175" s="30"/>
      <c r="AO175" s="36">
        <f t="shared" si="42"/>
        <v>0</v>
      </c>
      <c r="AP175" s="35"/>
      <c r="AQ175" s="30"/>
      <c r="AR175" s="36">
        <f t="shared" si="43"/>
        <v>0</v>
      </c>
      <c r="AS175" s="27"/>
      <c r="AT175" s="37"/>
      <c r="AU175" s="30"/>
      <c r="AV175" s="36">
        <f t="shared" si="44"/>
        <v>0</v>
      </c>
      <c r="AW175" s="35"/>
      <c r="AX175" s="30"/>
      <c r="AY175" s="32">
        <f t="shared" si="45"/>
        <v>0</v>
      </c>
      <c r="AZ175" s="30" t="s">
        <v>440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439</v>
      </c>
      <c r="C176" s="25" t="str">
        <f t="shared" si="37"/>
        <v>Shipment 2 Outlet Stack</v>
      </c>
      <c r="D176" s="25" t="s">
        <v>441</v>
      </c>
      <c r="E176" s="25" t="s">
        <v>775</v>
      </c>
      <c r="F176" s="25"/>
      <c r="G176" s="65">
        <v>46204</v>
      </c>
      <c r="H176" s="25" t="s">
        <v>443</v>
      </c>
      <c r="I176" s="25" t="s">
        <v>444</v>
      </c>
      <c r="J176" s="26" t="s">
        <v>447</v>
      </c>
      <c r="K176" s="27" t="s">
        <v>528</v>
      </c>
      <c r="L176" s="28" t="s">
        <v>529</v>
      </c>
      <c r="M176" s="28" t="s">
        <v>465</v>
      </c>
      <c r="N176" s="25">
        <v>1</v>
      </c>
      <c r="O176" s="29">
        <v>2.2999999999999998</v>
      </c>
      <c r="P176" s="29">
        <v>2.2999999999999998</v>
      </c>
      <c r="Q176" s="25" t="s">
        <v>734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38"/>
        <v>0</v>
      </c>
      <c r="AF176" s="32">
        <f t="shared" si="39"/>
        <v>2.2999999999999998</v>
      </c>
      <c r="AG176" s="30"/>
      <c r="AH176" s="33"/>
      <c r="AI176" s="34">
        <f t="shared" si="40"/>
        <v>0</v>
      </c>
      <c r="AJ176" s="35"/>
      <c r="AK176" s="30"/>
      <c r="AL176" s="36">
        <f t="shared" si="41"/>
        <v>0</v>
      </c>
      <c r="AM176" s="35"/>
      <c r="AN176" s="30"/>
      <c r="AO176" s="36">
        <f t="shared" si="42"/>
        <v>0</v>
      </c>
      <c r="AP176" s="35"/>
      <c r="AQ176" s="30"/>
      <c r="AR176" s="36">
        <f t="shared" si="43"/>
        <v>0</v>
      </c>
      <c r="AS176" s="27"/>
      <c r="AT176" s="37"/>
      <c r="AU176" s="30"/>
      <c r="AV176" s="36">
        <f t="shared" si="44"/>
        <v>0</v>
      </c>
      <c r="AW176" s="35"/>
      <c r="AX176" s="30"/>
      <c r="AY176" s="32">
        <f t="shared" si="45"/>
        <v>0</v>
      </c>
      <c r="AZ176" s="30" t="s">
        <v>440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439</v>
      </c>
      <c r="C177" s="25" t="str">
        <f t="shared" si="37"/>
        <v>Shipment 2 Outlet Stack</v>
      </c>
      <c r="D177" s="25" t="s">
        <v>441</v>
      </c>
      <c r="E177" s="25" t="s">
        <v>775</v>
      </c>
      <c r="F177" s="25"/>
      <c r="G177" s="65">
        <v>46204</v>
      </c>
      <c r="H177" s="25" t="s">
        <v>443</v>
      </c>
      <c r="I177" s="25" t="s">
        <v>444</v>
      </c>
      <c r="J177" s="26" t="s">
        <v>447</v>
      </c>
      <c r="K177" s="27" t="s">
        <v>530</v>
      </c>
      <c r="L177" s="28" t="s">
        <v>531</v>
      </c>
      <c r="M177" s="28" t="s">
        <v>465</v>
      </c>
      <c r="N177" s="25">
        <v>1</v>
      </c>
      <c r="O177" s="29">
        <v>2.1</v>
      </c>
      <c r="P177" s="29">
        <v>2.1</v>
      </c>
      <c r="Q177" s="25" t="s">
        <v>734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38"/>
        <v>0</v>
      </c>
      <c r="AF177" s="32">
        <f t="shared" si="39"/>
        <v>2.1</v>
      </c>
      <c r="AG177" s="30"/>
      <c r="AH177" s="33"/>
      <c r="AI177" s="34">
        <f t="shared" si="40"/>
        <v>0</v>
      </c>
      <c r="AJ177" s="35"/>
      <c r="AK177" s="30"/>
      <c r="AL177" s="36">
        <f t="shared" si="41"/>
        <v>0</v>
      </c>
      <c r="AM177" s="35"/>
      <c r="AN177" s="30"/>
      <c r="AO177" s="36">
        <f t="shared" si="42"/>
        <v>0</v>
      </c>
      <c r="AP177" s="35"/>
      <c r="AQ177" s="30"/>
      <c r="AR177" s="36">
        <f t="shared" si="43"/>
        <v>0</v>
      </c>
      <c r="AS177" s="27"/>
      <c r="AT177" s="37"/>
      <c r="AU177" s="30"/>
      <c r="AV177" s="36">
        <f t="shared" si="44"/>
        <v>0</v>
      </c>
      <c r="AW177" s="35"/>
      <c r="AX177" s="30"/>
      <c r="AY177" s="32">
        <f t="shared" si="45"/>
        <v>0</v>
      </c>
      <c r="AZ177" s="30" t="s">
        <v>440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439</v>
      </c>
      <c r="C178" s="25" t="str">
        <f t="shared" si="37"/>
        <v>Shipment 2 Outlet Stack</v>
      </c>
      <c r="D178" s="25" t="s">
        <v>441</v>
      </c>
      <c r="E178" s="25" t="s">
        <v>775</v>
      </c>
      <c r="F178" s="25"/>
      <c r="G178" s="65">
        <v>46204</v>
      </c>
      <c r="H178" s="25" t="s">
        <v>443</v>
      </c>
      <c r="I178" s="25" t="s">
        <v>444</v>
      </c>
      <c r="J178" s="26" t="s">
        <v>447</v>
      </c>
      <c r="K178" s="27" t="s">
        <v>532</v>
      </c>
      <c r="L178" s="28" t="s">
        <v>533</v>
      </c>
      <c r="M178" s="28" t="s">
        <v>534</v>
      </c>
      <c r="N178" s="25">
        <v>1</v>
      </c>
      <c r="O178" s="29">
        <v>8915.1</v>
      </c>
      <c r="P178" s="29">
        <v>8915.1</v>
      </c>
      <c r="Q178" s="25" t="s">
        <v>735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38"/>
        <v>8023.59</v>
      </c>
      <c r="AF178" s="32">
        <f t="shared" si="39"/>
        <v>891.51000000000022</v>
      </c>
      <c r="AG178" s="30"/>
      <c r="AH178" s="33"/>
      <c r="AI178" s="34">
        <f t="shared" si="40"/>
        <v>0</v>
      </c>
      <c r="AJ178" s="35">
        <v>46286</v>
      </c>
      <c r="AK178" s="30">
        <v>1</v>
      </c>
      <c r="AL178" s="36">
        <f t="shared" si="41"/>
        <v>8915.1</v>
      </c>
      <c r="AM178" s="35">
        <v>46287</v>
      </c>
      <c r="AN178" s="30">
        <v>1</v>
      </c>
      <c r="AO178" s="36">
        <f t="shared" si="42"/>
        <v>8915.1</v>
      </c>
      <c r="AP178" s="35"/>
      <c r="AQ178" s="30"/>
      <c r="AR178" s="36">
        <f t="shared" si="43"/>
        <v>0</v>
      </c>
      <c r="AS178" s="27"/>
      <c r="AT178" s="37"/>
      <c r="AU178" s="30"/>
      <c r="AV178" s="36">
        <f t="shared" si="44"/>
        <v>0</v>
      </c>
      <c r="AW178" s="35"/>
      <c r="AX178" s="30"/>
      <c r="AY178" s="32">
        <f t="shared" si="45"/>
        <v>0</v>
      </c>
      <c r="AZ178" s="30" t="s">
        <v>440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439</v>
      </c>
      <c r="C179" s="25" t="str">
        <f t="shared" si="37"/>
        <v>Shipment 2 Outlet Stack</v>
      </c>
      <c r="D179" s="25" t="s">
        <v>441</v>
      </c>
      <c r="E179" s="25" t="s">
        <v>775</v>
      </c>
      <c r="F179" s="25"/>
      <c r="G179" s="65">
        <v>46204</v>
      </c>
      <c r="H179" s="25" t="s">
        <v>443</v>
      </c>
      <c r="I179" s="25" t="s">
        <v>444</v>
      </c>
      <c r="J179" s="26" t="s">
        <v>447</v>
      </c>
      <c r="K179" s="27" t="s">
        <v>535</v>
      </c>
      <c r="L179" s="28" t="s">
        <v>536</v>
      </c>
      <c r="M179" s="28" t="s">
        <v>534</v>
      </c>
      <c r="N179" s="25">
        <v>1</v>
      </c>
      <c r="O179" s="29">
        <v>4806.6000000000004</v>
      </c>
      <c r="P179" s="29">
        <v>4806.6000000000004</v>
      </c>
      <c r="Q179" s="25" t="s">
        <v>736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38"/>
        <v>4325.9400000000005</v>
      </c>
      <c r="AF179" s="32">
        <f t="shared" si="39"/>
        <v>480.65999999999985</v>
      </c>
      <c r="AG179" s="30"/>
      <c r="AH179" s="33"/>
      <c r="AI179" s="34">
        <f t="shared" si="40"/>
        <v>0</v>
      </c>
      <c r="AJ179" s="35">
        <v>46286</v>
      </c>
      <c r="AK179" s="30">
        <v>1</v>
      </c>
      <c r="AL179" s="36">
        <f t="shared" si="41"/>
        <v>4806.6000000000004</v>
      </c>
      <c r="AM179" s="35">
        <v>46287</v>
      </c>
      <c r="AN179" s="30">
        <v>1</v>
      </c>
      <c r="AO179" s="36">
        <f t="shared" si="42"/>
        <v>4806.6000000000004</v>
      </c>
      <c r="AP179" s="35"/>
      <c r="AQ179" s="30"/>
      <c r="AR179" s="36">
        <f t="shared" si="43"/>
        <v>0</v>
      </c>
      <c r="AS179" s="27"/>
      <c r="AT179" s="37"/>
      <c r="AU179" s="30"/>
      <c r="AV179" s="36">
        <f t="shared" si="44"/>
        <v>0</v>
      </c>
      <c r="AW179" s="35"/>
      <c r="AX179" s="30"/>
      <c r="AY179" s="32">
        <f t="shared" si="45"/>
        <v>0</v>
      </c>
      <c r="AZ179" s="30" t="s">
        <v>440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439</v>
      </c>
      <c r="C180" s="25" t="str">
        <f t="shared" si="37"/>
        <v>Shipment 2 Outlet Stack</v>
      </c>
      <c r="D180" s="25" t="s">
        <v>441</v>
      </c>
      <c r="E180" s="25" t="s">
        <v>775</v>
      </c>
      <c r="F180" s="25"/>
      <c r="G180" s="65">
        <v>46204</v>
      </c>
      <c r="H180" s="25" t="s">
        <v>443</v>
      </c>
      <c r="I180" s="25" t="s">
        <v>444</v>
      </c>
      <c r="J180" s="26" t="s">
        <v>447</v>
      </c>
      <c r="K180" s="27" t="s">
        <v>537</v>
      </c>
      <c r="L180" s="28" t="s">
        <v>538</v>
      </c>
      <c r="M180" s="28" t="s">
        <v>534</v>
      </c>
      <c r="N180" s="25">
        <v>1</v>
      </c>
      <c r="O180" s="29">
        <v>8915.1</v>
      </c>
      <c r="P180" s="29">
        <v>8915.1</v>
      </c>
      <c r="Q180" s="25" t="s">
        <v>735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38"/>
        <v>8023.59</v>
      </c>
      <c r="AF180" s="32">
        <f t="shared" si="39"/>
        <v>891.51000000000022</v>
      </c>
      <c r="AG180" s="30"/>
      <c r="AH180" s="33"/>
      <c r="AI180" s="34">
        <f t="shared" si="40"/>
        <v>0</v>
      </c>
      <c r="AJ180" s="35">
        <v>46286</v>
      </c>
      <c r="AK180" s="30">
        <v>1</v>
      </c>
      <c r="AL180" s="36">
        <f t="shared" si="41"/>
        <v>8915.1</v>
      </c>
      <c r="AM180" s="35">
        <v>46288</v>
      </c>
      <c r="AN180" s="30">
        <v>1</v>
      </c>
      <c r="AO180" s="36">
        <f t="shared" si="42"/>
        <v>8915.1</v>
      </c>
      <c r="AP180" s="35"/>
      <c r="AQ180" s="30"/>
      <c r="AR180" s="36">
        <f t="shared" si="43"/>
        <v>0</v>
      </c>
      <c r="AS180" s="27"/>
      <c r="AT180" s="37"/>
      <c r="AU180" s="30"/>
      <c r="AV180" s="36">
        <f t="shared" si="44"/>
        <v>0</v>
      </c>
      <c r="AW180" s="35"/>
      <c r="AX180" s="30"/>
      <c r="AY180" s="32">
        <f t="shared" si="45"/>
        <v>0</v>
      </c>
      <c r="AZ180" s="30" t="s">
        <v>440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439</v>
      </c>
      <c r="C181" s="25" t="str">
        <f t="shared" si="37"/>
        <v>Shipment 2 Outlet Stack</v>
      </c>
      <c r="D181" s="25" t="s">
        <v>441</v>
      </c>
      <c r="E181" s="25" t="s">
        <v>775</v>
      </c>
      <c r="F181" s="25"/>
      <c r="G181" s="65">
        <v>46204</v>
      </c>
      <c r="H181" s="25" t="s">
        <v>443</v>
      </c>
      <c r="I181" s="25" t="s">
        <v>444</v>
      </c>
      <c r="J181" s="26" t="s">
        <v>447</v>
      </c>
      <c r="K181" s="27" t="s">
        <v>539</v>
      </c>
      <c r="L181" s="28" t="s">
        <v>540</v>
      </c>
      <c r="M181" s="28" t="s">
        <v>534</v>
      </c>
      <c r="N181" s="25">
        <v>1</v>
      </c>
      <c r="O181" s="29">
        <v>4806.6000000000004</v>
      </c>
      <c r="P181" s="29">
        <v>4806.6000000000004</v>
      </c>
      <c r="Q181" s="25" t="s">
        <v>736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38"/>
        <v>4325.9400000000005</v>
      </c>
      <c r="AF181" s="32">
        <f t="shared" si="39"/>
        <v>480.65999999999985</v>
      </c>
      <c r="AG181" s="30"/>
      <c r="AH181" s="33"/>
      <c r="AI181" s="34">
        <f t="shared" si="40"/>
        <v>0</v>
      </c>
      <c r="AJ181" s="35">
        <v>46287</v>
      </c>
      <c r="AK181" s="30">
        <v>1</v>
      </c>
      <c r="AL181" s="36">
        <f t="shared" si="41"/>
        <v>4806.6000000000004</v>
      </c>
      <c r="AM181" s="35">
        <v>46290</v>
      </c>
      <c r="AN181" s="30">
        <v>1</v>
      </c>
      <c r="AO181" s="36">
        <f t="shared" si="42"/>
        <v>4806.6000000000004</v>
      </c>
      <c r="AP181" s="35"/>
      <c r="AQ181" s="30"/>
      <c r="AR181" s="36">
        <f t="shared" si="43"/>
        <v>0</v>
      </c>
      <c r="AS181" s="27"/>
      <c r="AT181" s="37"/>
      <c r="AU181" s="30"/>
      <c r="AV181" s="36">
        <f t="shared" si="44"/>
        <v>0</v>
      </c>
      <c r="AW181" s="35"/>
      <c r="AX181" s="30"/>
      <c r="AY181" s="32">
        <f t="shared" si="45"/>
        <v>0</v>
      </c>
      <c r="AZ181" s="30" t="s">
        <v>440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439</v>
      </c>
      <c r="C182" s="25" t="str">
        <f t="shared" si="37"/>
        <v>Shipment 2 Outlet Stack</v>
      </c>
      <c r="D182" s="25" t="s">
        <v>441</v>
      </c>
      <c r="E182" s="25" t="s">
        <v>775</v>
      </c>
      <c r="F182" s="25"/>
      <c r="G182" s="65">
        <v>46204</v>
      </c>
      <c r="H182" s="25" t="s">
        <v>443</v>
      </c>
      <c r="I182" s="25" t="s">
        <v>444</v>
      </c>
      <c r="J182" s="26" t="s">
        <v>447</v>
      </c>
      <c r="K182" s="27" t="s">
        <v>541</v>
      </c>
      <c r="L182" s="28" t="s">
        <v>542</v>
      </c>
      <c r="M182" s="28" t="s">
        <v>534</v>
      </c>
      <c r="N182" s="25">
        <v>2</v>
      </c>
      <c r="O182" s="29">
        <v>151.30000000000001</v>
      </c>
      <c r="P182" s="29">
        <v>302.7</v>
      </c>
      <c r="Q182" s="25" t="s">
        <v>737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38"/>
        <v>272.43</v>
      </c>
      <c r="AF182" s="32">
        <f t="shared" si="39"/>
        <v>30.269999999999982</v>
      </c>
      <c r="AG182" s="30"/>
      <c r="AH182" s="33"/>
      <c r="AI182" s="34">
        <f t="shared" si="40"/>
        <v>0</v>
      </c>
      <c r="AJ182" s="35">
        <v>46290</v>
      </c>
      <c r="AK182" s="30">
        <v>2</v>
      </c>
      <c r="AL182" s="36">
        <f t="shared" si="41"/>
        <v>302.7</v>
      </c>
      <c r="AM182" s="35">
        <v>46295</v>
      </c>
      <c r="AN182" s="30">
        <v>2</v>
      </c>
      <c r="AO182" s="36">
        <f t="shared" si="42"/>
        <v>302.7</v>
      </c>
      <c r="AP182" s="35"/>
      <c r="AQ182" s="30"/>
      <c r="AR182" s="36">
        <f t="shared" si="43"/>
        <v>0</v>
      </c>
      <c r="AS182" s="27"/>
      <c r="AT182" s="37"/>
      <c r="AU182" s="30"/>
      <c r="AV182" s="36">
        <f t="shared" si="44"/>
        <v>0</v>
      </c>
      <c r="AW182" s="35"/>
      <c r="AX182" s="30"/>
      <c r="AY182" s="32">
        <f t="shared" si="45"/>
        <v>0</v>
      </c>
      <c r="AZ182" s="30" t="s">
        <v>440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439</v>
      </c>
      <c r="C183" s="25" t="str">
        <f t="shared" si="37"/>
        <v>Shipment 2 Outlet Stack</v>
      </c>
      <c r="D183" s="25" t="s">
        <v>441</v>
      </c>
      <c r="E183" s="25" t="s">
        <v>775</v>
      </c>
      <c r="F183" s="25"/>
      <c r="G183" s="65">
        <v>46204</v>
      </c>
      <c r="H183" s="25" t="s">
        <v>443</v>
      </c>
      <c r="I183" s="25" t="s">
        <v>444</v>
      </c>
      <c r="J183" s="26" t="s">
        <v>447</v>
      </c>
      <c r="K183" s="27" t="s">
        <v>543</v>
      </c>
      <c r="L183" s="28" t="s">
        <v>544</v>
      </c>
      <c r="M183" s="28" t="s">
        <v>534</v>
      </c>
      <c r="N183" s="25">
        <v>2</v>
      </c>
      <c r="O183" s="29">
        <v>148.5</v>
      </c>
      <c r="P183" s="29">
        <v>296.89999999999998</v>
      </c>
      <c r="Q183" s="25" t="s">
        <v>738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38"/>
        <v>267.20999999999998</v>
      </c>
      <c r="AF183" s="32">
        <f t="shared" si="39"/>
        <v>29.689999999999998</v>
      </c>
      <c r="AG183" s="30"/>
      <c r="AH183" s="33"/>
      <c r="AI183" s="34">
        <f t="shared" si="40"/>
        <v>0</v>
      </c>
      <c r="AJ183" s="35">
        <v>46290</v>
      </c>
      <c r="AK183" s="30">
        <v>2</v>
      </c>
      <c r="AL183" s="36">
        <f t="shared" si="41"/>
        <v>296.89999999999998</v>
      </c>
      <c r="AM183" s="35">
        <v>46295</v>
      </c>
      <c r="AN183" s="30">
        <v>2</v>
      </c>
      <c r="AO183" s="36">
        <f t="shared" si="42"/>
        <v>296.89999999999998</v>
      </c>
      <c r="AP183" s="35"/>
      <c r="AQ183" s="30"/>
      <c r="AR183" s="36">
        <f t="shared" si="43"/>
        <v>0</v>
      </c>
      <c r="AS183" s="27"/>
      <c r="AT183" s="37"/>
      <c r="AU183" s="30"/>
      <c r="AV183" s="36">
        <f t="shared" si="44"/>
        <v>0</v>
      </c>
      <c r="AW183" s="35"/>
      <c r="AX183" s="30"/>
      <c r="AY183" s="32">
        <f t="shared" si="45"/>
        <v>0</v>
      </c>
      <c r="AZ183" s="30" t="s">
        <v>440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439</v>
      </c>
      <c r="C184" s="25" t="str">
        <f t="shared" si="37"/>
        <v>Shipment 2 Outlet Stack</v>
      </c>
      <c r="D184" s="25" t="s">
        <v>441</v>
      </c>
      <c r="E184" s="25" t="s">
        <v>775</v>
      </c>
      <c r="F184" s="25"/>
      <c r="G184" s="65">
        <v>46204</v>
      </c>
      <c r="H184" s="25" t="s">
        <v>443</v>
      </c>
      <c r="I184" s="25" t="s">
        <v>444</v>
      </c>
      <c r="J184" s="26" t="s">
        <v>447</v>
      </c>
      <c r="K184" s="27" t="s">
        <v>545</v>
      </c>
      <c r="L184" s="28" t="s">
        <v>546</v>
      </c>
      <c r="M184" s="28" t="s">
        <v>547</v>
      </c>
      <c r="N184" s="25">
        <v>7</v>
      </c>
      <c r="O184" s="29">
        <v>13.9</v>
      </c>
      <c r="P184" s="29">
        <v>97.6</v>
      </c>
      <c r="Q184" s="25" t="s">
        <v>739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38"/>
        <v>0</v>
      </c>
      <c r="AF184" s="32">
        <f t="shared" si="39"/>
        <v>97.6</v>
      </c>
      <c r="AG184" s="30"/>
      <c r="AH184" s="33"/>
      <c r="AI184" s="34">
        <f t="shared" si="40"/>
        <v>0</v>
      </c>
      <c r="AJ184" s="35"/>
      <c r="AK184" s="30"/>
      <c r="AL184" s="36">
        <f t="shared" si="41"/>
        <v>0</v>
      </c>
      <c r="AM184" s="35"/>
      <c r="AN184" s="30"/>
      <c r="AO184" s="36">
        <f t="shared" si="42"/>
        <v>0</v>
      </c>
      <c r="AP184" s="35"/>
      <c r="AQ184" s="30"/>
      <c r="AR184" s="36">
        <f t="shared" si="43"/>
        <v>0</v>
      </c>
      <c r="AS184" s="27"/>
      <c r="AT184" s="37"/>
      <c r="AU184" s="30"/>
      <c r="AV184" s="36">
        <f t="shared" si="44"/>
        <v>0</v>
      </c>
      <c r="AW184" s="35"/>
      <c r="AX184" s="30"/>
      <c r="AY184" s="32">
        <f t="shared" si="45"/>
        <v>0</v>
      </c>
      <c r="AZ184" s="30" t="s">
        <v>440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439</v>
      </c>
      <c r="C185" s="25" t="str">
        <f t="shared" si="37"/>
        <v>Shipment 2 Outlet Stack</v>
      </c>
      <c r="D185" s="25" t="s">
        <v>441</v>
      </c>
      <c r="E185" s="25" t="s">
        <v>775</v>
      </c>
      <c r="F185" s="25"/>
      <c r="G185" s="65">
        <v>46204</v>
      </c>
      <c r="H185" s="25" t="s">
        <v>443</v>
      </c>
      <c r="I185" s="25" t="s">
        <v>444</v>
      </c>
      <c r="J185" s="26" t="s">
        <v>447</v>
      </c>
      <c r="K185" s="27" t="s">
        <v>548</v>
      </c>
      <c r="L185" s="28" t="s">
        <v>549</v>
      </c>
      <c r="M185" s="28" t="s">
        <v>547</v>
      </c>
      <c r="N185" s="25">
        <v>2</v>
      </c>
      <c r="O185" s="29">
        <v>13.9</v>
      </c>
      <c r="P185" s="29">
        <v>27.9</v>
      </c>
      <c r="Q185" s="25" t="s">
        <v>739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38"/>
        <v>0</v>
      </c>
      <c r="AF185" s="32">
        <f t="shared" si="39"/>
        <v>27.9</v>
      </c>
      <c r="AG185" s="30"/>
      <c r="AH185" s="33"/>
      <c r="AI185" s="34">
        <f t="shared" si="40"/>
        <v>0</v>
      </c>
      <c r="AJ185" s="35"/>
      <c r="AK185" s="30"/>
      <c r="AL185" s="36">
        <f t="shared" si="41"/>
        <v>0</v>
      </c>
      <c r="AM185" s="35"/>
      <c r="AN185" s="30"/>
      <c r="AO185" s="36">
        <f t="shared" si="42"/>
        <v>0</v>
      </c>
      <c r="AP185" s="35"/>
      <c r="AQ185" s="30"/>
      <c r="AR185" s="36">
        <f t="shared" si="43"/>
        <v>0</v>
      </c>
      <c r="AS185" s="27"/>
      <c r="AT185" s="37"/>
      <c r="AU185" s="30"/>
      <c r="AV185" s="36">
        <f t="shared" si="44"/>
        <v>0</v>
      </c>
      <c r="AW185" s="35"/>
      <c r="AX185" s="30"/>
      <c r="AY185" s="32">
        <f t="shared" si="45"/>
        <v>0</v>
      </c>
      <c r="AZ185" s="30" t="s">
        <v>440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439</v>
      </c>
      <c r="C186" s="25" t="str">
        <f t="shared" si="37"/>
        <v>Shipment 2 Outlet Stack</v>
      </c>
      <c r="D186" s="25" t="s">
        <v>441</v>
      </c>
      <c r="E186" s="25" t="s">
        <v>775</v>
      </c>
      <c r="F186" s="25"/>
      <c r="G186" s="65">
        <v>46204</v>
      </c>
      <c r="H186" s="25" t="s">
        <v>443</v>
      </c>
      <c r="I186" s="25" t="s">
        <v>444</v>
      </c>
      <c r="J186" s="26" t="s">
        <v>447</v>
      </c>
      <c r="K186" s="27" t="s">
        <v>550</v>
      </c>
      <c r="L186" s="28" t="s">
        <v>551</v>
      </c>
      <c r="M186" s="28" t="s">
        <v>547</v>
      </c>
      <c r="N186" s="25">
        <v>2</v>
      </c>
      <c r="O186" s="29">
        <v>13.9</v>
      </c>
      <c r="P186" s="29">
        <v>27.9</v>
      </c>
      <c r="Q186" s="25" t="s">
        <v>740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38"/>
        <v>0</v>
      </c>
      <c r="AF186" s="32">
        <f t="shared" si="39"/>
        <v>27.9</v>
      </c>
      <c r="AG186" s="30"/>
      <c r="AH186" s="33"/>
      <c r="AI186" s="34">
        <f t="shared" si="40"/>
        <v>0</v>
      </c>
      <c r="AJ186" s="35"/>
      <c r="AK186" s="30"/>
      <c r="AL186" s="36">
        <f t="shared" si="41"/>
        <v>0</v>
      </c>
      <c r="AM186" s="35"/>
      <c r="AN186" s="30"/>
      <c r="AO186" s="36">
        <f t="shared" si="42"/>
        <v>0</v>
      </c>
      <c r="AP186" s="35"/>
      <c r="AQ186" s="30"/>
      <c r="AR186" s="36">
        <f t="shared" si="43"/>
        <v>0</v>
      </c>
      <c r="AS186" s="27"/>
      <c r="AT186" s="37"/>
      <c r="AU186" s="30"/>
      <c r="AV186" s="36">
        <f t="shared" si="44"/>
        <v>0</v>
      </c>
      <c r="AW186" s="35"/>
      <c r="AX186" s="30"/>
      <c r="AY186" s="32">
        <f t="shared" si="45"/>
        <v>0</v>
      </c>
      <c r="AZ186" s="30" t="s">
        <v>440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439</v>
      </c>
      <c r="C187" s="25" t="str">
        <f t="shared" si="37"/>
        <v>Shipment 2 Outlet Stack</v>
      </c>
      <c r="D187" s="25" t="s">
        <v>441</v>
      </c>
      <c r="E187" s="25" t="s">
        <v>775</v>
      </c>
      <c r="F187" s="25"/>
      <c r="G187" s="65">
        <v>46204</v>
      </c>
      <c r="H187" s="25" t="s">
        <v>443</v>
      </c>
      <c r="I187" s="25" t="s">
        <v>444</v>
      </c>
      <c r="J187" s="26" t="s">
        <v>447</v>
      </c>
      <c r="K187" s="27" t="s">
        <v>552</v>
      </c>
      <c r="L187" s="28" t="s">
        <v>553</v>
      </c>
      <c r="M187" s="28" t="s">
        <v>547</v>
      </c>
      <c r="N187" s="25">
        <v>2</v>
      </c>
      <c r="O187" s="29">
        <v>13.9</v>
      </c>
      <c r="P187" s="29">
        <v>27.9</v>
      </c>
      <c r="Q187" s="25" t="s">
        <v>741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38"/>
        <v>0</v>
      </c>
      <c r="AF187" s="32">
        <f t="shared" si="39"/>
        <v>27.9</v>
      </c>
      <c r="AG187" s="30"/>
      <c r="AH187" s="33"/>
      <c r="AI187" s="34">
        <f t="shared" si="40"/>
        <v>0</v>
      </c>
      <c r="AJ187" s="35"/>
      <c r="AK187" s="30"/>
      <c r="AL187" s="36">
        <f t="shared" si="41"/>
        <v>0</v>
      </c>
      <c r="AM187" s="35"/>
      <c r="AN187" s="30"/>
      <c r="AO187" s="36">
        <f t="shared" si="42"/>
        <v>0</v>
      </c>
      <c r="AP187" s="35"/>
      <c r="AQ187" s="30"/>
      <c r="AR187" s="36">
        <f t="shared" si="43"/>
        <v>0</v>
      </c>
      <c r="AS187" s="27"/>
      <c r="AT187" s="37"/>
      <c r="AU187" s="30"/>
      <c r="AV187" s="36">
        <f t="shared" si="44"/>
        <v>0</v>
      </c>
      <c r="AW187" s="35"/>
      <c r="AX187" s="30"/>
      <c r="AY187" s="32">
        <f t="shared" si="45"/>
        <v>0</v>
      </c>
      <c r="AZ187" s="30" t="s">
        <v>440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439</v>
      </c>
      <c r="C188" s="25" t="str">
        <f t="shared" si="37"/>
        <v>Shipment 2 Outlet Stack</v>
      </c>
      <c r="D188" s="25" t="s">
        <v>441</v>
      </c>
      <c r="E188" s="25" t="s">
        <v>775</v>
      </c>
      <c r="F188" s="25"/>
      <c r="G188" s="65">
        <v>46204</v>
      </c>
      <c r="H188" s="25" t="s">
        <v>443</v>
      </c>
      <c r="I188" s="25" t="s">
        <v>444</v>
      </c>
      <c r="J188" s="26" t="s">
        <v>447</v>
      </c>
      <c r="K188" s="27" t="s">
        <v>554</v>
      </c>
      <c r="L188" s="28" t="s">
        <v>555</v>
      </c>
      <c r="M188" s="28" t="s">
        <v>547</v>
      </c>
      <c r="N188" s="25">
        <v>2</v>
      </c>
      <c r="O188" s="29">
        <v>13.9</v>
      </c>
      <c r="P188" s="29">
        <v>27.9</v>
      </c>
      <c r="Q188" s="25" t="s">
        <v>740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38"/>
        <v>0</v>
      </c>
      <c r="AF188" s="32">
        <f t="shared" si="39"/>
        <v>27.9</v>
      </c>
      <c r="AG188" s="30"/>
      <c r="AH188" s="33"/>
      <c r="AI188" s="34">
        <f t="shared" si="40"/>
        <v>0</v>
      </c>
      <c r="AJ188" s="35"/>
      <c r="AK188" s="30"/>
      <c r="AL188" s="36">
        <f t="shared" si="41"/>
        <v>0</v>
      </c>
      <c r="AM188" s="35"/>
      <c r="AN188" s="30"/>
      <c r="AO188" s="36">
        <f t="shared" si="42"/>
        <v>0</v>
      </c>
      <c r="AP188" s="35"/>
      <c r="AQ188" s="30"/>
      <c r="AR188" s="36">
        <f t="shared" si="43"/>
        <v>0</v>
      </c>
      <c r="AS188" s="27"/>
      <c r="AT188" s="37"/>
      <c r="AU188" s="30"/>
      <c r="AV188" s="36">
        <f t="shared" si="44"/>
        <v>0</v>
      </c>
      <c r="AW188" s="35"/>
      <c r="AX188" s="30"/>
      <c r="AY188" s="32">
        <f t="shared" si="45"/>
        <v>0</v>
      </c>
      <c r="AZ188" s="30" t="s">
        <v>440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439</v>
      </c>
      <c r="C189" s="25" t="str">
        <f t="shared" si="37"/>
        <v>Shipment 2 Outlet Stack</v>
      </c>
      <c r="D189" s="25" t="s">
        <v>441</v>
      </c>
      <c r="E189" s="25" t="s">
        <v>775</v>
      </c>
      <c r="F189" s="25"/>
      <c r="G189" s="65">
        <v>46204</v>
      </c>
      <c r="H189" s="25" t="s">
        <v>443</v>
      </c>
      <c r="I189" s="25" t="s">
        <v>444</v>
      </c>
      <c r="J189" s="26" t="s">
        <v>447</v>
      </c>
      <c r="K189" s="27" t="s">
        <v>556</v>
      </c>
      <c r="L189" s="28" t="s">
        <v>557</v>
      </c>
      <c r="M189" s="28" t="s">
        <v>547</v>
      </c>
      <c r="N189" s="25">
        <v>2</v>
      </c>
      <c r="O189" s="29">
        <v>13.9</v>
      </c>
      <c r="P189" s="29">
        <v>27.9</v>
      </c>
      <c r="Q189" s="25" t="s">
        <v>741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38"/>
        <v>0</v>
      </c>
      <c r="AF189" s="32">
        <f t="shared" si="39"/>
        <v>27.9</v>
      </c>
      <c r="AG189" s="30"/>
      <c r="AH189" s="33"/>
      <c r="AI189" s="34">
        <f t="shared" si="40"/>
        <v>0</v>
      </c>
      <c r="AJ189" s="35"/>
      <c r="AK189" s="30"/>
      <c r="AL189" s="36">
        <f t="shared" si="41"/>
        <v>0</v>
      </c>
      <c r="AM189" s="35"/>
      <c r="AN189" s="30"/>
      <c r="AO189" s="36">
        <f t="shared" si="42"/>
        <v>0</v>
      </c>
      <c r="AP189" s="35"/>
      <c r="AQ189" s="30"/>
      <c r="AR189" s="36">
        <f t="shared" si="43"/>
        <v>0</v>
      </c>
      <c r="AS189" s="27"/>
      <c r="AT189" s="37"/>
      <c r="AU189" s="30"/>
      <c r="AV189" s="36">
        <f t="shared" si="44"/>
        <v>0</v>
      </c>
      <c r="AW189" s="35"/>
      <c r="AX189" s="30"/>
      <c r="AY189" s="32">
        <f t="shared" si="45"/>
        <v>0</v>
      </c>
      <c r="AZ189" s="30" t="s">
        <v>440</v>
      </c>
      <c r="BA189" s="63"/>
      <c r="BB189" s="71"/>
      <c r="BC189" s="71"/>
      <c r="BD189" s="71"/>
    </row>
    <row r="190" spans="1:56" x14ac:dyDescent="0.25">
      <c r="A190" s="24">
        <f>IF(B190="","",SUBTOTAL(3,$B$4:B190))</f>
        <v>187</v>
      </c>
      <c r="B190" s="25" t="s">
        <v>439</v>
      </c>
      <c r="C190" s="25" t="str">
        <f t="shared" si="37"/>
        <v>Shipment 2 Outlet Stack</v>
      </c>
      <c r="D190" s="25" t="s">
        <v>441</v>
      </c>
      <c r="E190" s="25" t="s">
        <v>775</v>
      </c>
      <c r="F190" s="25"/>
      <c r="G190" s="65">
        <v>46204</v>
      </c>
      <c r="H190" s="25" t="s">
        <v>443</v>
      </c>
      <c r="I190" s="25" t="s">
        <v>444</v>
      </c>
      <c r="J190" s="26" t="s">
        <v>447</v>
      </c>
      <c r="K190" s="27" t="s">
        <v>558</v>
      </c>
      <c r="L190" s="28" t="s">
        <v>559</v>
      </c>
      <c r="M190" s="28" t="s">
        <v>547</v>
      </c>
      <c r="N190" s="25">
        <v>1</v>
      </c>
      <c r="O190" s="29">
        <v>37.799999999999997</v>
      </c>
      <c r="P190" s="29">
        <v>37.799999999999997</v>
      </c>
      <c r="Q190" s="25" t="s">
        <v>742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38"/>
        <v>0</v>
      </c>
      <c r="AF190" s="32">
        <f t="shared" si="39"/>
        <v>37.799999999999997</v>
      </c>
      <c r="AG190" s="30"/>
      <c r="AH190" s="33"/>
      <c r="AI190" s="34">
        <f t="shared" si="40"/>
        <v>0</v>
      </c>
      <c r="AJ190" s="35"/>
      <c r="AK190" s="30"/>
      <c r="AL190" s="36">
        <f t="shared" si="41"/>
        <v>0</v>
      </c>
      <c r="AM190" s="35"/>
      <c r="AN190" s="30"/>
      <c r="AO190" s="36">
        <f t="shared" si="42"/>
        <v>0</v>
      </c>
      <c r="AP190" s="35"/>
      <c r="AQ190" s="30"/>
      <c r="AR190" s="36">
        <f t="shared" si="43"/>
        <v>0</v>
      </c>
      <c r="AS190" s="27"/>
      <c r="AT190" s="37"/>
      <c r="AU190" s="30"/>
      <c r="AV190" s="36">
        <f t="shared" si="44"/>
        <v>0</v>
      </c>
      <c r="AW190" s="35"/>
      <c r="AX190" s="30"/>
      <c r="AY190" s="32">
        <f t="shared" si="45"/>
        <v>0</v>
      </c>
      <c r="AZ190" s="30" t="s">
        <v>440</v>
      </c>
      <c r="BA190" s="63"/>
      <c r="BB190" s="71"/>
      <c r="BC190" s="71"/>
      <c r="BD190" s="71"/>
    </row>
    <row r="191" spans="1:56" x14ac:dyDescent="0.25">
      <c r="A191" s="24">
        <f>IF(B191="","",SUBTOTAL(3,$B$4:B191))</f>
        <v>188</v>
      </c>
      <c r="B191" s="25" t="s">
        <v>439</v>
      </c>
      <c r="C191" s="25" t="str">
        <f t="shared" si="37"/>
        <v>Shipment 2 Outlet Stack</v>
      </c>
      <c r="D191" s="25" t="s">
        <v>441</v>
      </c>
      <c r="E191" s="25" t="s">
        <v>775</v>
      </c>
      <c r="F191" s="25"/>
      <c r="G191" s="65">
        <v>46204</v>
      </c>
      <c r="H191" s="25" t="s">
        <v>443</v>
      </c>
      <c r="I191" s="25" t="s">
        <v>444</v>
      </c>
      <c r="J191" s="26" t="s">
        <v>447</v>
      </c>
      <c r="K191" s="27" t="s">
        <v>560</v>
      </c>
      <c r="L191" s="28" t="s">
        <v>561</v>
      </c>
      <c r="M191" s="28" t="s">
        <v>547</v>
      </c>
      <c r="N191" s="25">
        <v>1</v>
      </c>
      <c r="O191" s="29">
        <v>13.9</v>
      </c>
      <c r="P191" s="29">
        <v>13.9</v>
      </c>
      <c r="Q191" s="25" t="s">
        <v>739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38"/>
        <v>0</v>
      </c>
      <c r="AF191" s="32">
        <f t="shared" si="39"/>
        <v>13.9</v>
      </c>
      <c r="AG191" s="30"/>
      <c r="AH191" s="33"/>
      <c r="AI191" s="34">
        <f t="shared" si="40"/>
        <v>0</v>
      </c>
      <c r="AJ191" s="35"/>
      <c r="AK191" s="30"/>
      <c r="AL191" s="36">
        <f t="shared" si="41"/>
        <v>0</v>
      </c>
      <c r="AM191" s="35"/>
      <c r="AN191" s="30"/>
      <c r="AO191" s="36">
        <f t="shared" si="42"/>
        <v>0</v>
      </c>
      <c r="AP191" s="35"/>
      <c r="AQ191" s="30"/>
      <c r="AR191" s="36">
        <f t="shared" si="43"/>
        <v>0</v>
      </c>
      <c r="AS191" s="27"/>
      <c r="AT191" s="37"/>
      <c r="AU191" s="30"/>
      <c r="AV191" s="36">
        <f t="shared" si="44"/>
        <v>0</v>
      </c>
      <c r="AW191" s="35"/>
      <c r="AX191" s="30"/>
      <c r="AY191" s="32">
        <f t="shared" si="45"/>
        <v>0</v>
      </c>
      <c r="AZ191" s="30" t="s">
        <v>440</v>
      </c>
      <c r="BA191" s="63"/>
      <c r="BB191" s="71"/>
      <c r="BC191" s="71"/>
      <c r="BD191" s="71"/>
    </row>
    <row r="192" spans="1:56" x14ac:dyDescent="0.25">
      <c r="A192" s="24">
        <f>IF(B192="","",SUBTOTAL(3,$B$4:B192))</f>
        <v>189</v>
      </c>
      <c r="B192" s="25" t="s">
        <v>439</v>
      </c>
      <c r="C192" s="25" t="str">
        <f t="shared" si="37"/>
        <v>Shipment 2 Outlet Stack</v>
      </c>
      <c r="D192" s="25" t="s">
        <v>441</v>
      </c>
      <c r="E192" s="25" t="s">
        <v>775</v>
      </c>
      <c r="F192" s="25"/>
      <c r="G192" s="65">
        <v>46204</v>
      </c>
      <c r="H192" s="25" t="s">
        <v>443</v>
      </c>
      <c r="I192" s="25" t="s">
        <v>444</v>
      </c>
      <c r="J192" s="26" t="s">
        <v>447</v>
      </c>
      <c r="K192" s="27" t="s">
        <v>562</v>
      </c>
      <c r="L192" s="28" t="s">
        <v>563</v>
      </c>
      <c r="M192" s="28" t="s">
        <v>547</v>
      </c>
      <c r="N192" s="25">
        <v>2</v>
      </c>
      <c r="O192" s="29">
        <v>13.9</v>
      </c>
      <c r="P192" s="29">
        <v>27.9</v>
      </c>
      <c r="Q192" s="25" t="s">
        <v>739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38"/>
        <v>0</v>
      </c>
      <c r="AF192" s="32">
        <f t="shared" si="39"/>
        <v>27.9</v>
      </c>
      <c r="AG192" s="30"/>
      <c r="AH192" s="33"/>
      <c r="AI192" s="34">
        <f t="shared" si="40"/>
        <v>0</v>
      </c>
      <c r="AJ192" s="35"/>
      <c r="AK192" s="30"/>
      <c r="AL192" s="36">
        <f t="shared" si="41"/>
        <v>0</v>
      </c>
      <c r="AM192" s="35"/>
      <c r="AN192" s="30"/>
      <c r="AO192" s="36">
        <f t="shared" si="42"/>
        <v>0</v>
      </c>
      <c r="AP192" s="35"/>
      <c r="AQ192" s="30"/>
      <c r="AR192" s="36">
        <f t="shared" si="43"/>
        <v>0</v>
      </c>
      <c r="AS192" s="27"/>
      <c r="AT192" s="37"/>
      <c r="AU192" s="30"/>
      <c r="AV192" s="36">
        <f t="shared" si="44"/>
        <v>0</v>
      </c>
      <c r="AW192" s="35"/>
      <c r="AX192" s="30"/>
      <c r="AY192" s="32">
        <f t="shared" si="45"/>
        <v>0</v>
      </c>
      <c r="AZ192" s="30" t="s">
        <v>440</v>
      </c>
      <c r="BA192" s="63"/>
      <c r="BB192" s="71"/>
      <c r="BC192" s="71"/>
      <c r="BD192" s="71"/>
    </row>
    <row r="193" spans="1:56" x14ac:dyDescent="0.25">
      <c r="A193" s="24">
        <f>IF(B193="","",SUBTOTAL(3,$B$4:B193))</f>
        <v>190</v>
      </c>
      <c r="B193" s="25" t="s">
        <v>439</v>
      </c>
      <c r="C193" s="25" t="str">
        <f t="shared" si="37"/>
        <v>Shipment 2 Outlet Stack</v>
      </c>
      <c r="D193" s="25" t="s">
        <v>441</v>
      </c>
      <c r="E193" s="25" t="s">
        <v>775</v>
      </c>
      <c r="F193" s="25"/>
      <c r="G193" s="65">
        <v>46204</v>
      </c>
      <c r="H193" s="25" t="s">
        <v>443</v>
      </c>
      <c r="I193" s="25" t="s">
        <v>444</v>
      </c>
      <c r="J193" s="26" t="s">
        <v>447</v>
      </c>
      <c r="K193" s="27" t="s">
        <v>564</v>
      </c>
      <c r="L193" s="28" t="s">
        <v>565</v>
      </c>
      <c r="M193" s="28" t="s">
        <v>547</v>
      </c>
      <c r="N193" s="25">
        <v>2</v>
      </c>
      <c r="O193" s="29">
        <v>13.9</v>
      </c>
      <c r="P193" s="29">
        <v>27.9</v>
      </c>
      <c r="Q193" s="25" t="s">
        <v>741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38"/>
        <v>0</v>
      </c>
      <c r="AF193" s="32">
        <f t="shared" si="39"/>
        <v>27.9</v>
      </c>
      <c r="AG193" s="30"/>
      <c r="AH193" s="33"/>
      <c r="AI193" s="34">
        <f t="shared" si="40"/>
        <v>0</v>
      </c>
      <c r="AJ193" s="35"/>
      <c r="AK193" s="30"/>
      <c r="AL193" s="36">
        <f t="shared" si="41"/>
        <v>0</v>
      </c>
      <c r="AM193" s="35"/>
      <c r="AN193" s="30"/>
      <c r="AO193" s="36">
        <f t="shared" si="42"/>
        <v>0</v>
      </c>
      <c r="AP193" s="35"/>
      <c r="AQ193" s="30"/>
      <c r="AR193" s="36">
        <f t="shared" si="43"/>
        <v>0</v>
      </c>
      <c r="AS193" s="27"/>
      <c r="AT193" s="37"/>
      <c r="AU193" s="30"/>
      <c r="AV193" s="36">
        <f t="shared" si="44"/>
        <v>0</v>
      </c>
      <c r="AW193" s="35"/>
      <c r="AX193" s="30"/>
      <c r="AY193" s="32">
        <f t="shared" si="45"/>
        <v>0</v>
      </c>
      <c r="AZ193" s="30" t="s">
        <v>440</v>
      </c>
      <c r="BA193" s="63"/>
      <c r="BB193" s="71"/>
      <c r="BC193" s="71"/>
      <c r="BD193" s="71"/>
    </row>
    <row r="194" spans="1:56" x14ac:dyDescent="0.25">
      <c r="A194" s="24">
        <f>IF(B194="","",SUBTOTAL(3,$B$4:B194))</f>
        <v>191</v>
      </c>
      <c r="B194" s="25" t="s">
        <v>439</v>
      </c>
      <c r="C194" s="25" t="str">
        <f t="shared" si="37"/>
        <v>Shipment 2 Outlet Stack</v>
      </c>
      <c r="D194" s="25" t="s">
        <v>441</v>
      </c>
      <c r="E194" s="25" t="s">
        <v>775</v>
      </c>
      <c r="F194" s="25"/>
      <c r="G194" s="65">
        <v>46204</v>
      </c>
      <c r="H194" s="25" t="s">
        <v>443</v>
      </c>
      <c r="I194" s="25" t="s">
        <v>444</v>
      </c>
      <c r="J194" s="26" t="s">
        <v>447</v>
      </c>
      <c r="K194" s="27" t="s">
        <v>566</v>
      </c>
      <c r="L194" s="28" t="s">
        <v>567</v>
      </c>
      <c r="M194" s="28" t="s">
        <v>547</v>
      </c>
      <c r="N194" s="25">
        <v>1</v>
      </c>
      <c r="O194" s="29">
        <v>13.9</v>
      </c>
      <c r="P194" s="29">
        <v>13.9</v>
      </c>
      <c r="Q194" s="25" t="s">
        <v>740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38"/>
        <v>0</v>
      </c>
      <c r="AF194" s="32">
        <f t="shared" si="39"/>
        <v>13.9</v>
      </c>
      <c r="AG194" s="30"/>
      <c r="AH194" s="33"/>
      <c r="AI194" s="34">
        <f t="shared" si="40"/>
        <v>0</v>
      </c>
      <c r="AJ194" s="35"/>
      <c r="AK194" s="30"/>
      <c r="AL194" s="36">
        <f t="shared" si="41"/>
        <v>0</v>
      </c>
      <c r="AM194" s="35"/>
      <c r="AN194" s="30"/>
      <c r="AO194" s="36">
        <f t="shared" si="42"/>
        <v>0</v>
      </c>
      <c r="AP194" s="35"/>
      <c r="AQ194" s="30"/>
      <c r="AR194" s="36">
        <f t="shared" si="43"/>
        <v>0</v>
      </c>
      <c r="AS194" s="27"/>
      <c r="AT194" s="37"/>
      <c r="AU194" s="30"/>
      <c r="AV194" s="36">
        <f t="shared" si="44"/>
        <v>0</v>
      </c>
      <c r="AW194" s="35"/>
      <c r="AX194" s="30"/>
      <c r="AY194" s="32">
        <f t="shared" si="45"/>
        <v>0</v>
      </c>
      <c r="AZ194" s="30" t="s">
        <v>440</v>
      </c>
      <c r="BA194" s="63"/>
      <c r="BB194" s="71"/>
      <c r="BC194" s="71"/>
      <c r="BD194" s="71"/>
    </row>
    <row r="195" spans="1:56" x14ac:dyDescent="0.25">
      <c r="A195" s="24">
        <f>IF(B195="","",SUBTOTAL(3,$B$4:B195))</f>
        <v>192</v>
      </c>
      <c r="B195" s="25" t="s">
        <v>439</v>
      </c>
      <c r="C195" s="25" t="str">
        <f t="shared" si="37"/>
        <v>Shipment 2 Outlet Stack</v>
      </c>
      <c r="D195" s="25" t="s">
        <v>441</v>
      </c>
      <c r="E195" s="25" t="s">
        <v>775</v>
      </c>
      <c r="F195" s="25"/>
      <c r="G195" s="65">
        <v>46204</v>
      </c>
      <c r="H195" s="25" t="s">
        <v>443</v>
      </c>
      <c r="I195" s="25" t="s">
        <v>444</v>
      </c>
      <c r="J195" s="26" t="s">
        <v>447</v>
      </c>
      <c r="K195" s="27" t="s">
        <v>568</v>
      </c>
      <c r="L195" s="28" t="s">
        <v>569</v>
      </c>
      <c r="M195" s="28" t="s">
        <v>547</v>
      </c>
      <c r="N195" s="25">
        <v>1</v>
      </c>
      <c r="O195" s="29">
        <v>12.4</v>
      </c>
      <c r="P195" s="29">
        <v>12.4</v>
      </c>
      <c r="Q195" s="25" t="s">
        <v>743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38"/>
        <v>0</v>
      </c>
      <c r="AF195" s="32">
        <f t="shared" si="39"/>
        <v>12.4</v>
      </c>
      <c r="AG195" s="30"/>
      <c r="AH195" s="33"/>
      <c r="AI195" s="34">
        <f t="shared" si="40"/>
        <v>0</v>
      </c>
      <c r="AJ195" s="35"/>
      <c r="AK195" s="30"/>
      <c r="AL195" s="36">
        <f t="shared" si="41"/>
        <v>0</v>
      </c>
      <c r="AM195" s="35"/>
      <c r="AN195" s="30"/>
      <c r="AO195" s="36">
        <f t="shared" si="42"/>
        <v>0</v>
      </c>
      <c r="AP195" s="35"/>
      <c r="AQ195" s="30"/>
      <c r="AR195" s="36">
        <f t="shared" si="43"/>
        <v>0</v>
      </c>
      <c r="AS195" s="27"/>
      <c r="AT195" s="37"/>
      <c r="AU195" s="30"/>
      <c r="AV195" s="36">
        <f t="shared" si="44"/>
        <v>0</v>
      </c>
      <c r="AW195" s="35"/>
      <c r="AX195" s="30"/>
      <c r="AY195" s="32">
        <f t="shared" si="45"/>
        <v>0</v>
      </c>
      <c r="AZ195" s="30" t="s">
        <v>440</v>
      </c>
      <c r="BA195" s="63"/>
      <c r="BB195" s="71"/>
      <c r="BC195" s="71"/>
      <c r="BD195" s="71"/>
    </row>
    <row r="196" spans="1:56" x14ac:dyDescent="0.25">
      <c r="A196" s="24">
        <f>IF(B196="","",SUBTOTAL(3,$B$4:B196))</f>
        <v>193</v>
      </c>
      <c r="B196" s="25" t="s">
        <v>439</v>
      </c>
      <c r="C196" s="25" t="str">
        <f t="shared" si="37"/>
        <v>Shipment 2 Outlet Stack</v>
      </c>
      <c r="D196" s="25" t="s">
        <v>441</v>
      </c>
      <c r="E196" s="25" t="s">
        <v>775</v>
      </c>
      <c r="F196" s="25"/>
      <c r="G196" s="65">
        <v>46204</v>
      </c>
      <c r="H196" s="25" t="s">
        <v>443</v>
      </c>
      <c r="I196" s="25" t="s">
        <v>444</v>
      </c>
      <c r="J196" s="26" t="s">
        <v>447</v>
      </c>
      <c r="K196" s="27" t="s">
        <v>570</v>
      </c>
      <c r="L196" s="28" t="s">
        <v>571</v>
      </c>
      <c r="M196" s="28" t="s">
        <v>547</v>
      </c>
      <c r="N196" s="25">
        <v>1</v>
      </c>
      <c r="O196" s="29">
        <v>9.1</v>
      </c>
      <c r="P196" s="29">
        <v>9.1</v>
      </c>
      <c r="Q196" s="25" t="s">
        <v>744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38"/>
        <v>0</v>
      </c>
      <c r="AF196" s="32">
        <f t="shared" si="39"/>
        <v>9.1</v>
      </c>
      <c r="AG196" s="30"/>
      <c r="AH196" s="33"/>
      <c r="AI196" s="34">
        <f t="shared" si="40"/>
        <v>0</v>
      </c>
      <c r="AJ196" s="35"/>
      <c r="AK196" s="30"/>
      <c r="AL196" s="36">
        <f t="shared" si="41"/>
        <v>0</v>
      </c>
      <c r="AM196" s="35"/>
      <c r="AN196" s="30"/>
      <c r="AO196" s="36">
        <f t="shared" si="42"/>
        <v>0</v>
      </c>
      <c r="AP196" s="35"/>
      <c r="AQ196" s="30"/>
      <c r="AR196" s="36">
        <f t="shared" si="43"/>
        <v>0</v>
      </c>
      <c r="AS196" s="27"/>
      <c r="AT196" s="37"/>
      <c r="AU196" s="30"/>
      <c r="AV196" s="36">
        <f t="shared" si="44"/>
        <v>0</v>
      </c>
      <c r="AW196" s="35"/>
      <c r="AX196" s="30"/>
      <c r="AY196" s="32">
        <f t="shared" si="45"/>
        <v>0</v>
      </c>
      <c r="AZ196" s="30" t="s">
        <v>440</v>
      </c>
      <c r="BA196" s="63"/>
      <c r="BB196" s="71"/>
      <c r="BC196" s="71"/>
      <c r="BD196" s="71"/>
    </row>
    <row r="197" spans="1:56" x14ac:dyDescent="0.25">
      <c r="A197" s="24">
        <f>IF(B197="","",SUBTOTAL(3,$B$4:B197))</f>
        <v>194</v>
      </c>
      <c r="B197" s="25" t="s">
        <v>439</v>
      </c>
      <c r="C197" s="25" t="str">
        <f t="shared" si="37"/>
        <v>Shipment 2 Outlet Stack</v>
      </c>
      <c r="D197" s="25" t="s">
        <v>441</v>
      </c>
      <c r="E197" s="25" t="s">
        <v>775</v>
      </c>
      <c r="F197" s="25"/>
      <c r="G197" s="65">
        <v>46204</v>
      </c>
      <c r="H197" s="25" t="s">
        <v>443</v>
      </c>
      <c r="I197" s="25" t="s">
        <v>444</v>
      </c>
      <c r="J197" s="26" t="s">
        <v>447</v>
      </c>
      <c r="K197" s="27" t="s">
        <v>572</v>
      </c>
      <c r="L197" s="28" t="s">
        <v>573</v>
      </c>
      <c r="M197" s="28" t="s">
        <v>547</v>
      </c>
      <c r="N197" s="25">
        <v>1</v>
      </c>
      <c r="O197" s="29">
        <v>12.4</v>
      </c>
      <c r="P197" s="29">
        <v>12.4</v>
      </c>
      <c r="Q197" s="25" t="s">
        <v>743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38"/>
        <v>0</v>
      </c>
      <c r="AF197" s="32">
        <f t="shared" si="39"/>
        <v>12.4</v>
      </c>
      <c r="AG197" s="30"/>
      <c r="AH197" s="33"/>
      <c r="AI197" s="34">
        <f t="shared" si="40"/>
        <v>0</v>
      </c>
      <c r="AJ197" s="35"/>
      <c r="AK197" s="30"/>
      <c r="AL197" s="36">
        <f t="shared" si="41"/>
        <v>0</v>
      </c>
      <c r="AM197" s="35"/>
      <c r="AN197" s="30"/>
      <c r="AO197" s="36">
        <f t="shared" si="42"/>
        <v>0</v>
      </c>
      <c r="AP197" s="35"/>
      <c r="AQ197" s="30"/>
      <c r="AR197" s="36">
        <f t="shared" si="43"/>
        <v>0</v>
      </c>
      <c r="AS197" s="27"/>
      <c r="AT197" s="37"/>
      <c r="AU197" s="30"/>
      <c r="AV197" s="36">
        <f t="shared" si="44"/>
        <v>0</v>
      </c>
      <c r="AW197" s="35"/>
      <c r="AX197" s="30"/>
      <c r="AY197" s="32">
        <f t="shared" si="45"/>
        <v>0</v>
      </c>
      <c r="AZ197" s="30" t="s">
        <v>440</v>
      </c>
      <c r="BA197" s="63"/>
      <c r="BB197" s="71"/>
      <c r="BC197" s="71"/>
      <c r="BD197" s="71"/>
    </row>
    <row r="198" spans="1:56" x14ac:dyDescent="0.25">
      <c r="A198" s="24">
        <f>IF(B198="","",SUBTOTAL(3,$B$4:B198))</f>
        <v>195</v>
      </c>
      <c r="B198" s="25" t="s">
        <v>439</v>
      </c>
      <c r="C198" s="25" t="str">
        <f t="shared" si="37"/>
        <v>Shipment 2 Outlet Stack</v>
      </c>
      <c r="D198" s="25" t="s">
        <v>441</v>
      </c>
      <c r="E198" s="25" t="s">
        <v>775</v>
      </c>
      <c r="F198" s="25"/>
      <c r="G198" s="65">
        <v>46204</v>
      </c>
      <c r="H198" s="25" t="s">
        <v>443</v>
      </c>
      <c r="I198" s="25" t="s">
        <v>444</v>
      </c>
      <c r="J198" s="26" t="s">
        <v>447</v>
      </c>
      <c r="K198" s="27" t="s">
        <v>574</v>
      </c>
      <c r="L198" s="28" t="s">
        <v>575</v>
      </c>
      <c r="M198" s="28" t="s">
        <v>547</v>
      </c>
      <c r="N198" s="25">
        <v>7</v>
      </c>
      <c r="O198" s="29">
        <v>13.9</v>
      </c>
      <c r="P198" s="29">
        <v>97.6</v>
      </c>
      <c r="Q198" s="25" t="s">
        <v>739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38"/>
        <v>0</v>
      </c>
      <c r="AF198" s="32">
        <f t="shared" si="39"/>
        <v>97.6</v>
      </c>
      <c r="AG198" s="30"/>
      <c r="AH198" s="33"/>
      <c r="AI198" s="34">
        <f t="shared" si="40"/>
        <v>0</v>
      </c>
      <c r="AJ198" s="35"/>
      <c r="AK198" s="30"/>
      <c r="AL198" s="36">
        <f t="shared" si="41"/>
        <v>0</v>
      </c>
      <c r="AM198" s="35"/>
      <c r="AN198" s="30"/>
      <c r="AO198" s="36">
        <f t="shared" si="42"/>
        <v>0</v>
      </c>
      <c r="AP198" s="35"/>
      <c r="AQ198" s="30"/>
      <c r="AR198" s="36">
        <f t="shared" si="43"/>
        <v>0</v>
      </c>
      <c r="AS198" s="27"/>
      <c r="AT198" s="37"/>
      <c r="AU198" s="30"/>
      <c r="AV198" s="36">
        <f t="shared" si="44"/>
        <v>0</v>
      </c>
      <c r="AW198" s="35"/>
      <c r="AX198" s="30"/>
      <c r="AY198" s="32">
        <f t="shared" si="45"/>
        <v>0</v>
      </c>
      <c r="AZ198" s="30" t="s">
        <v>440</v>
      </c>
      <c r="BA198" s="63"/>
      <c r="BB198" s="71"/>
      <c r="BC198" s="71"/>
      <c r="BD198" s="71"/>
    </row>
    <row r="199" spans="1:56" x14ac:dyDescent="0.25">
      <c r="A199" s="24">
        <f>IF(B199="","",SUBTOTAL(3,$B$4:B199))</f>
        <v>196</v>
      </c>
      <c r="B199" s="25" t="s">
        <v>439</v>
      </c>
      <c r="C199" s="25" t="str">
        <f t="shared" si="37"/>
        <v>Shipment 2 Outlet Stack</v>
      </c>
      <c r="D199" s="25" t="s">
        <v>441</v>
      </c>
      <c r="E199" s="25" t="s">
        <v>775</v>
      </c>
      <c r="F199" s="25"/>
      <c r="G199" s="65">
        <v>46204</v>
      </c>
      <c r="H199" s="25" t="s">
        <v>443</v>
      </c>
      <c r="I199" s="25" t="s">
        <v>444</v>
      </c>
      <c r="J199" s="26" t="s">
        <v>447</v>
      </c>
      <c r="K199" s="27" t="s">
        <v>576</v>
      </c>
      <c r="L199" s="28" t="s">
        <v>577</v>
      </c>
      <c r="M199" s="28" t="s">
        <v>547</v>
      </c>
      <c r="N199" s="25">
        <v>1</v>
      </c>
      <c r="O199" s="29">
        <v>10.9</v>
      </c>
      <c r="P199" s="29">
        <v>10.9</v>
      </c>
      <c r="Q199" s="25" t="s">
        <v>745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38"/>
        <v>0</v>
      </c>
      <c r="AF199" s="32">
        <f t="shared" si="39"/>
        <v>10.9</v>
      </c>
      <c r="AG199" s="30"/>
      <c r="AH199" s="33"/>
      <c r="AI199" s="34">
        <f t="shared" si="40"/>
        <v>0</v>
      </c>
      <c r="AJ199" s="35"/>
      <c r="AK199" s="30"/>
      <c r="AL199" s="36">
        <f t="shared" si="41"/>
        <v>0</v>
      </c>
      <c r="AM199" s="35"/>
      <c r="AN199" s="30"/>
      <c r="AO199" s="36">
        <f t="shared" si="42"/>
        <v>0</v>
      </c>
      <c r="AP199" s="35"/>
      <c r="AQ199" s="30"/>
      <c r="AR199" s="36">
        <f t="shared" si="43"/>
        <v>0</v>
      </c>
      <c r="AS199" s="27"/>
      <c r="AT199" s="37"/>
      <c r="AU199" s="30"/>
      <c r="AV199" s="36">
        <f t="shared" si="44"/>
        <v>0</v>
      </c>
      <c r="AW199" s="35"/>
      <c r="AX199" s="30"/>
      <c r="AY199" s="32">
        <f t="shared" si="45"/>
        <v>0</v>
      </c>
      <c r="AZ199" s="30" t="s">
        <v>440</v>
      </c>
      <c r="BA199" s="63"/>
      <c r="BB199" s="71"/>
      <c r="BC199" s="71"/>
      <c r="BD199" s="71"/>
    </row>
    <row r="200" spans="1:56" x14ac:dyDescent="0.25">
      <c r="A200" s="24">
        <f>IF(B200="","",SUBTOTAL(3,$B$4:B200))</f>
        <v>197</v>
      </c>
      <c r="B200" s="25" t="s">
        <v>439</v>
      </c>
      <c r="C200" s="25" t="str">
        <f t="shared" si="37"/>
        <v>Shipment 2 Outlet Stack</v>
      </c>
      <c r="D200" s="25" t="s">
        <v>441</v>
      </c>
      <c r="E200" s="25" t="s">
        <v>775</v>
      </c>
      <c r="F200" s="25"/>
      <c r="G200" s="65">
        <v>46204</v>
      </c>
      <c r="H200" s="25" t="s">
        <v>443</v>
      </c>
      <c r="I200" s="25" t="s">
        <v>444</v>
      </c>
      <c r="J200" s="26" t="s">
        <v>447</v>
      </c>
      <c r="K200" s="27" t="s">
        <v>578</v>
      </c>
      <c r="L200" s="28" t="s">
        <v>579</v>
      </c>
      <c r="M200" s="28" t="s">
        <v>547</v>
      </c>
      <c r="N200" s="25">
        <v>1</v>
      </c>
      <c r="O200" s="29">
        <v>14.4</v>
      </c>
      <c r="P200" s="29">
        <v>14.4</v>
      </c>
      <c r="Q200" s="25" t="s">
        <v>746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38"/>
        <v>0</v>
      </c>
      <c r="AF200" s="32">
        <f t="shared" si="39"/>
        <v>14.4</v>
      </c>
      <c r="AG200" s="30"/>
      <c r="AH200" s="33"/>
      <c r="AI200" s="34">
        <f t="shared" si="40"/>
        <v>0</v>
      </c>
      <c r="AJ200" s="35"/>
      <c r="AK200" s="30"/>
      <c r="AL200" s="36">
        <f t="shared" si="41"/>
        <v>0</v>
      </c>
      <c r="AM200" s="35"/>
      <c r="AN200" s="30"/>
      <c r="AO200" s="36">
        <f t="shared" si="42"/>
        <v>0</v>
      </c>
      <c r="AP200" s="35"/>
      <c r="AQ200" s="30"/>
      <c r="AR200" s="36">
        <f t="shared" si="43"/>
        <v>0</v>
      </c>
      <c r="AS200" s="27"/>
      <c r="AT200" s="37"/>
      <c r="AU200" s="30"/>
      <c r="AV200" s="36">
        <f t="shared" si="44"/>
        <v>0</v>
      </c>
      <c r="AW200" s="35"/>
      <c r="AX200" s="30"/>
      <c r="AY200" s="32">
        <f t="shared" si="45"/>
        <v>0</v>
      </c>
      <c r="AZ200" s="30" t="s">
        <v>440</v>
      </c>
      <c r="BA200" s="63"/>
      <c r="BB200" s="71"/>
      <c r="BC200" s="71"/>
      <c r="BD200" s="71"/>
    </row>
    <row r="201" spans="1:56" x14ac:dyDescent="0.25">
      <c r="A201" s="24">
        <f>IF(B201="","",SUBTOTAL(3,$B$4:B201))</f>
        <v>198</v>
      </c>
      <c r="B201" s="25" t="s">
        <v>439</v>
      </c>
      <c r="C201" s="25" t="str">
        <f t="shared" si="37"/>
        <v>Shipment 2 Outlet Stack</v>
      </c>
      <c r="D201" s="25" t="s">
        <v>441</v>
      </c>
      <c r="E201" s="25" t="s">
        <v>775</v>
      </c>
      <c r="F201" s="25"/>
      <c r="G201" s="65">
        <v>46204</v>
      </c>
      <c r="H201" s="25" t="s">
        <v>443</v>
      </c>
      <c r="I201" s="25" t="s">
        <v>444</v>
      </c>
      <c r="J201" s="26" t="s">
        <v>447</v>
      </c>
      <c r="K201" s="27" t="s">
        <v>580</v>
      </c>
      <c r="L201" s="28" t="s">
        <v>581</v>
      </c>
      <c r="M201" s="28" t="s">
        <v>547</v>
      </c>
      <c r="N201" s="25">
        <v>2</v>
      </c>
      <c r="O201" s="29">
        <v>13.9</v>
      </c>
      <c r="P201" s="29">
        <v>27.9</v>
      </c>
      <c r="Q201" s="25" t="s">
        <v>741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38"/>
        <v>0</v>
      </c>
      <c r="AF201" s="32">
        <f t="shared" si="39"/>
        <v>27.9</v>
      </c>
      <c r="AG201" s="30"/>
      <c r="AH201" s="33"/>
      <c r="AI201" s="34">
        <f t="shared" si="40"/>
        <v>0</v>
      </c>
      <c r="AJ201" s="35"/>
      <c r="AK201" s="30"/>
      <c r="AL201" s="36">
        <f t="shared" si="41"/>
        <v>0</v>
      </c>
      <c r="AM201" s="35"/>
      <c r="AN201" s="30"/>
      <c r="AO201" s="36">
        <f t="shared" si="42"/>
        <v>0</v>
      </c>
      <c r="AP201" s="35"/>
      <c r="AQ201" s="30"/>
      <c r="AR201" s="36">
        <f t="shared" si="43"/>
        <v>0</v>
      </c>
      <c r="AS201" s="27"/>
      <c r="AT201" s="37"/>
      <c r="AU201" s="30"/>
      <c r="AV201" s="36">
        <f t="shared" si="44"/>
        <v>0</v>
      </c>
      <c r="AW201" s="35"/>
      <c r="AX201" s="30"/>
      <c r="AY201" s="32">
        <f t="shared" si="45"/>
        <v>0</v>
      </c>
      <c r="AZ201" s="30" t="s">
        <v>440</v>
      </c>
      <c r="BA201" s="63"/>
      <c r="BB201" s="71"/>
      <c r="BC201" s="71"/>
      <c r="BD201" s="71"/>
    </row>
    <row r="202" spans="1:56" x14ac:dyDescent="0.25">
      <c r="A202" s="24">
        <f>IF(B202="","",SUBTOTAL(3,$B$4:B202))</f>
        <v>199</v>
      </c>
      <c r="B202" s="25" t="s">
        <v>439</v>
      </c>
      <c r="C202" s="25" t="str">
        <f t="shared" si="37"/>
        <v>Shipment 2 Outlet Stack</v>
      </c>
      <c r="D202" s="25" t="s">
        <v>441</v>
      </c>
      <c r="E202" s="25" t="s">
        <v>775</v>
      </c>
      <c r="F202" s="25"/>
      <c r="G202" s="65">
        <v>46204</v>
      </c>
      <c r="H202" s="25" t="s">
        <v>443</v>
      </c>
      <c r="I202" s="25" t="s">
        <v>444</v>
      </c>
      <c r="J202" s="26" t="s">
        <v>447</v>
      </c>
      <c r="K202" s="27" t="s">
        <v>582</v>
      </c>
      <c r="L202" s="28" t="s">
        <v>583</v>
      </c>
      <c r="M202" s="28" t="s">
        <v>547</v>
      </c>
      <c r="N202" s="25">
        <v>1</v>
      </c>
      <c r="O202" s="29">
        <v>37.799999999999997</v>
      </c>
      <c r="P202" s="29">
        <v>37.799999999999997</v>
      </c>
      <c r="Q202" s="25" t="s">
        <v>742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38"/>
        <v>0</v>
      </c>
      <c r="AF202" s="32">
        <f t="shared" si="39"/>
        <v>37.799999999999997</v>
      </c>
      <c r="AG202" s="30"/>
      <c r="AH202" s="33"/>
      <c r="AI202" s="34">
        <f t="shared" si="40"/>
        <v>0</v>
      </c>
      <c r="AJ202" s="35"/>
      <c r="AK202" s="30"/>
      <c r="AL202" s="36">
        <f t="shared" si="41"/>
        <v>0</v>
      </c>
      <c r="AM202" s="35"/>
      <c r="AN202" s="30"/>
      <c r="AO202" s="36">
        <f t="shared" si="42"/>
        <v>0</v>
      </c>
      <c r="AP202" s="35"/>
      <c r="AQ202" s="30"/>
      <c r="AR202" s="36">
        <f t="shared" si="43"/>
        <v>0</v>
      </c>
      <c r="AS202" s="27"/>
      <c r="AT202" s="37"/>
      <c r="AU202" s="30"/>
      <c r="AV202" s="36">
        <f t="shared" si="44"/>
        <v>0</v>
      </c>
      <c r="AW202" s="35"/>
      <c r="AX202" s="30"/>
      <c r="AY202" s="32">
        <f t="shared" si="45"/>
        <v>0</v>
      </c>
      <c r="AZ202" s="30" t="s">
        <v>440</v>
      </c>
      <c r="BA202" s="63"/>
      <c r="BB202" s="71"/>
      <c r="BC202" s="71"/>
      <c r="BD202" s="71"/>
    </row>
    <row r="203" spans="1:56" x14ac:dyDescent="0.25">
      <c r="A203" s="24">
        <f>IF(B203="","",SUBTOTAL(3,$B$4:B203))</f>
        <v>200</v>
      </c>
      <c r="B203" s="25" t="s">
        <v>439</v>
      </c>
      <c r="C203" s="25" t="str">
        <f t="shared" ref="C203:C234" si="46">D203&amp;" "&amp;E203</f>
        <v>Shipment 2 Outlet Stack</v>
      </c>
      <c r="D203" s="25" t="s">
        <v>441</v>
      </c>
      <c r="E203" s="25" t="s">
        <v>775</v>
      </c>
      <c r="F203" s="25"/>
      <c r="G203" s="65">
        <v>46204</v>
      </c>
      <c r="H203" s="25" t="s">
        <v>443</v>
      </c>
      <c r="I203" s="25" t="s">
        <v>444</v>
      </c>
      <c r="J203" s="26" t="s">
        <v>447</v>
      </c>
      <c r="K203" s="27" t="s">
        <v>584</v>
      </c>
      <c r="L203" s="28" t="s">
        <v>585</v>
      </c>
      <c r="M203" s="28" t="s">
        <v>547</v>
      </c>
      <c r="N203" s="25">
        <v>1</v>
      </c>
      <c r="O203" s="29">
        <v>13.9</v>
      </c>
      <c r="P203" s="29">
        <v>13.9</v>
      </c>
      <c r="Q203" s="25" t="s">
        <v>739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8"/>
        <v>0</v>
      </c>
      <c r="AF203" s="32">
        <f t="shared" si="39"/>
        <v>13.9</v>
      </c>
      <c r="AG203" s="30"/>
      <c r="AH203" s="33"/>
      <c r="AI203" s="34">
        <f t="shared" si="40"/>
        <v>0</v>
      </c>
      <c r="AJ203" s="35"/>
      <c r="AK203" s="30"/>
      <c r="AL203" s="36">
        <f t="shared" si="41"/>
        <v>0</v>
      </c>
      <c r="AM203" s="35"/>
      <c r="AN203" s="30"/>
      <c r="AO203" s="36">
        <f t="shared" si="42"/>
        <v>0</v>
      </c>
      <c r="AP203" s="35"/>
      <c r="AQ203" s="30"/>
      <c r="AR203" s="36">
        <f t="shared" si="43"/>
        <v>0</v>
      </c>
      <c r="AS203" s="27"/>
      <c r="AT203" s="37"/>
      <c r="AU203" s="30"/>
      <c r="AV203" s="36">
        <f t="shared" si="44"/>
        <v>0</v>
      </c>
      <c r="AW203" s="35"/>
      <c r="AX203" s="30"/>
      <c r="AY203" s="32">
        <f t="shared" si="45"/>
        <v>0</v>
      </c>
      <c r="AZ203" s="30" t="s">
        <v>440</v>
      </c>
      <c r="BA203" s="63"/>
      <c r="BB203" s="71"/>
      <c r="BC203" s="71"/>
      <c r="BD203" s="71"/>
    </row>
    <row r="204" spans="1:56" x14ac:dyDescent="0.25">
      <c r="A204" s="24">
        <f>IF(B204="","",SUBTOTAL(3,$B$4:B204))</f>
        <v>201</v>
      </c>
      <c r="B204" s="25" t="s">
        <v>439</v>
      </c>
      <c r="C204" s="25" t="str">
        <f t="shared" si="46"/>
        <v>Shipment 2 Outlet Stack</v>
      </c>
      <c r="D204" s="25" t="s">
        <v>441</v>
      </c>
      <c r="E204" s="25" t="s">
        <v>775</v>
      </c>
      <c r="F204" s="25"/>
      <c r="G204" s="65">
        <v>46204</v>
      </c>
      <c r="H204" s="25" t="s">
        <v>443</v>
      </c>
      <c r="I204" s="25" t="s">
        <v>444</v>
      </c>
      <c r="J204" s="26" t="s">
        <v>447</v>
      </c>
      <c r="K204" s="27" t="s">
        <v>586</v>
      </c>
      <c r="L204" s="28" t="s">
        <v>587</v>
      </c>
      <c r="M204" s="28" t="s">
        <v>547</v>
      </c>
      <c r="N204" s="25">
        <v>2</v>
      </c>
      <c r="O204" s="29">
        <v>13.9</v>
      </c>
      <c r="P204" s="29">
        <v>27.9</v>
      </c>
      <c r="Q204" s="25" t="s">
        <v>741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8"/>
        <v>0</v>
      </c>
      <c r="AF204" s="32">
        <f t="shared" si="39"/>
        <v>27.9</v>
      </c>
      <c r="AG204" s="30"/>
      <c r="AH204" s="33"/>
      <c r="AI204" s="34">
        <f t="shared" si="40"/>
        <v>0</v>
      </c>
      <c r="AJ204" s="35"/>
      <c r="AK204" s="30"/>
      <c r="AL204" s="36">
        <f t="shared" si="41"/>
        <v>0</v>
      </c>
      <c r="AM204" s="35"/>
      <c r="AN204" s="30"/>
      <c r="AO204" s="36">
        <f t="shared" si="42"/>
        <v>0</v>
      </c>
      <c r="AP204" s="35"/>
      <c r="AQ204" s="30"/>
      <c r="AR204" s="36">
        <f t="shared" si="43"/>
        <v>0</v>
      </c>
      <c r="AS204" s="27"/>
      <c r="AT204" s="37"/>
      <c r="AU204" s="30"/>
      <c r="AV204" s="36">
        <f t="shared" si="44"/>
        <v>0</v>
      </c>
      <c r="AW204" s="35"/>
      <c r="AX204" s="30"/>
      <c r="AY204" s="32">
        <f t="shared" si="45"/>
        <v>0</v>
      </c>
      <c r="AZ204" s="30" t="s">
        <v>440</v>
      </c>
      <c r="BA204" s="63"/>
      <c r="BB204" s="71"/>
      <c r="BC204" s="71"/>
      <c r="BD204" s="71"/>
    </row>
    <row r="205" spans="1:56" x14ac:dyDescent="0.25">
      <c r="A205" s="24">
        <f>IF(B205="","",SUBTOTAL(3,$B$4:B205))</f>
        <v>202</v>
      </c>
      <c r="B205" s="25" t="s">
        <v>439</v>
      </c>
      <c r="C205" s="25" t="str">
        <f t="shared" si="46"/>
        <v>Shipment 2 Outlet Stack</v>
      </c>
      <c r="D205" s="25" t="s">
        <v>441</v>
      </c>
      <c r="E205" s="25" t="s">
        <v>775</v>
      </c>
      <c r="F205" s="25"/>
      <c r="G205" s="65">
        <v>46204</v>
      </c>
      <c r="H205" s="25" t="s">
        <v>443</v>
      </c>
      <c r="I205" s="25" t="s">
        <v>444</v>
      </c>
      <c r="J205" s="26" t="s">
        <v>447</v>
      </c>
      <c r="K205" s="27" t="s">
        <v>588</v>
      </c>
      <c r="L205" s="28" t="s">
        <v>589</v>
      </c>
      <c r="M205" s="28" t="s">
        <v>547</v>
      </c>
      <c r="N205" s="25">
        <v>1</v>
      </c>
      <c r="O205" s="29">
        <v>12.4</v>
      </c>
      <c r="P205" s="29">
        <v>12.4</v>
      </c>
      <c r="Q205" s="25" t="s">
        <v>743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8"/>
        <v>0</v>
      </c>
      <c r="AF205" s="32">
        <f t="shared" si="39"/>
        <v>12.4</v>
      </c>
      <c r="AG205" s="30"/>
      <c r="AH205" s="33"/>
      <c r="AI205" s="34">
        <f t="shared" si="40"/>
        <v>0</v>
      </c>
      <c r="AJ205" s="35"/>
      <c r="AK205" s="30"/>
      <c r="AL205" s="36">
        <f t="shared" si="41"/>
        <v>0</v>
      </c>
      <c r="AM205" s="35"/>
      <c r="AN205" s="30"/>
      <c r="AO205" s="36">
        <f t="shared" si="42"/>
        <v>0</v>
      </c>
      <c r="AP205" s="35"/>
      <c r="AQ205" s="30"/>
      <c r="AR205" s="36">
        <f t="shared" si="43"/>
        <v>0</v>
      </c>
      <c r="AS205" s="27"/>
      <c r="AT205" s="37"/>
      <c r="AU205" s="30"/>
      <c r="AV205" s="36">
        <f t="shared" si="44"/>
        <v>0</v>
      </c>
      <c r="AW205" s="35"/>
      <c r="AX205" s="30"/>
      <c r="AY205" s="32">
        <f t="shared" si="45"/>
        <v>0</v>
      </c>
      <c r="AZ205" s="30" t="s">
        <v>440</v>
      </c>
      <c r="BA205" s="63"/>
      <c r="BB205" s="71"/>
      <c r="BC205" s="71"/>
      <c r="BD205" s="71"/>
    </row>
    <row r="206" spans="1:56" x14ac:dyDescent="0.25">
      <c r="A206" s="24">
        <f>IF(B206="","",SUBTOTAL(3,$B$4:B206))</f>
        <v>203</v>
      </c>
      <c r="B206" s="25" t="s">
        <v>439</v>
      </c>
      <c r="C206" s="25" t="str">
        <f t="shared" si="46"/>
        <v>Shipment 2 Outlet Stack</v>
      </c>
      <c r="D206" s="25" t="s">
        <v>441</v>
      </c>
      <c r="E206" s="25" t="s">
        <v>775</v>
      </c>
      <c r="F206" s="25"/>
      <c r="G206" s="65">
        <v>46204</v>
      </c>
      <c r="H206" s="25" t="s">
        <v>443</v>
      </c>
      <c r="I206" s="25" t="s">
        <v>444</v>
      </c>
      <c r="J206" s="26" t="s">
        <v>447</v>
      </c>
      <c r="K206" s="27" t="s">
        <v>590</v>
      </c>
      <c r="L206" s="28" t="s">
        <v>591</v>
      </c>
      <c r="M206" s="28" t="s">
        <v>547</v>
      </c>
      <c r="N206" s="25">
        <v>7</v>
      </c>
      <c r="O206" s="29">
        <v>13.9</v>
      </c>
      <c r="P206" s="29">
        <v>97.6</v>
      </c>
      <c r="Q206" s="25" t="s">
        <v>739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8"/>
        <v>0</v>
      </c>
      <c r="AF206" s="32">
        <f t="shared" si="39"/>
        <v>97.6</v>
      </c>
      <c r="AG206" s="30"/>
      <c r="AH206" s="33"/>
      <c r="AI206" s="34">
        <f t="shared" si="40"/>
        <v>0</v>
      </c>
      <c r="AJ206" s="35"/>
      <c r="AK206" s="30"/>
      <c r="AL206" s="36">
        <f t="shared" si="41"/>
        <v>0</v>
      </c>
      <c r="AM206" s="35"/>
      <c r="AN206" s="30"/>
      <c r="AO206" s="36">
        <f t="shared" si="42"/>
        <v>0</v>
      </c>
      <c r="AP206" s="35"/>
      <c r="AQ206" s="30"/>
      <c r="AR206" s="36">
        <f t="shared" si="43"/>
        <v>0</v>
      </c>
      <c r="AS206" s="27"/>
      <c r="AT206" s="37"/>
      <c r="AU206" s="30"/>
      <c r="AV206" s="36">
        <f t="shared" si="44"/>
        <v>0</v>
      </c>
      <c r="AW206" s="35"/>
      <c r="AX206" s="30"/>
      <c r="AY206" s="32">
        <f t="shared" si="45"/>
        <v>0</v>
      </c>
      <c r="AZ206" s="30" t="s">
        <v>440</v>
      </c>
      <c r="BA206" s="63"/>
      <c r="BB206" s="71"/>
      <c r="BC206" s="71"/>
      <c r="BD206" s="71"/>
    </row>
    <row r="207" spans="1:56" x14ac:dyDescent="0.25">
      <c r="A207" s="24">
        <f>IF(B207="","",SUBTOTAL(3,$B$4:B207))</f>
        <v>204</v>
      </c>
      <c r="B207" s="25" t="s">
        <v>439</v>
      </c>
      <c r="C207" s="25" t="str">
        <f t="shared" si="46"/>
        <v>Shipment 2 Outlet Stack</v>
      </c>
      <c r="D207" s="25" t="s">
        <v>441</v>
      </c>
      <c r="E207" s="25" t="s">
        <v>775</v>
      </c>
      <c r="F207" s="25"/>
      <c r="G207" s="65">
        <v>46204</v>
      </c>
      <c r="H207" s="25" t="s">
        <v>443</v>
      </c>
      <c r="I207" s="25" t="s">
        <v>444</v>
      </c>
      <c r="J207" s="26" t="s">
        <v>447</v>
      </c>
      <c r="K207" s="27" t="s">
        <v>592</v>
      </c>
      <c r="L207" s="28" t="s">
        <v>593</v>
      </c>
      <c r="M207" s="28" t="s">
        <v>547</v>
      </c>
      <c r="N207" s="25">
        <v>1</v>
      </c>
      <c r="O207" s="29">
        <v>13.9</v>
      </c>
      <c r="P207" s="29">
        <v>13.9</v>
      </c>
      <c r="Q207" s="25" t="s">
        <v>739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8"/>
        <v>0</v>
      </c>
      <c r="AF207" s="32">
        <f t="shared" si="39"/>
        <v>13.9</v>
      </c>
      <c r="AG207" s="30"/>
      <c r="AH207" s="33"/>
      <c r="AI207" s="34">
        <f t="shared" si="40"/>
        <v>0</v>
      </c>
      <c r="AJ207" s="35"/>
      <c r="AK207" s="30"/>
      <c r="AL207" s="36">
        <f t="shared" si="41"/>
        <v>0</v>
      </c>
      <c r="AM207" s="35"/>
      <c r="AN207" s="30"/>
      <c r="AO207" s="36">
        <f t="shared" si="42"/>
        <v>0</v>
      </c>
      <c r="AP207" s="35"/>
      <c r="AQ207" s="30"/>
      <c r="AR207" s="36">
        <f t="shared" si="43"/>
        <v>0</v>
      </c>
      <c r="AS207" s="27"/>
      <c r="AT207" s="37"/>
      <c r="AU207" s="30"/>
      <c r="AV207" s="36">
        <f t="shared" si="44"/>
        <v>0</v>
      </c>
      <c r="AW207" s="35"/>
      <c r="AX207" s="30"/>
      <c r="AY207" s="32">
        <f t="shared" si="45"/>
        <v>0</v>
      </c>
      <c r="AZ207" s="30" t="s">
        <v>440</v>
      </c>
      <c r="BA207" s="63"/>
      <c r="BB207" s="71"/>
      <c r="BC207" s="71"/>
      <c r="BD207" s="71"/>
    </row>
    <row r="208" spans="1:56" x14ac:dyDescent="0.25">
      <c r="A208" s="24">
        <f>IF(B208="","",SUBTOTAL(3,$B$4:B208))</f>
        <v>205</v>
      </c>
      <c r="B208" s="25" t="s">
        <v>439</v>
      </c>
      <c r="C208" s="25" t="str">
        <f t="shared" si="46"/>
        <v>Shipment 2 Outlet Stack</v>
      </c>
      <c r="D208" s="25" t="s">
        <v>441</v>
      </c>
      <c r="E208" s="25" t="s">
        <v>775</v>
      </c>
      <c r="F208" s="25"/>
      <c r="G208" s="65">
        <v>46204</v>
      </c>
      <c r="H208" s="25" t="s">
        <v>443</v>
      </c>
      <c r="I208" s="25" t="s">
        <v>444</v>
      </c>
      <c r="J208" s="26" t="s">
        <v>447</v>
      </c>
      <c r="K208" s="27" t="s">
        <v>594</v>
      </c>
      <c r="L208" s="28" t="s">
        <v>595</v>
      </c>
      <c r="M208" s="28" t="s">
        <v>547</v>
      </c>
      <c r="N208" s="25">
        <v>2</v>
      </c>
      <c r="O208" s="29">
        <v>13.9</v>
      </c>
      <c r="P208" s="29">
        <v>27.9</v>
      </c>
      <c r="Q208" s="25" t="s">
        <v>741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ref="AE208:AE264" si="47">+AL208*0.5+AO208*0.4+AV208*0.1</f>
        <v>0</v>
      </c>
      <c r="AF208" s="32">
        <f t="shared" ref="AF208:AF264" si="48">+P208-AE208</f>
        <v>27.9</v>
      </c>
      <c r="AG208" s="30"/>
      <c r="AH208" s="33"/>
      <c r="AI208" s="34">
        <f t="shared" ref="AI208:AI264" si="49">+AH208*P208</f>
        <v>0</v>
      </c>
      <c r="AJ208" s="35"/>
      <c r="AK208" s="30"/>
      <c r="AL208" s="36">
        <f t="shared" ref="AL208:AL264" si="50">IFERROR(AK208*$P208/$N208,0)</f>
        <v>0</v>
      </c>
      <c r="AM208" s="35"/>
      <c r="AN208" s="30"/>
      <c r="AO208" s="36">
        <f t="shared" ref="AO208:AO264" si="51">IFERROR(AN208*$P208/$N208,0)</f>
        <v>0</v>
      </c>
      <c r="AP208" s="35"/>
      <c r="AQ208" s="30"/>
      <c r="AR208" s="36">
        <f t="shared" ref="AR208:AR264" si="52">IFERROR(AQ208*$P208/$N208,0)</f>
        <v>0</v>
      </c>
      <c r="AS208" s="27"/>
      <c r="AT208" s="37"/>
      <c r="AU208" s="30"/>
      <c r="AV208" s="36">
        <f t="shared" ref="AV208:AV264" si="53">IFERROR(AU208*$P208/$N208,0)</f>
        <v>0</v>
      </c>
      <c r="AW208" s="35"/>
      <c r="AX208" s="30"/>
      <c r="AY208" s="32">
        <f t="shared" ref="AY208:AY264" si="54">IFERROR(AX208*$P208/$N208,0)</f>
        <v>0</v>
      </c>
      <c r="AZ208" s="30" t="s">
        <v>440</v>
      </c>
      <c r="BA208" s="63"/>
      <c r="BB208" s="71"/>
      <c r="BC208" s="71"/>
      <c r="BD208" s="71"/>
    </row>
    <row r="209" spans="1:56" x14ac:dyDescent="0.25">
      <c r="A209" s="24">
        <f>IF(B209="","",SUBTOTAL(3,$B$4:B209))</f>
        <v>206</v>
      </c>
      <c r="B209" s="25" t="s">
        <v>439</v>
      </c>
      <c r="C209" s="25" t="str">
        <f t="shared" si="46"/>
        <v>Shipment 2 Outlet Stack</v>
      </c>
      <c r="D209" s="25" t="s">
        <v>441</v>
      </c>
      <c r="E209" s="25" t="s">
        <v>775</v>
      </c>
      <c r="F209" s="25"/>
      <c r="G209" s="65">
        <v>46204</v>
      </c>
      <c r="H209" s="25" t="s">
        <v>443</v>
      </c>
      <c r="I209" s="25" t="s">
        <v>444</v>
      </c>
      <c r="J209" s="26" t="s">
        <v>447</v>
      </c>
      <c r="K209" s="27" t="s">
        <v>596</v>
      </c>
      <c r="L209" s="28" t="s">
        <v>597</v>
      </c>
      <c r="M209" s="28" t="s">
        <v>547</v>
      </c>
      <c r="N209" s="25">
        <v>2</v>
      </c>
      <c r="O209" s="29">
        <v>13.9</v>
      </c>
      <c r="P209" s="29">
        <v>27.9</v>
      </c>
      <c r="Q209" s="25" t="s">
        <v>740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47"/>
        <v>0</v>
      </c>
      <c r="AF209" s="32">
        <f t="shared" si="48"/>
        <v>27.9</v>
      </c>
      <c r="AG209" s="30"/>
      <c r="AH209" s="33"/>
      <c r="AI209" s="34">
        <f t="shared" si="49"/>
        <v>0</v>
      </c>
      <c r="AJ209" s="35"/>
      <c r="AK209" s="30"/>
      <c r="AL209" s="36">
        <f t="shared" si="50"/>
        <v>0</v>
      </c>
      <c r="AM209" s="35"/>
      <c r="AN209" s="30"/>
      <c r="AO209" s="36">
        <f t="shared" si="51"/>
        <v>0</v>
      </c>
      <c r="AP209" s="35"/>
      <c r="AQ209" s="30"/>
      <c r="AR209" s="36">
        <f t="shared" si="52"/>
        <v>0</v>
      </c>
      <c r="AS209" s="27"/>
      <c r="AT209" s="37"/>
      <c r="AU209" s="30"/>
      <c r="AV209" s="36">
        <f t="shared" si="53"/>
        <v>0</v>
      </c>
      <c r="AW209" s="35"/>
      <c r="AX209" s="30"/>
      <c r="AY209" s="32">
        <f t="shared" si="54"/>
        <v>0</v>
      </c>
      <c r="AZ209" s="30" t="s">
        <v>440</v>
      </c>
      <c r="BA209" s="63"/>
      <c r="BB209" s="71"/>
      <c r="BC209" s="71"/>
      <c r="BD209" s="71"/>
    </row>
    <row r="210" spans="1:56" x14ac:dyDescent="0.25">
      <c r="A210" s="24">
        <f>IF(B210="","",SUBTOTAL(3,$B$4:B210))</f>
        <v>207</v>
      </c>
      <c r="B210" s="25" t="s">
        <v>439</v>
      </c>
      <c r="C210" s="25" t="str">
        <f t="shared" si="46"/>
        <v>Shipment 2 Outlet Stack</v>
      </c>
      <c r="D210" s="25" t="s">
        <v>441</v>
      </c>
      <c r="E210" s="25" t="s">
        <v>775</v>
      </c>
      <c r="F210" s="25"/>
      <c r="G210" s="65">
        <v>46204</v>
      </c>
      <c r="H210" s="25" t="s">
        <v>443</v>
      </c>
      <c r="I210" s="25" t="s">
        <v>444</v>
      </c>
      <c r="J210" s="26" t="s">
        <v>447</v>
      </c>
      <c r="K210" s="27" t="s">
        <v>598</v>
      </c>
      <c r="L210" s="28" t="s">
        <v>599</v>
      </c>
      <c r="M210" s="28" t="s">
        <v>547</v>
      </c>
      <c r="N210" s="25">
        <v>2</v>
      </c>
      <c r="O210" s="29">
        <v>13.9</v>
      </c>
      <c r="P210" s="29">
        <v>27.9</v>
      </c>
      <c r="Q210" s="25" t="s">
        <v>741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47"/>
        <v>0</v>
      </c>
      <c r="AF210" s="32">
        <f t="shared" si="48"/>
        <v>27.9</v>
      </c>
      <c r="AG210" s="30"/>
      <c r="AH210" s="33"/>
      <c r="AI210" s="34">
        <f t="shared" si="49"/>
        <v>0</v>
      </c>
      <c r="AJ210" s="35"/>
      <c r="AK210" s="30"/>
      <c r="AL210" s="36">
        <f t="shared" si="50"/>
        <v>0</v>
      </c>
      <c r="AM210" s="35"/>
      <c r="AN210" s="30"/>
      <c r="AO210" s="36">
        <f t="shared" si="51"/>
        <v>0</v>
      </c>
      <c r="AP210" s="35"/>
      <c r="AQ210" s="30"/>
      <c r="AR210" s="36">
        <f t="shared" si="52"/>
        <v>0</v>
      </c>
      <c r="AS210" s="27"/>
      <c r="AT210" s="37"/>
      <c r="AU210" s="30"/>
      <c r="AV210" s="36">
        <f t="shared" si="53"/>
        <v>0</v>
      </c>
      <c r="AW210" s="35"/>
      <c r="AX210" s="30"/>
      <c r="AY210" s="32">
        <f t="shared" si="54"/>
        <v>0</v>
      </c>
      <c r="AZ210" s="30" t="s">
        <v>440</v>
      </c>
      <c r="BA210" s="63"/>
      <c r="BB210" s="71"/>
      <c r="BC210" s="71"/>
      <c r="BD210" s="71"/>
    </row>
    <row r="211" spans="1:56" x14ac:dyDescent="0.25">
      <c r="A211" s="24">
        <f>IF(B211="","",SUBTOTAL(3,$B$4:B211))</f>
        <v>208</v>
      </c>
      <c r="B211" s="25" t="s">
        <v>439</v>
      </c>
      <c r="C211" s="25" t="str">
        <f t="shared" si="46"/>
        <v>Shipment 2 Outlet Stack</v>
      </c>
      <c r="D211" s="25" t="s">
        <v>441</v>
      </c>
      <c r="E211" s="25" t="s">
        <v>775</v>
      </c>
      <c r="F211" s="25"/>
      <c r="G211" s="65">
        <v>46204</v>
      </c>
      <c r="H211" s="25" t="s">
        <v>443</v>
      </c>
      <c r="I211" s="25" t="s">
        <v>444</v>
      </c>
      <c r="J211" s="26" t="s">
        <v>447</v>
      </c>
      <c r="K211" s="27" t="s">
        <v>600</v>
      </c>
      <c r="L211" s="28" t="s">
        <v>601</v>
      </c>
      <c r="M211" s="28" t="s">
        <v>547</v>
      </c>
      <c r="N211" s="25">
        <v>2</v>
      </c>
      <c r="O211" s="29">
        <v>13.9</v>
      </c>
      <c r="P211" s="29">
        <v>27.9</v>
      </c>
      <c r="Q211" s="25" t="s">
        <v>741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47"/>
        <v>0</v>
      </c>
      <c r="AF211" s="32">
        <f t="shared" si="48"/>
        <v>27.9</v>
      </c>
      <c r="AG211" s="30"/>
      <c r="AH211" s="33"/>
      <c r="AI211" s="34">
        <f t="shared" si="49"/>
        <v>0</v>
      </c>
      <c r="AJ211" s="35"/>
      <c r="AK211" s="30"/>
      <c r="AL211" s="36">
        <f t="shared" si="50"/>
        <v>0</v>
      </c>
      <c r="AM211" s="35"/>
      <c r="AN211" s="30"/>
      <c r="AO211" s="36">
        <f t="shared" si="51"/>
        <v>0</v>
      </c>
      <c r="AP211" s="35"/>
      <c r="AQ211" s="30"/>
      <c r="AR211" s="36">
        <f t="shared" si="52"/>
        <v>0</v>
      </c>
      <c r="AS211" s="27"/>
      <c r="AT211" s="37"/>
      <c r="AU211" s="30"/>
      <c r="AV211" s="36">
        <f t="shared" si="53"/>
        <v>0</v>
      </c>
      <c r="AW211" s="35"/>
      <c r="AX211" s="30"/>
      <c r="AY211" s="32">
        <f t="shared" si="54"/>
        <v>0</v>
      </c>
      <c r="AZ211" s="30" t="s">
        <v>440</v>
      </c>
      <c r="BA211" s="63"/>
      <c r="BB211" s="71"/>
      <c r="BC211" s="71"/>
      <c r="BD211" s="71"/>
    </row>
    <row r="212" spans="1:56" x14ac:dyDescent="0.25">
      <c r="A212" s="24">
        <f>IF(B212="","",SUBTOTAL(3,$B$4:B212))</f>
        <v>209</v>
      </c>
      <c r="B212" s="25" t="s">
        <v>439</v>
      </c>
      <c r="C212" s="25" t="str">
        <f t="shared" si="46"/>
        <v>Shipment 2 Outlet Stack</v>
      </c>
      <c r="D212" s="25" t="s">
        <v>441</v>
      </c>
      <c r="E212" s="25" t="s">
        <v>775</v>
      </c>
      <c r="F212" s="25"/>
      <c r="G212" s="65">
        <v>46204</v>
      </c>
      <c r="H212" s="25" t="s">
        <v>443</v>
      </c>
      <c r="I212" s="25" t="s">
        <v>444</v>
      </c>
      <c r="J212" s="26" t="s">
        <v>447</v>
      </c>
      <c r="K212" s="27" t="s">
        <v>602</v>
      </c>
      <c r="L212" s="28" t="s">
        <v>603</v>
      </c>
      <c r="M212" s="28" t="s">
        <v>547</v>
      </c>
      <c r="N212" s="25">
        <v>2</v>
      </c>
      <c r="O212" s="29">
        <v>13.9</v>
      </c>
      <c r="P212" s="29">
        <v>27.9</v>
      </c>
      <c r="Q212" s="25" t="s">
        <v>741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47"/>
        <v>0</v>
      </c>
      <c r="AF212" s="32">
        <f t="shared" si="48"/>
        <v>27.9</v>
      </c>
      <c r="AG212" s="30"/>
      <c r="AH212" s="33"/>
      <c r="AI212" s="34">
        <f t="shared" si="49"/>
        <v>0</v>
      </c>
      <c r="AJ212" s="35"/>
      <c r="AK212" s="30"/>
      <c r="AL212" s="36">
        <f t="shared" si="50"/>
        <v>0</v>
      </c>
      <c r="AM212" s="35"/>
      <c r="AN212" s="30"/>
      <c r="AO212" s="36">
        <f t="shared" si="51"/>
        <v>0</v>
      </c>
      <c r="AP212" s="35"/>
      <c r="AQ212" s="30"/>
      <c r="AR212" s="36">
        <f t="shared" si="52"/>
        <v>0</v>
      </c>
      <c r="AS212" s="27"/>
      <c r="AT212" s="37"/>
      <c r="AU212" s="30"/>
      <c r="AV212" s="36">
        <f t="shared" si="53"/>
        <v>0</v>
      </c>
      <c r="AW212" s="35"/>
      <c r="AX212" s="30"/>
      <c r="AY212" s="32">
        <f t="shared" si="54"/>
        <v>0</v>
      </c>
      <c r="AZ212" s="30" t="s">
        <v>440</v>
      </c>
      <c r="BA212" s="63"/>
      <c r="BB212" s="71"/>
      <c r="BC212" s="71"/>
      <c r="BD212" s="71"/>
    </row>
    <row r="213" spans="1:56" x14ac:dyDescent="0.25">
      <c r="A213" s="24">
        <f>IF(B213="","",SUBTOTAL(3,$B$4:B213))</f>
        <v>210</v>
      </c>
      <c r="B213" s="25" t="s">
        <v>439</v>
      </c>
      <c r="C213" s="25" t="str">
        <f t="shared" si="46"/>
        <v>Shipment 2 Outlet Stack</v>
      </c>
      <c r="D213" s="25" t="s">
        <v>441</v>
      </c>
      <c r="E213" s="25" t="s">
        <v>775</v>
      </c>
      <c r="F213" s="25"/>
      <c r="G213" s="65">
        <v>46204</v>
      </c>
      <c r="H213" s="25" t="s">
        <v>443</v>
      </c>
      <c r="I213" s="25" t="s">
        <v>444</v>
      </c>
      <c r="J213" s="26" t="s">
        <v>447</v>
      </c>
      <c r="K213" s="27" t="s">
        <v>604</v>
      </c>
      <c r="L213" s="28" t="s">
        <v>605</v>
      </c>
      <c r="M213" s="28" t="s">
        <v>547</v>
      </c>
      <c r="N213" s="25">
        <v>1</v>
      </c>
      <c r="O213" s="29">
        <v>12.4</v>
      </c>
      <c r="P213" s="29">
        <v>12.4</v>
      </c>
      <c r="Q213" s="25" t="s">
        <v>743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47"/>
        <v>0</v>
      </c>
      <c r="AF213" s="32">
        <f t="shared" si="48"/>
        <v>12.4</v>
      </c>
      <c r="AG213" s="30"/>
      <c r="AH213" s="33"/>
      <c r="AI213" s="34">
        <f t="shared" si="49"/>
        <v>0</v>
      </c>
      <c r="AJ213" s="35"/>
      <c r="AK213" s="30"/>
      <c r="AL213" s="36">
        <f t="shared" si="50"/>
        <v>0</v>
      </c>
      <c r="AM213" s="35"/>
      <c r="AN213" s="30"/>
      <c r="AO213" s="36">
        <f t="shared" si="51"/>
        <v>0</v>
      </c>
      <c r="AP213" s="35"/>
      <c r="AQ213" s="30"/>
      <c r="AR213" s="36">
        <f t="shared" si="52"/>
        <v>0</v>
      </c>
      <c r="AS213" s="27"/>
      <c r="AT213" s="37"/>
      <c r="AU213" s="30"/>
      <c r="AV213" s="36">
        <f t="shared" si="53"/>
        <v>0</v>
      </c>
      <c r="AW213" s="35"/>
      <c r="AX213" s="30"/>
      <c r="AY213" s="32">
        <f t="shared" si="54"/>
        <v>0</v>
      </c>
      <c r="AZ213" s="30" t="s">
        <v>440</v>
      </c>
      <c r="BA213" s="63"/>
      <c r="BB213" s="71"/>
      <c r="BC213" s="71"/>
      <c r="BD213" s="71"/>
    </row>
    <row r="214" spans="1:56" x14ac:dyDescent="0.25">
      <c r="A214" s="24">
        <f>IF(B214="","",SUBTOTAL(3,$B$4:B214))</f>
        <v>211</v>
      </c>
      <c r="B214" s="25" t="s">
        <v>439</v>
      </c>
      <c r="C214" s="25" t="str">
        <f t="shared" si="46"/>
        <v>Shipment 2 Outlet Stack</v>
      </c>
      <c r="D214" s="25" t="s">
        <v>441</v>
      </c>
      <c r="E214" s="25" t="s">
        <v>775</v>
      </c>
      <c r="F214" s="25"/>
      <c r="G214" s="65">
        <v>46204</v>
      </c>
      <c r="H214" s="25" t="s">
        <v>443</v>
      </c>
      <c r="I214" s="25" t="s">
        <v>444</v>
      </c>
      <c r="J214" s="26" t="s">
        <v>447</v>
      </c>
      <c r="K214" s="27" t="s">
        <v>606</v>
      </c>
      <c r="L214" s="28" t="s">
        <v>607</v>
      </c>
      <c r="M214" s="28" t="s">
        <v>547</v>
      </c>
      <c r="N214" s="25">
        <v>1</v>
      </c>
      <c r="O214" s="29">
        <v>10.9</v>
      </c>
      <c r="P214" s="29">
        <v>10.9</v>
      </c>
      <c r="Q214" s="25" t="s">
        <v>747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47"/>
        <v>0</v>
      </c>
      <c r="AF214" s="32">
        <f t="shared" si="48"/>
        <v>10.9</v>
      </c>
      <c r="AG214" s="30"/>
      <c r="AH214" s="33"/>
      <c r="AI214" s="34">
        <f t="shared" si="49"/>
        <v>0</v>
      </c>
      <c r="AJ214" s="35"/>
      <c r="AK214" s="30"/>
      <c r="AL214" s="36">
        <f t="shared" si="50"/>
        <v>0</v>
      </c>
      <c r="AM214" s="35"/>
      <c r="AN214" s="30"/>
      <c r="AO214" s="36">
        <f t="shared" si="51"/>
        <v>0</v>
      </c>
      <c r="AP214" s="35"/>
      <c r="AQ214" s="30"/>
      <c r="AR214" s="36">
        <f t="shared" si="52"/>
        <v>0</v>
      </c>
      <c r="AS214" s="27"/>
      <c r="AT214" s="37"/>
      <c r="AU214" s="30"/>
      <c r="AV214" s="36">
        <f t="shared" si="53"/>
        <v>0</v>
      </c>
      <c r="AW214" s="35"/>
      <c r="AX214" s="30"/>
      <c r="AY214" s="32">
        <f t="shared" si="54"/>
        <v>0</v>
      </c>
      <c r="AZ214" s="30" t="s">
        <v>440</v>
      </c>
      <c r="BA214" s="63"/>
      <c r="BB214" s="71"/>
      <c r="BC214" s="71"/>
      <c r="BD214" s="71"/>
    </row>
    <row r="215" spans="1:56" x14ac:dyDescent="0.25">
      <c r="A215" s="24">
        <f>IF(B215="","",SUBTOTAL(3,$B$4:B215))</f>
        <v>212</v>
      </c>
      <c r="B215" s="25" t="s">
        <v>439</v>
      </c>
      <c r="C215" s="25" t="str">
        <f t="shared" si="46"/>
        <v>Shipment 2 Outlet Stack</v>
      </c>
      <c r="D215" s="25" t="s">
        <v>441</v>
      </c>
      <c r="E215" s="25" t="s">
        <v>775</v>
      </c>
      <c r="F215" s="25"/>
      <c r="G215" s="65">
        <v>46204</v>
      </c>
      <c r="H215" s="25" t="s">
        <v>443</v>
      </c>
      <c r="I215" s="25" t="s">
        <v>444</v>
      </c>
      <c r="J215" s="26" t="s">
        <v>447</v>
      </c>
      <c r="K215" s="27" t="s">
        <v>608</v>
      </c>
      <c r="L215" s="28" t="s">
        <v>609</v>
      </c>
      <c r="M215" s="28" t="s">
        <v>547</v>
      </c>
      <c r="N215" s="25">
        <v>1</v>
      </c>
      <c r="O215" s="29">
        <v>14.4</v>
      </c>
      <c r="P215" s="29">
        <v>14.4</v>
      </c>
      <c r="Q215" s="25" t="s">
        <v>748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47"/>
        <v>0</v>
      </c>
      <c r="AF215" s="32">
        <f t="shared" si="48"/>
        <v>14.4</v>
      </c>
      <c r="AG215" s="30"/>
      <c r="AH215" s="33"/>
      <c r="AI215" s="34">
        <f t="shared" si="49"/>
        <v>0</v>
      </c>
      <c r="AJ215" s="35"/>
      <c r="AK215" s="30"/>
      <c r="AL215" s="36">
        <f t="shared" si="50"/>
        <v>0</v>
      </c>
      <c r="AM215" s="35"/>
      <c r="AN215" s="30"/>
      <c r="AO215" s="36">
        <f t="shared" si="51"/>
        <v>0</v>
      </c>
      <c r="AP215" s="35"/>
      <c r="AQ215" s="30"/>
      <c r="AR215" s="36">
        <f t="shared" si="52"/>
        <v>0</v>
      </c>
      <c r="AS215" s="27"/>
      <c r="AT215" s="37"/>
      <c r="AU215" s="30"/>
      <c r="AV215" s="36">
        <f t="shared" si="53"/>
        <v>0</v>
      </c>
      <c r="AW215" s="35"/>
      <c r="AX215" s="30"/>
      <c r="AY215" s="32">
        <f t="shared" si="54"/>
        <v>0</v>
      </c>
      <c r="AZ215" s="30" t="s">
        <v>440</v>
      </c>
      <c r="BA215" s="63"/>
      <c r="BB215" s="71"/>
      <c r="BC215" s="71"/>
      <c r="BD215" s="71"/>
    </row>
    <row r="216" spans="1:56" x14ac:dyDescent="0.25">
      <c r="A216" s="24">
        <f>IF(B216="","",SUBTOTAL(3,$B$4:B216))</f>
        <v>213</v>
      </c>
      <c r="B216" s="25" t="s">
        <v>439</v>
      </c>
      <c r="C216" s="25" t="str">
        <f t="shared" si="46"/>
        <v>Shipment 2 Outlet Stack</v>
      </c>
      <c r="D216" s="25" t="s">
        <v>441</v>
      </c>
      <c r="E216" s="25" t="s">
        <v>775</v>
      </c>
      <c r="F216" s="25"/>
      <c r="G216" s="65">
        <v>46204</v>
      </c>
      <c r="H216" s="25" t="s">
        <v>443</v>
      </c>
      <c r="I216" s="25" t="s">
        <v>444</v>
      </c>
      <c r="J216" s="26" t="s">
        <v>447</v>
      </c>
      <c r="K216" s="27" t="s">
        <v>610</v>
      </c>
      <c r="L216" s="28" t="s">
        <v>611</v>
      </c>
      <c r="M216" s="28" t="s">
        <v>547</v>
      </c>
      <c r="N216" s="25">
        <v>7</v>
      </c>
      <c r="O216" s="29">
        <v>13.9</v>
      </c>
      <c r="P216" s="29">
        <v>97.6</v>
      </c>
      <c r="Q216" s="25" t="s">
        <v>739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47"/>
        <v>0</v>
      </c>
      <c r="AF216" s="32">
        <f t="shared" si="48"/>
        <v>97.6</v>
      </c>
      <c r="AG216" s="30"/>
      <c r="AH216" s="33"/>
      <c r="AI216" s="34">
        <f t="shared" si="49"/>
        <v>0</v>
      </c>
      <c r="AJ216" s="35"/>
      <c r="AK216" s="30"/>
      <c r="AL216" s="36">
        <f t="shared" si="50"/>
        <v>0</v>
      </c>
      <c r="AM216" s="35"/>
      <c r="AN216" s="30"/>
      <c r="AO216" s="36">
        <f t="shared" si="51"/>
        <v>0</v>
      </c>
      <c r="AP216" s="35"/>
      <c r="AQ216" s="30"/>
      <c r="AR216" s="36">
        <f t="shared" si="52"/>
        <v>0</v>
      </c>
      <c r="AS216" s="27"/>
      <c r="AT216" s="37"/>
      <c r="AU216" s="30"/>
      <c r="AV216" s="36">
        <f t="shared" si="53"/>
        <v>0</v>
      </c>
      <c r="AW216" s="35"/>
      <c r="AX216" s="30"/>
      <c r="AY216" s="32">
        <f t="shared" si="54"/>
        <v>0</v>
      </c>
      <c r="AZ216" s="30" t="s">
        <v>440</v>
      </c>
      <c r="BA216" s="63"/>
      <c r="BB216" s="71"/>
      <c r="BC216" s="71"/>
      <c r="BD216" s="71"/>
    </row>
    <row r="217" spans="1:56" x14ac:dyDescent="0.25">
      <c r="A217" s="24">
        <f>IF(B217="","",SUBTOTAL(3,$B$4:B217))</f>
        <v>214</v>
      </c>
      <c r="B217" s="25" t="s">
        <v>439</v>
      </c>
      <c r="C217" s="25" t="str">
        <f t="shared" si="46"/>
        <v>Shipment 2 Outlet Stack</v>
      </c>
      <c r="D217" s="25" t="s">
        <v>441</v>
      </c>
      <c r="E217" s="25" t="s">
        <v>775</v>
      </c>
      <c r="F217" s="25"/>
      <c r="G217" s="65">
        <v>46204</v>
      </c>
      <c r="H217" s="25" t="s">
        <v>443</v>
      </c>
      <c r="I217" s="25" t="s">
        <v>444</v>
      </c>
      <c r="J217" s="26" t="s">
        <v>447</v>
      </c>
      <c r="K217" s="27" t="s">
        <v>612</v>
      </c>
      <c r="L217" s="28" t="s">
        <v>613</v>
      </c>
      <c r="M217" s="28" t="s">
        <v>547</v>
      </c>
      <c r="N217" s="25">
        <v>1</v>
      </c>
      <c r="O217" s="29">
        <v>9.1</v>
      </c>
      <c r="P217" s="29">
        <v>9.1</v>
      </c>
      <c r="Q217" s="25" t="s">
        <v>744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47"/>
        <v>0</v>
      </c>
      <c r="AF217" s="32">
        <f t="shared" si="48"/>
        <v>9.1</v>
      </c>
      <c r="AG217" s="30"/>
      <c r="AH217" s="33"/>
      <c r="AI217" s="34">
        <f t="shared" si="49"/>
        <v>0</v>
      </c>
      <c r="AJ217" s="35"/>
      <c r="AK217" s="30"/>
      <c r="AL217" s="36">
        <f t="shared" si="50"/>
        <v>0</v>
      </c>
      <c r="AM217" s="35"/>
      <c r="AN217" s="30"/>
      <c r="AO217" s="36">
        <f t="shared" si="51"/>
        <v>0</v>
      </c>
      <c r="AP217" s="35"/>
      <c r="AQ217" s="30"/>
      <c r="AR217" s="36">
        <f t="shared" si="52"/>
        <v>0</v>
      </c>
      <c r="AS217" s="27"/>
      <c r="AT217" s="37"/>
      <c r="AU217" s="30"/>
      <c r="AV217" s="36">
        <f t="shared" si="53"/>
        <v>0</v>
      </c>
      <c r="AW217" s="35"/>
      <c r="AX217" s="30"/>
      <c r="AY217" s="32">
        <f t="shared" si="54"/>
        <v>0</v>
      </c>
      <c r="AZ217" s="30" t="s">
        <v>440</v>
      </c>
      <c r="BA217" s="63"/>
      <c r="BB217" s="71"/>
      <c r="BC217" s="71"/>
      <c r="BD217" s="71"/>
    </row>
    <row r="218" spans="1:56" x14ac:dyDescent="0.25">
      <c r="A218" s="24">
        <f>IF(B218="","",SUBTOTAL(3,$B$4:B218))</f>
        <v>215</v>
      </c>
      <c r="B218" s="25" t="s">
        <v>439</v>
      </c>
      <c r="C218" s="25" t="str">
        <f t="shared" si="46"/>
        <v>Shipment 2 Outlet Stack</v>
      </c>
      <c r="D218" s="25" t="s">
        <v>441</v>
      </c>
      <c r="E218" s="25" t="s">
        <v>775</v>
      </c>
      <c r="F218" s="25"/>
      <c r="G218" s="65">
        <v>46204</v>
      </c>
      <c r="H218" s="25" t="s">
        <v>443</v>
      </c>
      <c r="I218" s="25" t="s">
        <v>444</v>
      </c>
      <c r="J218" s="26" t="s">
        <v>447</v>
      </c>
      <c r="K218" s="27" t="s">
        <v>614</v>
      </c>
      <c r="L218" s="28" t="s">
        <v>615</v>
      </c>
      <c r="M218" s="28" t="s">
        <v>547</v>
      </c>
      <c r="N218" s="25">
        <v>1</v>
      </c>
      <c r="O218" s="29">
        <v>12.4</v>
      </c>
      <c r="P218" s="29">
        <v>12.4</v>
      </c>
      <c r="Q218" s="25" t="s">
        <v>743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47"/>
        <v>0</v>
      </c>
      <c r="AF218" s="32">
        <f t="shared" si="48"/>
        <v>12.4</v>
      </c>
      <c r="AG218" s="30"/>
      <c r="AH218" s="33"/>
      <c r="AI218" s="34">
        <f t="shared" si="49"/>
        <v>0</v>
      </c>
      <c r="AJ218" s="35"/>
      <c r="AK218" s="30"/>
      <c r="AL218" s="36">
        <f t="shared" si="50"/>
        <v>0</v>
      </c>
      <c r="AM218" s="35"/>
      <c r="AN218" s="30"/>
      <c r="AO218" s="36">
        <f t="shared" si="51"/>
        <v>0</v>
      </c>
      <c r="AP218" s="35"/>
      <c r="AQ218" s="30"/>
      <c r="AR218" s="36">
        <f t="shared" si="52"/>
        <v>0</v>
      </c>
      <c r="AS218" s="27"/>
      <c r="AT218" s="37"/>
      <c r="AU218" s="30"/>
      <c r="AV218" s="36">
        <f t="shared" si="53"/>
        <v>0</v>
      </c>
      <c r="AW218" s="35"/>
      <c r="AX218" s="30"/>
      <c r="AY218" s="32">
        <f t="shared" si="54"/>
        <v>0</v>
      </c>
      <c r="AZ218" s="30" t="s">
        <v>440</v>
      </c>
      <c r="BA218" s="63"/>
      <c r="BB218" s="71"/>
      <c r="BC218" s="71"/>
      <c r="BD218" s="71"/>
    </row>
    <row r="219" spans="1:56" x14ac:dyDescent="0.25">
      <c r="A219" s="24">
        <f>IF(B219="","",SUBTOTAL(3,$B$4:B219))</f>
        <v>216</v>
      </c>
      <c r="B219" s="25" t="s">
        <v>439</v>
      </c>
      <c r="C219" s="25" t="str">
        <f t="shared" si="46"/>
        <v>Shipment 2 Outlet Stack</v>
      </c>
      <c r="D219" s="25" t="s">
        <v>441</v>
      </c>
      <c r="E219" s="25" t="s">
        <v>775</v>
      </c>
      <c r="F219" s="25"/>
      <c r="G219" s="65">
        <v>46204</v>
      </c>
      <c r="H219" s="25" t="s">
        <v>443</v>
      </c>
      <c r="I219" s="25" t="s">
        <v>444</v>
      </c>
      <c r="J219" s="26" t="s">
        <v>447</v>
      </c>
      <c r="K219" s="27" t="s">
        <v>616</v>
      </c>
      <c r="L219" s="28" t="s">
        <v>617</v>
      </c>
      <c r="M219" s="28" t="s">
        <v>547</v>
      </c>
      <c r="N219" s="25">
        <v>1</v>
      </c>
      <c r="O219" s="29">
        <v>37.799999999999997</v>
      </c>
      <c r="P219" s="29">
        <v>37.799999999999997</v>
      </c>
      <c r="Q219" s="25" t="s">
        <v>742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47"/>
        <v>0</v>
      </c>
      <c r="AF219" s="32">
        <f t="shared" si="48"/>
        <v>37.799999999999997</v>
      </c>
      <c r="AG219" s="30"/>
      <c r="AH219" s="33"/>
      <c r="AI219" s="34">
        <f t="shared" si="49"/>
        <v>0</v>
      </c>
      <c r="AJ219" s="35"/>
      <c r="AK219" s="30"/>
      <c r="AL219" s="36">
        <f t="shared" si="50"/>
        <v>0</v>
      </c>
      <c r="AM219" s="35"/>
      <c r="AN219" s="30"/>
      <c r="AO219" s="36">
        <f t="shared" si="51"/>
        <v>0</v>
      </c>
      <c r="AP219" s="35"/>
      <c r="AQ219" s="30"/>
      <c r="AR219" s="36">
        <f t="shared" si="52"/>
        <v>0</v>
      </c>
      <c r="AS219" s="27"/>
      <c r="AT219" s="37"/>
      <c r="AU219" s="30"/>
      <c r="AV219" s="36">
        <f t="shared" si="53"/>
        <v>0</v>
      </c>
      <c r="AW219" s="35"/>
      <c r="AX219" s="30"/>
      <c r="AY219" s="32">
        <f t="shared" si="54"/>
        <v>0</v>
      </c>
      <c r="AZ219" s="30" t="s">
        <v>440</v>
      </c>
      <c r="BA219" s="63"/>
      <c r="BB219" s="71"/>
      <c r="BC219" s="71"/>
      <c r="BD219" s="71"/>
    </row>
    <row r="220" spans="1:56" x14ac:dyDescent="0.25">
      <c r="A220" s="24">
        <f>IF(B220="","",SUBTOTAL(3,$B$4:B220))</f>
        <v>217</v>
      </c>
      <c r="B220" s="25" t="s">
        <v>439</v>
      </c>
      <c r="C220" s="25" t="str">
        <f t="shared" si="46"/>
        <v>Shipment 2 Outlet Stack</v>
      </c>
      <c r="D220" s="25" t="s">
        <v>441</v>
      </c>
      <c r="E220" s="25" t="s">
        <v>775</v>
      </c>
      <c r="F220" s="25"/>
      <c r="G220" s="65">
        <v>46204</v>
      </c>
      <c r="H220" s="25" t="s">
        <v>443</v>
      </c>
      <c r="I220" s="25" t="s">
        <v>444</v>
      </c>
      <c r="J220" s="26" t="s">
        <v>447</v>
      </c>
      <c r="K220" s="27" t="s">
        <v>618</v>
      </c>
      <c r="L220" s="28" t="s">
        <v>619</v>
      </c>
      <c r="M220" s="28" t="s">
        <v>547</v>
      </c>
      <c r="N220" s="25">
        <v>1</v>
      </c>
      <c r="O220" s="29">
        <v>13.9</v>
      </c>
      <c r="P220" s="29">
        <v>13.9</v>
      </c>
      <c r="Q220" s="25" t="s">
        <v>739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47"/>
        <v>0</v>
      </c>
      <c r="AF220" s="32">
        <f t="shared" si="48"/>
        <v>13.9</v>
      </c>
      <c r="AG220" s="30"/>
      <c r="AH220" s="33"/>
      <c r="AI220" s="34">
        <f t="shared" si="49"/>
        <v>0</v>
      </c>
      <c r="AJ220" s="35"/>
      <c r="AK220" s="30"/>
      <c r="AL220" s="36">
        <f t="shared" si="50"/>
        <v>0</v>
      </c>
      <c r="AM220" s="35"/>
      <c r="AN220" s="30"/>
      <c r="AO220" s="36">
        <f t="shared" si="51"/>
        <v>0</v>
      </c>
      <c r="AP220" s="35"/>
      <c r="AQ220" s="30"/>
      <c r="AR220" s="36">
        <f t="shared" si="52"/>
        <v>0</v>
      </c>
      <c r="AS220" s="27"/>
      <c r="AT220" s="37"/>
      <c r="AU220" s="30"/>
      <c r="AV220" s="36">
        <f t="shared" si="53"/>
        <v>0</v>
      </c>
      <c r="AW220" s="35"/>
      <c r="AX220" s="30"/>
      <c r="AY220" s="32">
        <f t="shared" si="54"/>
        <v>0</v>
      </c>
      <c r="AZ220" s="30" t="s">
        <v>440</v>
      </c>
      <c r="BA220" s="63"/>
      <c r="BB220" s="71"/>
      <c r="BC220" s="71"/>
      <c r="BD220" s="71"/>
    </row>
    <row r="221" spans="1:56" x14ac:dyDescent="0.25">
      <c r="A221" s="24">
        <f>IF(B221="","",SUBTOTAL(3,$B$4:B221))</f>
        <v>218</v>
      </c>
      <c r="B221" s="25" t="s">
        <v>439</v>
      </c>
      <c r="C221" s="25" t="str">
        <f t="shared" si="46"/>
        <v>Shipment 2 Outlet Stack</v>
      </c>
      <c r="D221" s="25" t="s">
        <v>441</v>
      </c>
      <c r="E221" s="25" t="s">
        <v>775</v>
      </c>
      <c r="F221" s="25"/>
      <c r="G221" s="65">
        <v>46204</v>
      </c>
      <c r="H221" s="25" t="s">
        <v>443</v>
      </c>
      <c r="I221" s="25" t="s">
        <v>444</v>
      </c>
      <c r="J221" s="26" t="s">
        <v>447</v>
      </c>
      <c r="K221" s="27" t="s">
        <v>620</v>
      </c>
      <c r="L221" s="28" t="s">
        <v>621</v>
      </c>
      <c r="M221" s="28" t="s">
        <v>547</v>
      </c>
      <c r="N221" s="25">
        <v>1</v>
      </c>
      <c r="O221" s="29">
        <v>14.4</v>
      </c>
      <c r="P221" s="29">
        <v>14.4</v>
      </c>
      <c r="Q221" s="25" t="s">
        <v>749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47"/>
        <v>0</v>
      </c>
      <c r="AF221" s="32">
        <f t="shared" si="48"/>
        <v>14.4</v>
      </c>
      <c r="AG221" s="30"/>
      <c r="AH221" s="33"/>
      <c r="AI221" s="34">
        <f t="shared" si="49"/>
        <v>0</v>
      </c>
      <c r="AJ221" s="35"/>
      <c r="AK221" s="30"/>
      <c r="AL221" s="36">
        <f t="shared" si="50"/>
        <v>0</v>
      </c>
      <c r="AM221" s="35"/>
      <c r="AN221" s="30"/>
      <c r="AO221" s="36">
        <f t="shared" si="51"/>
        <v>0</v>
      </c>
      <c r="AP221" s="35"/>
      <c r="AQ221" s="30"/>
      <c r="AR221" s="36">
        <f t="shared" si="52"/>
        <v>0</v>
      </c>
      <c r="AS221" s="27"/>
      <c r="AT221" s="37"/>
      <c r="AU221" s="30"/>
      <c r="AV221" s="36">
        <f t="shared" si="53"/>
        <v>0</v>
      </c>
      <c r="AW221" s="35"/>
      <c r="AX221" s="30"/>
      <c r="AY221" s="32">
        <f t="shared" si="54"/>
        <v>0</v>
      </c>
      <c r="AZ221" s="30" t="s">
        <v>440</v>
      </c>
      <c r="BA221" s="63"/>
      <c r="BB221" s="71"/>
      <c r="BC221" s="71"/>
      <c r="BD221" s="71"/>
    </row>
    <row r="222" spans="1:56" x14ac:dyDescent="0.25">
      <c r="A222" s="24">
        <f>IF(B222="","",SUBTOTAL(3,$B$4:B222))</f>
        <v>219</v>
      </c>
      <c r="B222" s="25" t="s">
        <v>439</v>
      </c>
      <c r="C222" s="25" t="str">
        <f t="shared" si="46"/>
        <v>Shipment 2 Outlet Stack</v>
      </c>
      <c r="D222" s="25" t="s">
        <v>441</v>
      </c>
      <c r="E222" s="25" t="s">
        <v>775</v>
      </c>
      <c r="F222" s="25"/>
      <c r="G222" s="65">
        <v>46204</v>
      </c>
      <c r="H222" s="25" t="s">
        <v>443</v>
      </c>
      <c r="I222" s="25" t="s">
        <v>444</v>
      </c>
      <c r="J222" s="26" t="s">
        <v>447</v>
      </c>
      <c r="K222" s="27" t="s">
        <v>622</v>
      </c>
      <c r="L222" s="28" t="s">
        <v>623</v>
      </c>
      <c r="M222" s="28" t="s">
        <v>547</v>
      </c>
      <c r="N222" s="25">
        <v>7</v>
      </c>
      <c r="O222" s="29">
        <v>13.9</v>
      </c>
      <c r="P222" s="29">
        <v>97.6</v>
      </c>
      <c r="Q222" s="25" t="s">
        <v>739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47"/>
        <v>0</v>
      </c>
      <c r="AF222" s="32">
        <f t="shared" si="48"/>
        <v>97.6</v>
      </c>
      <c r="AG222" s="30"/>
      <c r="AH222" s="33"/>
      <c r="AI222" s="34">
        <f t="shared" si="49"/>
        <v>0</v>
      </c>
      <c r="AJ222" s="35"/>
      <c r="AK222" s="30"/>
      <c r="AL222" s="36">
        <f t="shared" si="50"/>
        <v>0</v>
      </c>
      <c r="AM222" s="35"/>
      <c r="AN222" s="30"/>
      <c r="AO222" s="36">
        <f t="shared" si="51"/>
        <v>0</v>
      </c>
      <c r="AP222" s="35"/>
      <c r="AQ222" s="30"/>
      <c r="AR222" s="36">
        <f t="shared" si="52"/>
        <v>0</v>
      </c>
      <c r="AS222" s="27"/>
      <c r="AT222" s="37"/>
      <c r="AU222" s="30"/>
      <c r="AV222" s="36">
        <f t="shared" si="53"/>
        <v>0</v>
      </c>
      <c r="AW222" s="35"/>
      <c r="AX222" s="30"/>
      <c r="AY222" s="32">
        <f t="shared" si="54"/>
        <v>0</v>
      </c>
      <c r="AZ222" s="30" t="s">
        <v>440</v>
      </c>
      <c r="BA222" s="63"/>
      <c r="BB222" s="71"/>
      <c r="BC222" s="71"/>
      <c r="BD222" s="71"/>
    </row>
    <row r="223" spans="1:56" x14ac:dyDescent="0.25">
      <c r="A223" s="24">
        <f>IF(B223="","",SUBTOTAL(3,$B$4:B223))</f>
        <v>220</v>
      </c>
      <c r="B223" s="25" t="s">
        <v>439</v>
      </c>
      <c r="C223" s="25" t="str">
        <f t="shared" si="46"/>
        <v>Shipment 2 Outlet Stack</v>
      </c>
      <c r="D223" s="25" t="s">
        <v>441</v>
      </c>
      <c r="E223" s="25" t="s">
        <v>775</v>
      </c>
      <c r="F223" s="25"/>
      <c r="G223" s="65">
        <v>46204</v>
      </c>
      <c r="H223" s="25" t="s">
        <v>443</v>
      </c>
      <c r="I223" s="25" t="s">
        <v>444</v>
      </c>
      <c r="J223" s="26" t="s">
        <v>447</v>
      </c>
      <c r="K223" s="27" t="s">
        <v>624</v>
      </c>
      <c r="L223" s="28" t="s">
        <v>625</v>
      </c>
      <c r="M223" s="28" t="s">
        <v>547</v>
      </c>
      <c r="N223" s="25">
        <v>2</v>
      </c>
      <c r="O223" s="29">
        <v>13.9</v>
      </c>
      <c r="P223" s="29">
        <v>27.9</v>
      </c>
      <c r="Q223" s="25" t="s">
        <v>739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47"/>
        <v>0</v>
      </c>
      <c r="AF223" s="32">
        <f t="shared" si="48"/>
        <v>27.9</v>
      </c>
      <c r="AG223" s="30"/>
      <c r="AH223" s="33"/>
      <c r="AI223" s="34">
        <f t="shared" si="49"/>
        <v>0</v>
      </c>
      <c r="AJ223" s="35"/>
      <c r="AK223" s="30"/>
      <c r="AL223" s="36">
        <f t="shared" si="50"/>
        <v>0</v>
      </c>
      <c r="AM223" s="35"/>
      <c r="AN223" s="30"/>
      <c r="AO223" s="36">
        <f t="shared" si="51"/>
        <v>0</v>
      </c>
      <c r="AP223" s="35"/>
      <c r="AQ223" s="30"/>
      <c r="AR223" s="36">
        <f t="shared" si="52"/>
        <v>0</v>
      </c>
      <c r="AS223" s="27"/>
      <c r="AT223" s="37"/>
      <c r="AU223" s="30"/>
      <c r="AV223" s="36">
        <f t="shared" si="53"/>
        <v>0</v>
      </c>
      <c r="AW223" s="35"/>
      <c r="AX223" s="30"/>
      <c r="AY223" s="32">
        <f t="shared" si="54"/>
        <v>0</v>
      </c>
      <c r="AZ223" s="30" t="s">
        <v>440</v>
      </c>
      <c r="BA223" s="63"/>
      <c r="BB223" s="71"/>
      <c r="BC223" s="71"/>
      <c r="BD223" s="71"/>
    </row>
    <row r="224" spans="1:56" x14ac:dyDescent="0.25">
      <c r="A224" s="24">
        <f>IF(B224="","",SUBTOTAL(3,$B$4:B224))</f>
        <v>221</v>
      </c>
      <c r="B224" s="25" t="s">
        <v>439</v>
      </c>
      <c r="C224" s="25" t="str">
        <f t="shared" si="46"/>
        <v>Shipment 2 Outlet Stack</v>
      </c>
      <c r="D224" s="25" t="s">
        <v>441</v>
      </c>
      <c r="E224" s="25" t="s">
        <v>775</v>
      </c>
      <c r="F224" s="25"/>
      <c r="G224" s="65">
        <v>46204</v>
      </c>
      <c r="H224" s="25" t="s">
        <v>443</v>
      </c>
      <c r="I224" s="25" t="s">
        <v>444</v>
      </c>
      <c r="J224" s="26" t="s">
        <v>447</v>
      </c>
      <c r="K224" s="27" t="s">
        <v>626</v>
      </c>
      <c r="L224" s="28" t="s">
        <v>627</v>
      </c>
      <c r="M224" s="28" t="s">
        <v>547</v>
      </c>
      <c r="N224" s="25">
        <v>1</v>
      </c>
      <c r="O224" s="29">
        <v>37.799999999999997</v>
      </c>
      <c r="P224" s="29">
        <v>37.799999999999997</v>
      </c>
      <c r="Q224" s="25" t="s">
        <v>742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47"/>
        <v>0</v>
      </c>
      <c r="AF224" s="32">
        <f t="shared" si="48"/>
        <v>37.799999999999997</v>
      </c>
      <c r="AG224" s="30"/>
      <c r="AH224" s="33"/>
      <c r="AI224" s="34">
        <f t="shared" si="49"/>
        <v>0</v>
      </c>
      <c r="AJ224" s="35"/>
      <c r="AK224" s="30"/>
      <c r="AL224" s="36">
        <f t="shared" si="50"/>
        <v>0</v>
      </c>
      <c r="AM224" s="35"/>
      <c r="AN224" s="30"/>
      <c r="AO224" s="36">
        <f t="shared" si="51"/>
        <v>0</v>
      </c>
      <c r="AP224" s="35"/>
      <c r="AQ224" s="30"/>
      <c r="AR224" s="36">
        <f t="shared" si="52"/>
        <v>0</v>
      </c>
      <c r="AS224" s="27"/>
      <c r="AT224" s="37"/>
      <c r="AU224" s="30"/>
      <c r="AV224" s="36">
        <f t="shared" si="53"/>
        <v>0</v>
      </c>
      <c r="AW224" s="35"/>
      <c r="AX224" s="30"/>
      <c r="AY224" s="32">
        <f t="shared" si="54"/>
        <v>0</v>
      </c>
      <c r="AZ224" s="30" t="s">
        <v>440</v>
      </c>
      <c r="BA224" s="63"/>
      <c r="BB224" s="71"/>
      <c r="BC224" s="71"/>
      <c r="BD224" s="71"/>
    </row>
    <row r="225" spans="1:56" x14ac:dyDescent="0.25">
      <c r="A225" s="24">
        <f>IF(B225="","",SUBTOTAL(3,$B$4:B225))</f>
        <v>222</v>
      </c>
      <c r="B225" s="25" t="s">
        <v>439</v>
      </c>
      <c r="C225" s="25" t="str">
        <f t="shared" si="46"/>
        <v>Shipment 2 Outlet Stack</v>
      </c>
      <c r="D225" s="25" t="s">
        <v>441</v>
      </c>
      <c r="E225" s="25" t="s">
        <v>775</v>
      </c>
      <c r="F225" s="25"/>
      <c r="G225" s="65">
        <v>46204</v>
      </c>
      <c r="H225" s="25" t="s">
        <v>443</v>
      </c>
      <c r="I225" s="25" t="s">
        <v>444</v>
      </c>
      <c r="J225" s="26" t="s">
        <v>447</v>
      </c>
      <c r="K225" s="27" t="s">
        <v>628</v>
      </c>
      <c r="L225" s="28" t="s">
        <v>629</v>
      </c>
      <c r="M225" s="28" t="s">
        <v>547</v>
      </c>
      <c r="N225" s="25">
        <v>1</v>
      </c>
      <c r="O225" s="29">
        <v>13.9</v>
      </c>
      <c r="P225" s="29">
        <v>13.9</v>
      </c>
      <c r="Q225" s="25" t="s">
        <v>739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47"/>
        <v>0</v>
      </c>
      <c r="AF225" s="32">
        <f t="shared" si="48"/>
        <v>13.9</v>
      </c>
      <c r="AG225" s="30"/>
      <c r="AH225" s="33"/>
      <c r="AI225" s="34">
        <f t="shared" si="49"/>
        <v>0</v>
      </c>
      <c r="AJ225" s="35"/>
      <c r="AK225" s="30"/>
      <c r="AL225" s="36">
        <f t="shared" si="50"/>
        <v>0</v>
      </c>
      <c r="AM225" s="35"/>
      <c r="AN225" s="30"/>
      <c r="AO225" s="36">
        <f t="shared" si="51"/>
        <v>0</v>
      </c>
      <c r="AP225" s="35"/>
      <c r="AQ225" s="30"/>
      <c r="AR225" s="36">
        <f t="shared" si="52"/>
        <v>0</v>
      </c>
      <c r="AS225" s="27"/>
      <c r="AT225" s="37"/>
      <c r="AU225" s="30"/>
      <c r="AV225" s="36">
        <f t="shared" si="53"/>
        <v>0</v>
      </c>
      <c r="AW225" s="35"/>
      <c r="AX225" s="30"/>
      <c r="AY225" s="32">
        <f t="shared" si="54"/>
        <v>0</v>
      </c>
      <c r="AZ225" s="30" t="s">
        <v>440</v>
      </c>
      <c r="BA225" s="63"/>
      <c r="BB225" s="71"/>
      <c r="BC225" s="71"/>
      <c r="BD225" s="71"/>
    </row>
    <row r="226" spans="1:56" x14ac:dyDescent="0.25">
      <c r="A226" s="24">
        <f>IF(B226="","",SUBTOTAL(3,$B$4:B226))</f>
        <v>223</v>
      </c>
      <c r="B226" s="25" t="s">
        <v>439</v>
      </c>
      <c r="C226" s="25" t="str">
        <f t="shared" si="46"/>
        <v>Shipment 2 Outlet Stack</v>
      </c>
      <c r="D226" s="25" t="s">
        <v>441</v>
      </c>
      <c r="E226" s="25" t="s">
        <v>775</v>
      </c>
      <c r="F226" s="25"/>
      <c r="G226" s="65">
        <v>46204</v>
      </c>
      <c r="H226" s="25" t="s">
        <v>443</v>
      </c>
      <c r="I226" s="25" t="s">
        <v>444</v>
      </c>
      <c r="J226" s="26" t="s">
        <v>447</v>
      </c>
      <c r="K226" s="27" t="s">
        <v>630</v>
      </c>
      <c r="L226" s="28" t="s">
        <v>631</v>
      </c>
      <c r="M226" s="28" t="s">
        <v>547</v>
      </c>
      <c r="N226" s="25">
        <v>2</v>
      </c>
      <c r="O226" s="29">
        <v>13.9</v>
      </c>
      <c r="P226" s="29">
        <v>27.9</v>
      </c>
      <c r="Q226" s="25" t="s">
        <v>739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47"/>
        <v>0</v>
      </c>
      <c r="AF226" s="32">
        <f t="shared" si="48"/>
        <v>27.9</v>
      </c>
      <c r="AG226" s="30"/>
      <c r="AH226" s="33"/>
      <c r="AI226" s="34">
        <f t="shared" si="49"/>
        <v>0</v>
      </c>
      <c r="AJ226" s="35"/>
      <c r="AK226" s="30"/>
      <c r="AL226" s="36">
        <f t="shared" si="50"/>
        <v>0</v>
      </c>
      <c r="AM226" s="35"/>
      <c r="AN226" s="30"/>
      <c r="AO226" s="36">
        <f t="shared" si="51"/>
        <v>0</v>
      </c>
      <c r="AP226" s="35"/>
      <c r="AQ226" s="30"/>
      <c r="AR226" s="36">
        <f t="shared" si="52"/>
        <v>0</v>
      </c>
      <c r="AS226" s="27"/>
      <c r="AT226" s="37"/>
      <c r="AU226" s="30"/>
      <c r="AV226" s="36">
        <f t="shared" si="53"/>
        <v>0</v>
      </c>
      <c r="AW226" s="35"/>
      <c r="AX226" s="30"/>
      <c r="AY226" s="32">
        <f t="shared" si="54"/>
        <v>0</v>
      </c>
      <c r="AZ226" s="30" t="s">
        <v>440</v>
      </c>
      <c r="BA226" s="63"/>
      <c r="BB226" s="71"/>
      <c r="BC226" s="71"/>
      <c r="BD226" s="71"/>
    </row>
    <row r="227" spans="1:56" x14ac:dyDescent="0.25">
      <c r="A227" s="24">
        <f>IF(B227="","",SUBTOTAL(3,$B$4:B227))</f>
        <v>224</v>
      </c>
      <c r="B227" s="25" t="s">
        <v>439</v>
      </c>
      <c r="C227" s="25" t="str">
        <f t="shared" si="46"/>
        <v>Shipment 2 Outlet Stack</v>
      </c>
      <c r="D227" s="25" t="s">
        <v>441</v>
      </c>
      <c r="E227" s="25" t="s">
        <v>775</v>
      </c>
      <c r="F227" s="25"/>
      <c r="G227" s="65">
        <v>46204</v>
      </c>
      <c r="H227" s="25" t="s">
        <v>443</v>
      </c>
      <c r="I227" s="25" t="s">
        <v>444</v>
      </c>
      <c r="J227" s="26" t="s">
        <v>447</v>
      </c>
      <c r="K227" s="27" t="s">
        <v>632</v>
      </c>
      <c r="L227" s="28" t="s">
        <v>633</v>
      </c>
      <c r="M227" s="28" t="s">
        <v>547</v>
      </c>
      <c r="N227" s="25">
        <v>1</v>
      </c>
      <c r="O227" s="29">
        <v>12.4</v>
      </c>
      <c r="P227" s="29">
        <v>12.4</v>
      </c>
      <c r="Q227" s="25" t="s">
        <v>743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47"/>
        <v>0</v>
      </c>
      <c r="AF227" s="32">
        <f t="shared" si="48"/>
        <v>12.4</v>
      </c>
      <c r="AG227" s="30"/>
      <c r="AH227" s="33"/>
      <c r="AI227" s="34">
        <f t="shared" si="49"/>
        <v>0</v>
      </c>
      <c r="AJ227" s="35"/>
      <c r="AK227" s="30"/>
      <c r="AL227" s="36">
        <f t="shared" si="50"/>
        <v>0</v>
      </c>
      <c r="AM227" s="35"/>
      <c r="AN227" s="30"/>
      <c r="AO227" s="36">
        <f t="shared" si="51"/>
        <v>0</v>
      </c>
      <c r="AP227" s="35"/>
      <c r="AQ227" s="30"/>
      <c r="AR227" s="36">
        <f t="shared" si="52"/>
        <v>0</v>
      </c>
      <c r="AS227" s="27"/>
      <c r="AT227" s="37"/>
      <c r="AU227" s="30"/>
      <c r="AV227" s="36">
        <f t="shared" si="53"/>
        <v>0</v>
      </c>
      <c r="AW227" s="35"/>
      <c r="AX227" s="30"/>
      <c r="AY227" s="32">
        <f t="shared" si="54"/>
        <v>0</v>
      </c>
      <c r="AZ227" s="30" t="s">
        <v>440</v>
      </c>
      <c r="BA227" s="63"/>
      <c r="BB227" s="71"/>
      <c r="BC227" s="71"/>
      <c r="BD227" s="71"/>
    </row>
    <row r="228" spans="1:56" x14ac:dyDescent="0.25">
      <c r="A228" s="24">
        <f>IF(B228="","",SUBTOTAL(3,$B$4:B228))</f>
        <v>225</v>
      </c>
      <c r="B228" s="25" t="s">
        <v>439</v>
      </c>
      <c r="C228" s="25" t="str">
        <f t="shared" si="46"/>
        <v>Shipment 2 Outlet Stack</v>
      </c>
      <c r="D228" s="25" t="s">
        <v>441</v>
      </c>
      <c r="E228" s="25" t="s">
        <v>775</v>
      </c>
      <c r="F228" s="25"/>
      <c r="G228" s="65">
        <v>46204</v>
      </c>
      <c r="H228" s="25" t="s">
        <v>443</v>
      </c>
      <c r="I228" s="25" t="s">
        <v>444</v>
      </c>
      <c r="J228" s="26" t="s">
        <v>447</v>
      </c>
      <c r="K228" s="27" t="s">
        <v>634</v>
      </c>
      <c r="L228" s="28" t="s">
        <v>635</v>
      </c>
      <c r="M228" s="28" t="s">
        <v>547</v>
      </c>
      <c r="N228" s="25">
        <v>1</v>
      </c>
      <c r="O228" s="29">
        <v>9.1</v>
      </c>
      <c r="P228" s="29">
        <v>9.1</v>
      </c>
      <c r="Q228" s="25" t="s">
        <v>744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47"/>
        <v>0</v>
      </c>
      <c r="AF228" s="32">
        <f t="shared" si="48"/>
        <v>9.1</v>
      </c>
      <c r="AG228" s="30"/>
      <c r="AH228" s="33"/>
      <c r="AI228" s="34">
        <f t="shared" si="49"/>
        <v>0</v>
      </c>
      <c r="AJ228" s="35"/>
      <c r="AK228" s="30"/>
      <c r="AL228" s="36">
        <f t="shared" si="50"/>
        <v>0</v>
      </c>
      <c r="AM228" s="35"/>
      <c r="AN228" s="30"/>
      <c r="AO228" s="36">
        <f t="shared" si="51"/>
        <v>0</v>
      </c>
      <c r="AP228" s="35"/>
      <c r="AQ228" s="30"/>
      <c r="AR228" s="36">
        <f t="shared" si="52"/>
        <v>0</v>
      </c>
      <c r="AS228" s="27"/>
      <c r="AT228" s="37"/>
      <c r="AU228" s="30"/>
      <c r="AV228" s="36">
        <f t="shared" si="53"/>
        <v>0</v>
      </c>
      <c r="AW228" s="35"/>
      <c r="AX228" s="30"/>
      <c r="AY228" s="32">
        <f t="shared" si="54"/>
        <v>0</v>
      </c>
      <c r="AZ228" s="30" t="s">
        <v>440</v>
      </c>
      <c r="BA228" s="63"/>
      <c r="BB228" s="71"/>
      <c r="BC228" s="71"/>
      <c r="BD228" s="71"/>
    </row>
    <row r="229" spans="1:56" x14ac:dyDescent="0.25">
      <c r="A229" s="24">
        <f>IF(B229="","",SUBTOTAL(3,$B$4:B229))</f>
        <v>226</v>
      </c>
      <c r="B229" s="25" t="s">
        <v>439</v>
      </c>
      <c r="C229" s="25" t="str">
        <f t="shared" si="46"/>
        <v>Shipment 2 Outlet Stack</v>
      </c>
      <c r="D229" s="25" t="s">
        <v>441</v>
      </c>
      <c r="E229" s="25" t="s">
        <v>775</v>
      </c>
      <c r="F229" s="25"/>
      <c r="G229" s="65">
        <v>46204</v>
      </c>
      <c r="H229" s="25" t="s">
        <v>443</v>
      </c>
      <c r="I229" s="25" t="s">
        <v>444</v>
      </c>
      <c r="J229" s="26" t="s">
        <v>447</v>
      </c>
      <c r="K229" s="27" t="s">
        <v>636</v>
      </c>
      <c r="L229" s="28" t="s">
        <v>637</v>
      </c>
      <c r="M229" s="28" t="s">
        <v>547</v>
      </c>
      <c r="N229" s="25">
        <v>1</v>
      </c>
      <c r="O229" s="29">
        <v>12.4</v>
      </c>
      <c r="P229" s="29">
        <v>12.4</v>
      </c>
      <c r="Q229" s="25" t="s">
        <v>743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47"/>
        <v>0</v>
      </c>
      <c r="AF229" s="32">
        <f t="shared" si="48"/>
        <v>12.4</v>
      </c>
      <c r="AG229" s="30"/>
      <c r="AH229" s="33"/>
      <c r="AI229" s="34">
        <f t="shared" si="49"/>
        <v>0</v>
      </c>
      <c r="AJ229" s="35"/>
      <c r="AK229" s="30"/>
      <c r="AL229" s="36">
        <f t="shared" si="50"/>
        <v>0</v>
      </c>
      <c r="AM229" s="35"/>
      <c r="AN229" s="30"/>
      <c r="AO229" s="36">
        <f t="shared" si="51"/>
        <v>0</v>
      </c>
      <c r="AP229" s="35"/>
      <c r="AQ229" s="30"/>
      <c r="AR229" s="36">
        <f t="shared" si="52"/>
        <v>0</v>
      </c>
      <c r="AS229" s="27"/>
      <c r="AT229" s="37"/>
      <c r="AU229" s="30"/>
      <c r="AV229" s="36">
        <f t="shared" si="53"/>
        <v>0</v>
      </c>
      <c r="AW229" s="35"/>
      <c r="AX229" s="30"/>
      <c r="AY229" s="32">
        <f t="shared" si="54"/>
        <v>0</v>
      </c>
      <c r="AZ229" s="30" t="s">
        <v>440</v>
      </c>
      <c r="BA229" s="63"/>
      <c r="BB229" s="71"/>
      <c r="BC229" s="71"/>
      <c r="BD229" s="71"/>
    </row>
    <row r="230" spans="1:56" x14ac:dyDescent="0.25">
      <c r="A230" s="24">
        <f>IF(B230="","",SUBTOTAL(3,$B$4:B230))</f>
        <v>227</v>
      </c>
      <c r="B230" s="25" t="s">
        <v>439</v>
      </c>
      <c r="C230" s="25" t="str">
        <f t="shared" si="46"/>
        <v>Shipment 2 Outlet Stack</v>
      </c>
      <c r="D230" s="25" t="s">
        <v>441</v>
      </c>
      <c r="E230" s="25" t="s">
        <v>775</v>
      </c>
      <c r="F230" s="25"/>
      <c r="G230" s="65">
        <v>46204</v>
      </c>
      <c r="H230" s="25" t="s">
        <v>443</v>
      </c>
      <c r="I230" s="25" t="s">
        <v>444</v>
      </c>
      <c r="J230" s="26" t="s">
        <v>447</v>
      </c>
      <c r="K230" s="27" t="s">
        <v>638</v>
      </c>
      <c r="L230" s="28" t="s">
        <v>639</v>
      </c>
      <c r="M230" s="28" t="s">
        <v>547</v>
      </c>
      <c r="N230" s="25">
        <v>2</v>
      </c>
      <c r="O230" s="29">
        <v>9.1</v>
      </c>
      <c r="P230" s="29">
        <v>18.2</v>
      </c>
      <c r="Q230" s="25" t="s">
        <v>744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47"/>
        <v>0</v>
      </c>
      <c r="AF230" s="32">
        <f t="shared" si="48"/>
        <v>18.2</v>
      </c>
      <c r="AG230" s="30"/>
      <c r="AH230" s="33"/>
      <c r="AI230" s="34">
        <f t="shared" si="49"/>
        <v>0</v>
      </c>
      <c r="AJ230" s="35"/>
      <c r="AK230" s="30"/>
      <c r="AL230" s="36">
        <f t="shared" si="50"/>
        <v>0</v>
      </c>
      <c r="AM230" s="35"/>
      <c r="AN230" s="30"/>
      <c r="AO230" s="36">
        <f t="shared" si="51"/>
        <v>0</v>
      </c>
      <c r="AP230" s="35"/>
      <c r="AQ230" s="30"/>
      <c r="AR230" s="36">
        <f t="shared" si="52"/>
        <v>0</v>
      </c>
      <c r="AS230" s="27"/>
      <c r="AT230" s="37"/>
      <c r="AU230" s="30"/>
      <c r="AV230" s="36">
        <f t="shared" si="53"/>
        <v>0</v>
      </c>
      <c r="AW230" s="35"/>
      <c r="AX230" s="30"/>
      <c r="AY230" s="32">
        <f t="shared" si="54"/>
        <v>0</v>
      </c>
      <c r="AZ230" s="30" t="s">
        <v>440</v>
      </c>
      <c r="BA230" s="63"/>
      <c r="BB230" s="71"/>
      <c r="BC230" s="71"/>
      <c r="BD230" s="71"/>
    </row>
    <row r="231" spans="1:56" x14ac:dyDescent="0.25">
      <c r="A231" s="24">
        <f>IF(B231="","",SUBTOTAL(3,$B$4:B231))</f>
        <v>228</v>
      </c>
      <c r="B231" s="25" t="s">
        <v>439</v>
      </c>
      <c r="C231" s="25" t="str">
        <f t="shared" si="46"/>
        <v>Shipment 2 Outlet Stack</v>
      </c>
      <c r="D231" s="25" t="s">
        <v>441</v>
      </c>
      <c r="E231" s="25" t="s">
        <v>775</v>
      </c>
      <c r="F231" s="25"/>
      <c r="G231" s="65">
        <v>46204</v>
      </c>
      <c r="H231" s="25" t="s">
        <v>443</v>
      </c>
      <c r="I231" s="25" t="s">
        <v>444</v>
      </c>
      <c r="J231" s="26" t="s">
        <v>447</v>
      </c>
      <c r="K231" s="27" t="s">
        <v>640</v>
      </c>
      <c r="L231" s="28" t="s">
        <v>641</v>
      </c>
      <c r="M231" s="28" t="s">
        <v>547</v>
      </c>
      <c r="N231" s="25">
        <v>1</v>
      </c>
      <c r="O231" s="29">
        <v>17.7</v>
      </c>
      <c r="P231" s="29">
        <v>17.7</v>
      </c>
      <c r="Q231" s="25" t="s">
        <v>750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47"/>
        <v>0</v>
      </c>
      <c r="AF231" s="32">
        <f t="shared" si="48"/>
        <v>17.7</v>
      </c>
      <c r="AG231" s="30"/>
      <c r="AH231" s="33"/>
      <c r="AI231" s="34">
        <f t="shared" si="49"/>
        <v>0</v>
      </c>
      <c r="AJ231" s="35"/>
      <c r="AK231" s="30"/>
      <c r="AL231" s="36">
        <f t="shared" si="50"/>
        <v>0</v>
      </c>
      <c r="AM231" s="35"/>
      <c r="AN231" s="30"/>
      <c r="AO231" s="36">
        <f t="shared" si="51"/>
        <v>0</v>
      </c>
      <c r="AP231" s="35"/>
      <c r="AQ231" s="30"/>
      <c r="AR231" s="36">
        <f t="shared" si="52"/>
        <v>0</v>
      </c>
      <c r="AS231" s="27"/>
      <c r="AT231" s="37"/>
      <c r="AU231" s="30"/>
      <c r="AV231" s="36">
        <f t="shared" si="53"/>
        <v>0</v>
      </c>
      <c r="AW231" s="35"/>
      <c r="AX231" s="30"/>
      <c r="AY231" s="32">
        <f t="shared" si="54"/>
        <v>0</v>
      </c>
      <c r="AZ231" s="30" t="s">
        <v>440</v>
      </c>
      <c r="BA231" s="63"/>
      <c r="BB231" s="71"/>
      <c r="BC231" s="71"/>
      <c r="BD231" s="71"/>
    </row>
    <row r="232" spans="1:56" x14ac:dyDescent="0.25">
      <c r="A232" s="24">
        <f>IF(B232="","",SUBTOTAL(3,$B$4:B232))</f>
        <v>229</v>
      </c>
      <c r="B232" s="25" t="s">
        <v>439</v>
      </c>
      <c r="C232" s="25" t="str">
        <f t="shared" si="46"/>
        <v>Shipment 2 Outlet Stack</v>
      </c>
      <c r="D232" s="25" t="s">
        <v>441</v>
      </c>
      <c r="E232" s="25" t="s">
        <v>775</v>
      </c>
      <c r="F232" s="25"/>
      <c r="G232" s="65">
        <v>46204</v>
      </c>
      <c r="H232" s="25" t="s">
        <v>443</v>
      </c>
      <c r="I232" s="25" t="s">
        <v>444</v>
      </c>
      <c r="J232" s="26" t="s">
        <v>447</v>
      </c>
      <c r="K232" s="27" t="s">
        <v>642</v>
      </c>
      <c r="L232" s="28" t="s">
        <v>643</v>
      </c>
      <c r="M232" s="28" t="s">
        <v>644</v>
      </c>
      <c r="N232" s="25">
        <v>4</v>
      </c>
      <c r="O232" s="29">
        <v>54.4</v>
      </c>
      <c r="P232" s="29">
        <v>217.8</v>
      </c>
      <c r="Q232" s="25" t="s">
        <v>751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47"/>
        <v>0</v>
      </c>
      <c r="AF232" s="32">
        <f t="shared" si="48"/>
        <v>217.8</v>
      </c>
      <c r="AG232" s="30"/>
      <c r="AH232" s="33"/>
      <c r="AI232" s="34">
        <f t="shared" si="49"/>
        <v>0</v>
      </c>
      <c r="AJ232" s="35"/>
      <c r="AK232" s="30"/>
      <c r="AL232" s="36">
        <f t="shared" si="50"/>
        <v>0</v>
      </c>
      <c r="AM232" s="35"/>
      <c r="AN232" s="30"/>
      <c r="AO232" s="36">
        <f t="shared" si="51"/>
        <v>0</v>
      </c>
      <c r="AP232" s="35"/>
      <c r="AQ232" s="30"/>
      <c r="AR232" s="36">
        <f t="shared" si="52"/>
        <v>0</v>
      </c>
      <c r="AS232" s="27"/>
      <c r="AT232" s="37"/>
      <c r="AU232" s="30"/>
      <c r="AV232" s="36">
        <f t="shared" si="53"/>
        <v>0</v>
      </c>
      <c r="AW232" s="35"/>
      <c r="AX232" s="30"/>
      <c r="AY232" s="32">
        <f t="shared" si="54"/>
        <v>0</v>
      </c>
      <c r="AZ232" s="30" t="s">
        <v>440</v>
      </c>
      <c r="BA232" s="63"/>
      <c r="BB232" s="71"/>
      <c r="BC232" s="71"/>
      <c r="BD232" s="71"/>
    </row>
    <row r="233" spans="1:56" x14ac:dyDescent="0.25">
      <c r="A233" s="24">
        <f>IF(B233="","",SUBTOTAL(3,$B$4:B233))</f>
        <v>230</v>
      </c>
      <c r="B233" s="25" t="s">
        <v>439</v>
      </c>
      <c r="C233" s="25" t="str">
        <f t="shared" si="46"/>
        <v>Shipment 2 Outlet Stack</v>
      </c>
      <c r="D233" s="25" t="s">
        <v>441</v>
      </c>
      <c r="E233" s="25" t="s">
        <v>775</v>
      </c>
      <c r="F233" s="25"/>
      <c r="G233" s="65">
        <v>46204</v>
      </c>
      <c r="H233" s="25" t="s">
        <v>443</v>
      </c>
      <c r="I233" s="25" t="s">
        <v>444</v>
      </c>
      <c r="J233" s="26" t="s">
        <v>447</v>
      </c>
      <c r="K233" s="27" t="s">
        <v>645</v>
      </c>
      <c r="L233" s="28" t="s">
        <v>646</v>
      </c>
      <c r="M233" s="28" t="s">
        <v>644</v>
      </c>
      <c r="N233" s="25">
        <v>1</v>
      </c>
      <c r="O233" s="29">
        <v>198.8</v>
      </c>
      <c r="P233" s="29">
        <v>198.8</v>
      </c>
      <c r="Q233" s="25" t="s">
        <v>752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47"/>
        <v>0</v>
      </c>
      <c r="AF233" s="32">
        <f t="shared" si="48"/>
        <v>198.8</v>
      </c>
      <c r="AG233" s="30"/>
      <c r="AH233" s="33"/>
      <c r="AI233" s="34">
        <f t="shared" si="49"/>
        <v>0</v>
      </c>
      <c r="AJ233" s="35"/>
      <c r="AK233" s="30"/>
      <c r="AL233" s="36">
        <f t="shared" si="50"/>
        <v>0</v>
      </c>
      <c r="AM233" s="35"/>
      <c r="AN233" s="30"/>
      <c r="AO233" s="36">
        <f t="shared" si="51"/>
        <v>0</v>
      </c>
      <c r="AP233" s="35"/>
      <c r="AQ233" s="30"/>
      <c r="AR233" s="36">
        <f t="shared" si="52"/>
        <v>0</v>
      </c>
      <c r="AS233" s="27"/>
      <c r="AT233" s="37"/>
      <c r="AU233" s="30"/>
      <c r="AV233" s="36">
        <f t="shared" si="53"/>
        <v>0</v>
      </c>
      <c r="AW233" s="35"/>
      <c r="AX233" s="30"/>
      <c r="AY233" s="32">
        <f t="shared" si="54"/>
        <v>0</v>
      </c>
      <c r="AZ233" s="30" t="s">
        <v>440</v>
      </c>
      <c r="BA233" s="63"/>
      <c r="BB233" s="71"/>
      <c r="BC233" s="71"/>
      <c r="BD233" s="71"/>
    </row>
    <row r="234" spans="1:56" x14ac:dyDescent="0.25">
      <c r="A234" s="24">
        <f>IF(B234="","",SUBTOTAL(3,$B$4:B234))</f>
        <v>231</v>
      </c>
      <c r="B234" s="25" t="s">
        <v>439</v>
      </c>
      <c r="C234" s="25" t="str">
        <f t="shared" si="46"/>
        <v>Shipment 2 Outlet Stack</v>
      </c>
      <c r="D234" s="25" t="s">
        <v>441</v>
      </c>
      <c r="E234" s="25" t="s">
        <v>775</v>
      </c>
      <c r="F234" s="25"/>
      <c r="G234" s="65">
        <v>46204</v>
      </c>
      <c r="H234" s="25" t="s">
        <v>443</v>
      </c>
      <c r="I234" s="25" t="s">
        <v>444</v>
      </c>
      <c r="J234" s="26" t="s">
        <v>447</v>
      </c>
      <c r="K234" s="27" t="s">
        <v>647</v>
      </c>
      <c r="L234" s="28" t="s">
        <v>648</v>
      </c>
      <c r="M234" s="28" t="s">
        <v>644</v>
      </c>
      <c r="N234" s="25">
        <v>1</v>
      </c>
      <c r="O234" s="29">
        <v>198.9</v>
      </c>
      <c r="P234" s="29">
        <v>198.9</v>
      </c>
      <c r="Q234" s="25" t="s">
        <v>753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47"/>
        <v>0</v>
      </c>
      <c r="AF234" s="32">
        <f t="shared" si="48"/>
        <v>198.9</v>
      </c>
      <c r="AG234" s="30"/>
      <c r="AH234" s="33"/>
      <c r="AI234" s="34">
        <f t="shared" si="49"/>
        <v>0</v>
      </c>
      <c r="AJ234" s="35"/>
      <c r="AK234" s="30"/>
      <c r="AL234" s="36">
        <f t="shared" si="50"/>
        <v>0</v>
      </c>
      <c r="AM234" s="35"/>
      <c r="AN234" s="30"/>
      <c r="AO234" s="36">
        <f t="shared" si="51"/>
        <v>0</v>
      </c>
      <c r="AP234" s="35"/>
      <c r="AQ234" s="30"/>
      <c r="AR234" s="36">
        <f t="shared" si="52"/>
        <v>0</v>
      </c>
      <c r="AS234" s="27"/>
      <c r="AT234" s="37"/>
      <c r="AU234" s="30"/>
      <c r="AV234" s="36">
        <f t="shared" si="53"/>
        <v>0</v>
      </c>
      <c r="AW234" s="35"/>
      <c r="AX234" s="30"/>
      <c r="AY234" s="32">
        <f t="shared" si="54"/>
        <v>0</v>
      </c>
      <c r="AZ234" s="30" t="s">
        <v>440</v>
      </c>
      <c r="BA234" s="63"/>
      <c r="BB234" s="71"/>
      <c r="BC234" s="71"/>
      <c r="BD234" s="71"/>
    </row>
    <row r="235" spans="1:56" x14ac:dyDescent="0.25">
      <c r="A235" s="24">
        <f>IF(B235="","",SUBTOTAL(3,$B$4:B235))</f>
        <v>232</v>
      </c>
      <c r="B235" s="25" t="s">
        <v>439</v>
      </c>
      <c r="C235" s="25" t="str">
        <f t="shared" ref="C235:C241" si="55">D235&amp;" "&amp;E235</f>
        <v>Shipment 2 Outlet Stack</v>
      </c>
      <c r="D235" s="25" t="s">
        <v>441</v>
      </c>
      <c r="E235" s="25" t="s">
        <v>775</v>
      </c>
      <c r="F235" s="25"/>
      <c r="G235" s="65">
        <v>46204</v>
      </c>
      <c r="H235" s="25" t="s">
        <v>443</v>
      </c>
      <c r="I235" s="25" t="s">
        <v>776</v>
      </c>
      <c r="J235" s="26" t="s">
        <v>447</v>
      </c>
      <c r="K235" s="27" t="s">
        <v>649</v>
      </c>
      <c r="L235" s="28" t="s">
        <v>650</v>
      </c>
      <c r="M235" s="28" t="s">
        <v>651</v>
      </c>
      <c r="N235" s="25">
        <v>1</v>
      </c>
      <c r="O235" s="29">
        <v>6005.7</v>
      </c>
      <c r="P235" s="29">
        <v>6005.7</v>
      </c>
      <c r="Q235" s="25" t="s">
        <v>754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47"/>
        <v>5405.13</v>
      </c>
      <c r="AF235" s="32">
        <f t="shared" si="48"/>
        <v>600.56999999999971</v>
      </c>
      <c r="AG235" s="30"/>
      <c r="AH235" s="33"/>
      <c r="AI235" s="34">
        <f t="shared" si="49"/>
        <v>0</v>
      </c>
      <c r="AJ235" s="35">
        <v>46254</v>
      </c>
      <c r="AK235" s="30">
        <v>1</v>
      </c>
      <c r="AL235" s="36">
        <f t="shared" si="50"/>
        <v>6005.7</v>
      </c>
      <c r="AM235" s="35">
        <v>46259</v>
      </c>
      <c r="AN235" s="30">
        <v>1</v>
      </c>
      <c r="AO235" s="36">
        <f t="shared" si="51"/>
        <v>6005.7</v>
      </c>
      <c r="AP235" s="35"/>
      <c r="AQ235" s="30"/>
      <c r="AR235" s="36">
        <f t="shared" si="52"/>
        <v>0</v>
      </c>
      <c r="AS235" s="27"/>
      <c r="AT235" s="37"/>
      <c r="AU235" s="30"/>
      <c r="AV235" s="36">
        <f t="shared" si="53"/>
        <v>0</v>
      </c>
      <c r="AW235" s="35"/>
      <c r="AX235" s="30"/>
      <c r="AY235" s="32">
        <f t="shared" si="54"/>
        <v>0</v>
      </c>
      <c r="AZ235" s="30" t="s">
        <v>440</v>
      </c>
      <c r="BA235" s="63"/>
      <c r="BB235" s="71"/>
      <c r="BC235" s="71"/>
      <c r="BD235" s="71"/>
    </row>
    <row r="236" spans="1:56" x14ac:dyDescent="0.25">
      <c r="A236" s="24">
        <f>IF(B236="","",SUBTOTAL(3,$B$4:B236))</f>
        <v>233</v>
      </c>
      <c r="B236" s="25" t="s">
        <v>439</v>
      </c>
      <c r="C236" s="25" t="str">
        <f t="shared" si="55"/>
        <v>Shipment 2 Outlet Stack</v>
      </c>
      <c r="D236" s="25" t="s">
        <v>441</v>
      </c>
      <c r="E236" s="25" t="s">
        <v>775</v>
      </c>
      <c r="F236" s="25"/>
      <c r="G236" s="65">
        <v>46204</v>
      </c>
      <c r="H236" s="25" t="s">
        <v>443</v>
      </c>
      <c r="I236" s="25" t="s">
        <v>776</v>
      </c>
      <c r="J236" s="26" t="s">
        <v>447</v>
      </c>
      <c r="K236" s="27" t="s">
        <v>652</v>
      </c>
      <c r="L236" s="28" t="s">
        <v>653</v>
      </c>
      <c r="M236" s="28" t="s">
        <v>651</v>
      </c>
      <c r="N236" s="25">
        <v>1</v>
      </c>
      <c r="O236" s="29">
        <v>6164</v>
      </c>
      <c r="P236" s="29">
        <v>6164</v>
      </c>
      <c r="Q236" s="25" t="s">
        <v>754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47"/>
        <v>5547.6</v>
      </c>
      <c r="AF236" s="32">
        <f t="shared" si="48"/>
        <v>616.39999999999964</v>
      </c>
      <c r="AG236" s="30"/>
      <c r="AH236" s="33"/>
      <c r="AI236" s="34">
        <f t="shared" si="49"/>
        <v>0</v>
      </c>
      <c r="AJ236" s="35">
        <v>46258</v>
      </c>
      <c r="AK236" s="30">
        <v>1</v>
      </c>
      <c r="AL236" s="36">
        <f t="shared" si="50"/>
        <v>6164</v>
      </c>
      <c r="AM236" s="35">
        <v>46263</v>
      </c>
      <c r="AN236" s="30">
        <v>1</v>
      </c>
      <c r="AO236" s="36">
        <f t="shared" si="51"/>
        <v>6164</v>
      </c>
      <c r="AP236" s="35"/>
      <c r="AQ236" s="30"/>
      <c r="AR236" s="36">
        <f t="shared" si="52"/>
        <v>0</v>
      </c>
      <c r="AS236" s="27"/>
      <c r="AT236" s="37"/>
      <c r="AU236" s="30"/>
      <c r="AV236" s="36">
        <f t="shared" si="53"/>
        <v>0</v>
      </c>
      <c r="AW236" s="35"/>
      <c r="AX236" s="30"/>
      <c r="AY236" s="32">
        <f t="shared" si="54"/>
        <v>0</v>
      </c>
      <c r="AZ236" s="30" t="s">
        <v>440</v>
      </c>
      <c r="BA236" s="63"/>
      <c r="BB236" s="71"/>
      <c r="BC236" s="71"/>
      <c r="BD236" s="71"/>
    </row>
    <row r="237" spans="1:56" x14ac:dyDescent="0.25">
      <c r="A237" s="24">
        <f>IF(B237="","",SUBTOTAL(3,$B$4:B237))</f>
        <v>234</v>
      </c>
      <c r="B237" s="25" t="s">
        <v>439</v>
      </c>
      <c r="C237" s="25" t="str">
        <f t="shared" si="55"/>
        <v>Shipment 2 Outlet Stack</v>
      </c>
      <c r="D237" s="25" t="s">
        <v>441</v>
      </c>
      <c r="E237" s="25" t="s">
        <v>775</v>
      </c>
      <c r="F237" s="25"/>
      <c r="G237" s="65">
        <v>46204</v>
      </c>
      <c r="H237" s="25" t="s">
        <v>443</v>
      </c>
      <c r="I237" s="25" t="s">
        <v>776</v>
      </c>
      <c r="J237" s="26" t="s">
        <v>778</v>
      </c>
      <c r="K237" s="27" t="s">
        <v>654</v>
      </c>
      <c r="L237" s="28" t="s">
        <v>655</v>
      </c>
      <c r="M237" s="28" t="s">
        <v>651</v>
      </c>
      <c r="N237" s="25">
        <v>1</v>
      </c>
      <c r="O237" s="29">
        <v>3345.8</v>
      </c>
      <c r="P237" s="29">
        <v>3345.8</v>
      </c>
      <c r="Q237" s="25" t="s">
        <v>755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47"/>
        <v>3011.2200000000003</v>
      </c>
      <c r="AF237" s="32">
        <f t="shared" si="48"/>
        <v>334.57999999999993</v>
      </c>
      <c r="AG237" s="30"/>
      <c r="AH237" s="33"/>
      <c r="AI237" s="34">
        <f t="shared" si="49"/>
        <v>0</v>
      </c>
      <c r="AJ237" s="35">
        <v>46282</v>
      </c>
      <c r="AK237" s="30">
        <v>1</v>
      </c>
      <c r="AL237" s="36">
        <f t="shared" si="50"/>
        <v>3345.8</v>
      </c>
      <c r="AM237" s="35">
        <v>46284</v>
      </c>
      <c r="AN237" s="30">
        <v>1</v>
      </c>
      <c r="AO237" s="36">
        <f t="shared" si="51"/>
        <v>3345.8</v>
      </c>
      <c r="AP237" s="35"/>
      <c r="AQ237" s="30"/>
      <c r="AR237" s="36">
        <f t="shared" si="52"/>
        <v>0</v>
      </c>
      <c r="AS237" s="27"/>
      <c r="AT237" s="37"/>
      <c r="AU237" s="30"/>
      <c r="AV237" s="36">
        <f t="shared" si="53"/>
        <v>0</v>
      </c>
      <c r="AW237" s="35"/>
      <c r="AX237" s="30"/>
      <c r="AY237" s="32">
        <f t="shared" si="54"/>
        <v>0</v>
      </c>
      <c r="AZ237" s="30" t="s">
        <v>440</v>
      </c>
      <c r="BA237" s="63"/>
      <c r="BB237" s="71"/>
      <c r="BC237" s="71"/>
      <c r="BD237" s="71"/>
    </row>
    <row r="238" spans="1:56" x14ac:dyDescent="0.25">
      <c r="A238" s="24">
        <f>IF(B238="","",SUBTOTAL(3,$B$4:B238))</f>
        <v>235</v>
      </c>
      <c r="B238" s="25" t="s">
        <v>439</v>
      </c>
      <c r="C238" s="25" t="str">
        <f t="shared" si="55"/>
        <v>Shipment 2 Outlet Stack</v>
      </c>
      <c r="D238" s="25" t="s">
        <v>441</v>
      </c>
      <c r="E238" s="25" t="s">
        <v>775</v>
      </c>
      <c r="F238" s="25"/>
      <c r="G238" s="65">
        <v>46204</v>
      </c>
      <c r="H238" s="25" t="s">
        <v>443</v>
      </c>
      <c r="I238" s="25" t="s">
        <v>776</v>
      </c>
      <c r="J238" s="26" t="s">
        <v>778</v>
      </c>
      <c r="K238" s="27" t="s">
        <v>656</v>
      </c>
      <c r="L238" s="28" t="s">
        <v>657</v>
      </c>
      <c r="M238" s="28" t="s">
        <v>651</v>
      </c>
      <c r="N238" s="25">
        <v>1</v>
      </c>
      <c r="O238" s="29">
        <v>3345.9</v>
      </c>
      <c r="P238" s="29">
        <v>3345.9</v>
      </c>
      <c r="Q238" s="25" t="s">
        <v>755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47"/>
        <v>3011.3100000000004</v>
      </c>
      <c r="AF238" s="32">
        <f t="shared" si="48"/>
        <v>334.58999999999969</v>
      </c>
      <c r="AG238" s="30"/>
      <c r="AH238" s="33"/>
      <c r="AI238" s="34">
        <f t="shared" si="49"/>
        <v>0</v>
      </c>
      <c r="AJ238" s="35">
        <v>46282</v>
      </c>
      <c r="AK238" s="30">
        <v>1</v>
      </c>
      <c r="AL238" s="36">
        <f t="shared" si="50"/>
        <v>3345.9</v>
      </c>
      <c r="AM238" s="35">
        <v>46286</v>
      </c>
      <c r="AN238" s="30">
        <v>1</v>
      </c>
      <c r="AO238" s="36">
        <f t="shared" si="51"/>
        <v>3345.9</v>
      </c>
      <c r="AP238" s="35"/>
      <c r="AQ238" s="30"/>
      <c r="AR238" s="36">
        <f t="shared" si="52"/>
        <v>0</v>
      </c>
      <c r="AS238" s="27"/>
      <c r="AT238" s="37"/>
      <c r="AU238" s="30"/>
      <c r="AV238" s="36">
        <f t="shared" si="53"/>
        <v>0</v>
      </c>
      <c r="AW238" s="35"/>
      <c r="AX238" s="30"/>
      <c r="AY238" s="32">
        <f t="shared" si="54"/>
        <v>0</v>
      </c>
      <c r="AZ238" s="30" t="s">
        <v>440</v>
      </c>
      <c r="BA238" s="63"/>
      <c r="BB238" s="71"/>
      <c r="BC238" s="71"/>
      <c r="BD238" s="71"/>
    </row>
    <row r="239" spans="1:56" x14ac:dyDescent="0.25">
      <c r="A239" s="24">
        <f>IF(B239="","",SUBTOTAL(3,$B$4:B239))</f>
        <v>236</v>
      </c>
      <c r="B239" s="25" t="s">
        <v>439</v>
      </c>
      <c r="C239" s="25" t="str">
        <f t="shared" si="55"/>
        <v>Shipment 2 Outlet Stack</v>
      </c>
      <c r="D239" s="25" t="s">
        <v>441</v>
      </c>
      <c r="E239" s="25" t="s">
        <v>775</v>
      </c>
      <c r="F239" s="25"/>
      <c r="G239" s="65">
        <v>46204</v>
      </c>
      <c r="H239" s="25" t="s">
        <v>443</v>
      </c>
      <c r="I239" s="25" t="s">
        <v>776</v>
      </c>
      <c r="J239" s="26" t="s">
        <v>778</v>
      </c>
      <c r="K239" s="27" t="s">
        <v>658</v>
      </c>
      <c r="L239" s="28" t="s">
        <v>659</v>
      </c>
      <c r="M239" s="28" t="s">
        <v>651</v>
      </c>
      <c r="N239" s="25">
        <v>1</v>
      </c>
      <c r="O239" s="29">
        <v>2145.6999999999998</v>
      </c>
      <c r="P239" s="29">
        <v>2145.6999999999998</v>
      </c>
      <c r="Q239" s="25" t="s">
        <v>756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47"/>
        <v>1931.1299999999999</v>
      </c>
      <c r="AF239" s="32">
        <f t="shared" si="48"/>
        <v>214.56999999999994</v>
      </c>
      <c r="AG239" s="30"/>
      <c r="AH239" s="33"/>
      <c r="AI239" s="34">
        <f t="shared" si="49"/>
        <v>0</v>
      </c>
      <c r="AJ239" s="35">
        <v>46282</v>
      </c>
      <c r="AK239" s="30">
        <v>1</v>
      </c>
      <c r="AL239" s="36">
        <f t="shared" si="50"/>
        <v>2145.6999999999998</v>
      </c>
      <c r="AM239" s="35">
        <v>46287</v>
      </c>
      <c r="AN239" s="30">
        <v>1</v>
      </c>
      <c r="AO239" s="36">
        <f t="shared" si="51"/>
        <v>2145.6999999999998</v>
      </c>
      <c r="AP239" s="35"/>
      <c r="AQ239" s="30"/>
      <c r="AR239" s="36">
        <f t="shared" si="52"/>
        <v>0</v>
      </c>
      <c r="AS239" s="27"/>
      <c r="AT239" s="37"/>
      <c r="AU239" s="30"/>
      <c r="AV239" s="36">
        <f t="shared" si="53"/>
        <v>0</v>
      </c>
      <c r="AW239" s="35"/>
      <c r="AX239" s="30"/>
      <c r="AY239" s="32">
        <f t="shared" si="54"/>
        <v>0</v>
      </c>
      <c r="AZ239" s="30" t="s">
        <v>440</v>
      </c>
      <c r="BA239" s="63"/>
      <c r="BB239" s="71"/>
      <c r="BC239" s="71"/>
      <c r="BD239" s="71"/>
    </row>
    <row r="240" spans="1:56" x14ac:dyDescent="0.25">
      <c r="A240" s="24">
        <f>IF(B240="","",SUBTOTAL(3,$B$4:B240))</f>
        <v>237</v>
      </c>
      <c r="B240" s="25" t="s">
        <v>439</v>
      </c>
      <c r="C240" s="25" t="str">
        <f t="shared" si="55"/>
        <v>Shipment 2 Outlet Stack</v>
      </c>
      <c r="D240" s="25" t="s">
        <v>441</v>
      </c>
      <c r="E240" s="25" t="s">
        <v>775</v>
      </c>
      <c r="F240" s="25"/>
      <c r="G240" s="65">
        <v>46204</v>
      </c>
      <c r="H240" s="25" t="s">
        <v>443</v>
      </c>
      <c r="I240" s="25" t="s">
        <v>776</v>
      </c>
      <c r="J240" s="26" t="s">
        <v>778</v>
      </c>
      <c r="K240" s="27" t="s">
        <v>660</v>
      </c>
      <c r="L240" s="28" t="s">
        <v>661</v>
      </c>
      <c r="M240" s="28" t="s">
        <v>651</v>
      </c>
      <c r="N240" s="25">
        <v>1</v>
      </c>
      <c r="O240" s="29">
        <v>3345.8</v>
      </c>
      <c r="P240" s="29">
        <v>3345.8</v>
      </c>
      <c r="Q240" s="25" t="s">
        <v>755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47"/>
        <v>3011.2200000000003</v>
      </c>
      <c r="AF240" s="32">
        <f t="shared" si="48"/>
        <v>334.57999999999993</v>
      </c>
      <c r="AG240" s="30"/>
      <c r="AH240" s="33"/>
      <c r="AI240" s="34">
        <f t="shared" si="49"/>
        <v>0</v>
      </c>
      <c r="AJ240" s="35">
        <v>46284</v>
      </c>
      <c r="AK240" s="30">
        <v>1</v>
      </c>
      <c r="AL240" s="36">
        <f t="shared" si="50"/>
        <v>3345.8</v>
      </c>
      <c r="AM240" s="35">
        <v>46289</v>
      </c>
      <c r="AN240" s="30">
        <v>1</v>
      </c>
      <c r="AO240" s="36">
        <f t="shared" si="51"/>
        <v>3345.8</v>
      </c>
      <c r="AP240" s="35"/>
      <c r="AQ240" s="30"/>
      <c r="AR240" s="36">
        <f t="shared" si="52"/>
        <v>0</v>
      </c>
      <c r="AS240" s="27"/>
      <c r="AT240" s="37"/>
      <c r="AU240" s="30"/>
      <c r="AV240" s="36">
        <f t="shared" si="53"/>
        <v>0</v>
      </c>
      <c r="AW240" s="35"/>
      <c r="AX240" s="30"/>
      <c r="AY240" s="32">
        <f t="shared" si="54"/>
        <v>0</v>
      </c>
      <c r="AZ240" s="30" t="s">
        <v>440</v>
      </c>
      <c r="BA240" s="63"/>
      <c r="BB240" s="71"/>
      <c r="BC240" s="71"/>
      <c r="BD240" s="71"/>
    </row>
    <row r="241" spans="1:56" x14ac:dyDescent="0.25">
      <c r="A241" s="24">
        <f>IF(B241="","",SUBTOTAL(3,$B$4:B241))</f>
        <v>238</v>
      </c>
      <c r="B241" s="25" t="s">
        <v>439</v>
      </c>
      <c r="C241" s="25" t="str">
        <f t="shared" si="55"/>
        <v>Shipment 2 Outlet Stack</v>
      </c>
      <c r="D241" s="25" t="s">
        <v>441</v>
      </c>
      <c r="E241" s="25" t="s">
        <v>775</v>
      </c>
      <c r="F241" s="25"/>
      <c r="G241" s="65">
        <v>46204</v>
      </c>
      <c r="H241" s="25" t="s">
        <v>443</v>
      </c>
      <c r="I241" s="25" t="s">
        <v>776</v>
      </c>
      <c r="J241" s="26" t="s">
        <v>778</v>
      </c>
      <c r="K241" s="27" t="s">
        <v>662</v>
      </c>
      <c r="L241" s="28" t="s">
        <v>663</v>
      </c>
      <c r="M241" s="28" t="s">
        <v>651</v>
      </c>
      <c r="N241" s="25">
        <v>1</v>
      </c>
      <c r="O241" s="29">
        <v>1856.1</v>
      </c>
      <c r="P241" s="29">
        <v>1856.1</v>
      </c>
      <c r="Q241" s="25" t="s">
        <v>757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47"/>
        <v>1670.49</v>
      </c>
      <c r="AF241" s="32">
        <f t="shared" si="48"/>
        <v>185.6099999999999</v>
      </c>
      <c r="AG241" s="30"/>
      <c r="AH241" s="33"/>
      <c r="AI241" s="34">
        <f t="shared" si="49"/>
        <v>0</v>
      </c>
      <c r="AJ241" s="35">
        <v>46284</v>
      </c>
      <c r="AK241" s="30">
        <v>1</v>
      </c>
      <c r="AL241" s="36">
        <f t="shared" si="50"/>
        <v>1856.1</v>
      </c>
      <c r="AM241" s="35">
        <v>46290</v>
      </c>
      <c r="AN241" s="30">
        <v>1</v>
      </c>
      <c r="AO241" s="36">
        <f t="shared" si="51"/>
        <v>1856.1</v>
      </c>
      <c r="AP241" s="35"/>
      <c r="AQ241" s="30"/>
      <c r="AR241" s="36">
        <f t="shared" si="52"/>
        <v>0</v>
      </c>
      <c r="AS241" s="27"/>
      <c r="AT241" s="37"/>
      <c r="AU241" s="30"/>
      <c r="AV241" s="36">
        <f t="shared" si="53"/>
        <v>0</v>
      </c>
      <c r="AW241" s="35"/>
      <c r="AX241" s="30"/>
      <c r="AY241" s="32">
        <f t="shared" si="54"/>
        <v>0</v>
      </c>
      <c r="AZ241" s="30" t="s">
        <v>440</v>
      </c>
      <c r="BA241" s="63"/>
      <c r="BB241" s="71"/>
      <c r="BC241" s="71"/>
      <c r="BD241" s="71"/>
    </row>
    <row r="242" spans="1:56" x14ac:dyDescent="0.25">
      <c r="A242" s="24">
        <f>IF(B242="","",SUBTOTAL(3,$B$4:B242))</f>
        <v>239</v>
      </c>
      <c r="B242" s="25" t="s">
        <v>439</v>
      </c>
      <c r="C242" s="25" t="str">
        <f t="shared" ref="C242" si="56">D242&amp;" "&amp;E242</f>
        <v>Shipment 2 Outlet Stack</v>
      </c>
      <c r="D242" s="25" t="s">
        <v>441</v>
      </c>
      <c r="E242" s="25" t="s">
        <v>775</v>
      </c>
      <c r="F242" s="25"/>
      <c r="G242" s="65">
        <v>46204</v>
      </c>
      <c r="H242" s="25" t="s">
        <v>443</v>
      </c>
      <c r="I242" s="25" t="s">
        <v>777</v>
      </c>
      <c r="J242" s="26" t="s">
        <v>447</v>
      </c>
      <c r="K242" s="27" t="s">
        <v>664</v>
      </c>
      <c r="L242" s="28" t="s">
        <v>665</v>
      </c>
      <c r="M242" s="28" t="s">
        <v>651</v>
      </c>
      <c r="N242" s="25">
        <v>1</v>
      </c>
      <c r="O242" s="29">
        <v>3894.5</v>
      </c>
      <c r="P242" s="29">
        <v>3894.5</v>
      </c>
      <c r="Q242" s="25" t="s">
        <v>758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47"/>
        <v>3505.05</v>
      </c>
      <c r="AF242" s="32">
        <f t="shared" si="48"/>
        <v>389.44999999999982</v>
      </c>
      <c r="AG242" s="30"/>
      <c r="AH242" s="33"/>
      <c r="AI242" s="34">
        <f t="shared" si="49"/>
        <v>0</v>
      </c>
      <c r="AJ242" s="35">
        <v>46265</v>
      </c>
      <c r="AK242" s="30">
        <v>1</v>
      </c>
      <c r="AL242" s="36">
        <f t="shared" si="50"/>
        <v>3894.5</v>
      </c>
      <c r="AM242" s="35">
        <v>46269</v>
      </c>
      <c r="AN242" s="30">
        <v>1</v>
      </c>
      <c r="AO242" s="36">
        <f t="shared" si="51"/>
        <v>3894.5</v>
      </c>
      <c r="AP242" s="35"/>
      <c r="AQ242" s="30"/>
      <c r="AR242" s="36">
        <f t="shared" si="52"/>
        <v>0</v>
      </c>
      <c r="AS242" s="27"/>
      <c r="AT242" s="37"/>
      <c r="AU242" s="30"/>
      <c r="AV242" s="36">
        <f t="shared" si="53"/>
        <v>0</v>
      </c>
      <c r="AW242" s="35"/>
      <c r="AX242" s="30"/>
      <c r="AY242" s="32">
        <f t="shared" si="54"/>
        <v>0</v>
      </c>
      <c r="AZ242" s="30" t="s">
        <v>440</v>
      </c>
      <c r="BA242" s="63"/>
      <c r="BB242" s="71"/>
      <c r="BC242" s="71"/>
      <c r="BD242" s="71"/>
    </row>
    <row r="243" spans="1:56" x14ac:dyDescent="0.25">
      <c r="A243" s="24">
        <f>IF(B243="","",SUBTOTAL(3,$B$4:B243))</f>
        <v>240</v>
      </c>
      <c r="B243" s="25" t="s">
        <v>439</v>
      </c>
      <c r="C243" s="25" t="str">
        <f t="shared" ref="C243:C263" si="57">D243&amp;" "&amp;E243</f>
        <v>Shipment 2 Outlet Stack</v>
      </c>
      <c r="D243" s="25" t="s">
        <v>441</v>
      </c>
      <c r="E243" s="25" t="s">
        <v>775</v>
      </c>
      <c r="F243" s="25"/>
      <c r="G243" s="65">
        <v>46204</v>
      </c>
      <c r="H243" s="25" t="s">
        <v>443</v>
      </c>
      <c r="I243" s="25" t="s">
        <v>777</v>
      </c>
      <c r="J243" s="26" t="s">
        <v>447</v>
      </c>
      <c r="K243" s="27" t="s">
        <v>666</v>
      </c>
      <c r="L243" s="28" t="s">
        <v>667</v>
      </c>
      <c r="M243" s="28" t="s">
        <v>651</v>
      </c>
      <c r="N243" s="25">
        <v>1</v>
      </c>
      <c r="O243" s="29">
        <v>3698.8</v>
      </c>
      <c r="P243" s="29">
        <v>3698.8</v>
      </c>
      <c r="Q243" s="25" t="s">
        <v>759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47"/>
        <v>3328.92</v>
      </c>
      <c r="AF243" s="32">
        <f t="shared" si="48"/>
        <v>369.88000000000011</v>
      </c>
      <c r="AG243" s="30"/>
      <c r="AH243" s="33"/>
      <c r="AI243" s="34">
        <f t="shared" si="49"/>
        <v>0</v>
      </c>
      <c r="AJ243" s="35">
        <v>46268</v>
      </c>
      <c r="AK243" s="30">
        <v>1</v>
      </c>
      <c r="AL243" s="36">
        <f t="shared" si="50"/>
        <v>3698.8</v>
      </c>
      <c r="AM243" s="35">
        <v>46272</v>
      </c>
      <c r="AN243" s="30">
        <v>1</v>
      </c>
      <c r="AO243" s="36">
        <f t="shared" si="51"/>
        <v>3698.8</v>
      </c>
      <c r="AP243" s="35"/>
      <c r="AQ243" s="30"/>
      <c r="AR243" s="36">
        <f t="shared" si="52"/>
        <v>0</v>
      </c>
      <c r="AS243" s="27"/>
      <c r="AT243" s="37"/>
      <c r="AU243" s="30"/>
      <c r="AV243" s="36">
        <f t="shared" si="53"/>
        <v>0</v>
      </c>
      <c r="AW243" s="35"/>
      <c r="AX243" s="30"/>
      <c r="AY243" s="32">
        <f t="shared" si="54"/>
        <v>0</v>
      </c>
      <c r="AZ243" s="30" t="s">
        <v>440</v>
      </c>
      <c r="BA243" s="63"/>
      <c r="BB243" s="71"/>
      <c r="BC243" s="71"/>
      <c r="BD243" s="71"/>
    </row>
    <row r="244" spans="1:56" x14ac:dyDescent="0.25">
      <c r="A244" s="24">
        <f>IF(B244="","",SUBTOTAL(3,$B$4:B244))</f>
        <v>241</v>
      </c>
      <c r="B244" s="25" t="s">
        <v>439</v>
      </c>
      <c r="C244" s="25" t="str">
        <f t="shared" si="57"/>
        <v>Shipment 2 Outlet Stack</v>
      </c>
      <c r="D244" s="25" t="s">
        <v>441</v>
      </c>
      <c r="E244" s="25" t="s">
        <v>775</v>
      </c>
      <c r="F244" s="25"/>
      <c r="G244" s="65">
        <v>46204</v>
      </c>
      <c r="H244" s="25" t="s">
        <v>443</v>
      </c>
      <c r="I244" s="25" t="s">
        <v>777</v>
      </c>
      <c r="J244" s="26" t="s">
        <v>447</v>
      </c>
      <c r="K244" s="27" t="s">
        <v>668</v>
      </c>
      <c r="L244" s="28" t="s">
        <v>669</v>
      </c>
      <c r="M244" s="28" t="s">
        <v>651</v>
      </c>
      <c r="N244" s="25">
        <v>1</v>
      </c>
      <c r="O244" s="29">
        <v>4623.1000000000004</v>
      </c>
      <c r="P244" s="29">
        <v>4623.1000000000004</v>
      </c>
      <c r="Q244" s="25" t="s">
        <v>760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47"/>
        <v>4160.7900000000009</v>
      </c>
      <c r="AF244" s="32">
        <f t="shared" si="48"/>
        <v>462.30999999999949</v>
      </c>
      <c r="AG244" s="30"/>
      <c r="AH244" s="33"/>
      <c r="AI244" s="34">
        <f t="shared" si="49"/>
        <v>0</v>
      </c>
      <c r="AJ244" s="35">
        <v>46259</v>
      </c>
      <c r="AK244" s="30">
        <v>1</v>
      </c>
      <c r="AL244" s="36">
        <f t="shared" si="50"/>
        <v>4623.1000000000004</v>
      </c>
      <c r="AM244" s="35">
        <v>46261</v>
      </c>
      <c r="AN244" s="30">
        <v>1</v>
      </c>
      <c r="AO244" s="36">
        <f t="shared" si="51"/>
        <v>4623.1000000000004</v>
      </c>
      <c r="AP244" s="35"/>
      <c r="AQ244" s="30"/>
      <c r="AR244" s="36">
        <f t="shared" si="52"/>
        <v>0</v>
      </c>
      <c r="AS244" s="27"/>
      <c r="AT244" s="37"/>
      <c r="AU244" s="30"/>
      <c r="AV244" s="36">
        <f t="shared" si="53"/>
        <v>0</v>
      </c>
      <c r="AW244" s="35"/>
      <c r="AX244" s="30"/>
      <c r="AY244" s="32">
        <f t="shared" si="54"/>
        <v>0</v>
      </c>
      <c r="AZ244" s="30" t="s">
        <v>440</v>
      </c>
      <c r="BA244" s="63"/>
      <c r="BB244" s="71"/>
      <c r="BC244" s="71"/>
      <c r="BD244" s="71"/>
    </row>
    <row r="245" spans="1:56" x14ac:dyDescent="0.25">
      <c r="A245" s="24">
        <f>IF(B245="","",SUBTOTAL(3,$B$4:B245))</f>
        <v>242</v>
      </c>
      <c r="B245" s="25" t="s">
        <v>439</v>
      </c>
      <c r="C245" s="25" t="str">
        <f t="shared" si="57"/>
        <v>Shipment 2 Outlet Stack</v>
      </c>
      <c r="D245" s="25" t="s">
        <v>441</v>
      </c>
      <c r="E245" s="25" t="s">
        <v>775</v>
      </c>
      <c r="F245" s="25"/>
      <c r="G245" s="65">
        <v>46204</v>
      </c>
      <c r="H245" s="25" t="s">
        <v>443</v>
      </c>
      <c r="I245" s="25" t="s">
        <v>777</v>
      </c>
      <c r="J245" s="26" t="s">
        <v>447</v>
      </c>
      <c r="K245" s="27" t="s">
        <v>670</v>
      </c>
      <c r="L245" s="28" t="s">
        <v>671</v>
      </c>
      <c r="M245" s="28" t="s">
        <v>651</v>
      </c>
      <c r="N245" s="25">
        <v>1</v>
      </c>
      <c r="O245" s="29">
        <v>3412.8</v>
      </c>
      <c r="P245" s="29">
        <v>3412.8</v>
      </c>
      <c r="Q245" s="25" t="s">
        <v>759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47"/>
        <v>3071.5200000000004</v>
      </c>
      <c r="AF245" s="32">
        <f t="shared" si="48"/>
        <v>341.27999999999975</v>
      </c>
      <c r="AG245" s="30"/>
      <c r="AH245" s="33"/>
      <c r="AI245" s="34">
        <f t="shared" si="49"/>
        <v>0</v>
      </c>
      <c r="AJ245" s="35">
        <v>46265</v>
      </c>
      <c r="AK245" s="30">
        <v>1</v>
      </c>
      <c r="AL245" s="36">
        <f t="shared" si="50"/>
        <v>3412.8</v>
      </c>
      <c r="AM245" s="35">
        <v>46272</v>
      </c>
      <c r="AN245" s="30">
        <v>1</v>
      </c>
      <c r="AO245" s="36">
        <f t="shared" si="51"/>
        <v>3412.8</v>
      </c>
      <c r="AP245" s="35"/>
      <c r="AQ245" s="30"/>
      <c r="AR245" s="36">
        <f t="shared" si="52"/>
        <v>0</v>
      </c>
      <c r="AS245" s="27"/>
      <c r="AT245" s="37"/>
      <c r="AU245" s="30"/>
      <c r="AV245" s="36">
        <f t="shared" si="53"/>
        <v>0</v>
      </c>
      <c r="AW245" s="35"/>
      <c r="AX245" s="30"/>
      <c r="AY245" s="32">
        <f t="shared" si="54"/>
        <v>0</v>
      </c>
      <c r="AZ245" s="30" t="s">
        <v>440</v>
      </c>
      <c r="BA245" s="63"/>
      <c r="BB245" s="71"/>
      <c r="BC245" s="71"/>
      <c r="BD245" s="71"/>
    </row>
    <row r="246" spans="1:56" x14ac:dyDescent="0.25">
      <c r="A246" s="24">
        <f>IF(B246="","",SUBTOTAL(3,$B$4:B246))</f>
        <v>243</v>
      </c>
      <c r="B246" s="25" t="s">
        <v>439</v>
      </c>
      <c r="C246" s="25" t="str">
        <f t="shared" si="57"/>
        <v>Shipment 2 Outlet Stack</v>
      </c>
      <c r="D246" s="25" t="s">
        <v>441</v>
      </c>
      <c r="E246" s="25" t="s">
        <v>775</v>
      </c>
      <c r="F246" s="25"/>
      <c r="G246" s="65">
        <v>46204</v>
      </c>
      <c r="H246" s="25" t="s">
        <v>443</v>
      </c>
      <c r="I246" s="25" t="s">
        <v>777</v>
      </c>
      <c r="J246" s="26" t="s">
        <v>447</v>
      </c>
      <c r="K246" s="27" t="s">
        <v>672</v>
      </c>
      <c r="L246" s="28" t="s">
        <v>673</v>
      </c>
      <c r="M246" s="28" t="s">
        <v>651</v>
      </c>
      <c r="N246" s="25">
        <v>1</v>
      </c>
      <c r="O246" s="29">
        <v>3463.5</v>
      </c>
      <c r="P246" s="29">
        <v>3463.5</v>
      </c>
      <c r="Q246" s="25" t="s">
        <v>761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47"/>
        <v>3463.5</v>
      </c>
      <c r="AF246" s="32">
        <f t="shared" si="48"/>
        <v>0</v>
      </c>
      <c r="AG246" s="30"/>
      <c r="AH246" s="33"/>
      <c r="AI246" s="34">
        <f t="shared" si="49"/>
        <v>0</v>
      </c>
      <c r="AJ246" s="35">
        <v>46254</v>
      </c>
      <c r="AK246" s="30">
        <v>1</v>
      </c>
      <c r="AL246" s="36">
        <f t="shared" si="50"/>
        <v>3463.5</v>
      </c>
      <c r="AM246" s="35">
        <v>46259</v>
      </c>
      <c r="AN246" s="30">
        <v>1</v>
      </c>
      <c r="AO246" s="36">
        <f t="shared" si="51"/>
        <v>3463.5</v>
      </c>
      <c r="AP246" s="35"/>
      <c r="AQ246" s="30"/>
      <c r="AR246" s="36">
        <f t="shared" si="52"/>
        <v>0</v>
      </c>
      <c r="AS246" s="27" t="s">
        <v>871</v>
      </c>
      <c r="AT246" s="37">
        <v>46289</v>
      </c>
      <c r="AU246" s="30">
        <v>1</v>
      </c>
      <c r="AV246" s="36">
        <f t="shared" si="53"/>
        <v>3463.5</v>
      </c>
      <c r="AW246" s="35">
        <v>46295</v>
      </c>
      <c r="AX246" s="30">
        <v>1</v>
      </c>
      <c r="AY246" s="32">
        <f t="shared" si="54"/>
        <v>3463.5</v>
      </c>
      <c r="AZ246" s="30" t="s">
        <v>440</v>
      </c>
      <c r="BA246" s="63" t="s">
        <v>872</v>
      </c>
      <c r="BB246" s="71"/>
      <c r="BC246" s="71"/>
      <c r="BD246" s="71"/>
    </row>
    <row r="247" spans="1:56" x14ac:dyDescent="0.25">
      <c r="A247" s="24">
        <f>IF(B247="","",SUBTOTAL(3,$B$4:B247))</f>
        <v>244</v>
      </c>
      <c r="B247" s="25" t="s">
        <v>439</v>
      </c>
      <c r="C247" s="25" t="str">
        <f t="shared" si="57"/>
        <v>Shipment 2 Outlet Stack</v>
      </c>
      <c r="D247" s="25" t="s">
        <v>441</v>
      </c>
      <c r="E247" s="25" t="s">
        <v>775</v>
      </c>
      <c r="F247" s="25"/>
      <c r="G247" s="65">
        <v>46204</v>
      </c>
      <c r="H247" s="25" t="s">
        <v>443</v>
      </c>
      <c r="I247" s="25" t="s">
        <v>777</v>
      </c>
      <c r="J247" s="26" t="s">
        <v>447</v>
      </c>
      <c r="K247" s="27" t="s">
        <v>674</v>
      </c>
      <c r="L247" s="28" t="s">
        <v>675</v>
      </c>
      <c r="M247" s="28" t="s">
        <v>651</v>
      </c>
      <c r="N247" s="25">
        <v>1</v>
      </c>
      <c r="O247" s="29">
        <v>1816.7</v>
      </c>
      <c r="P247" s="29">
        <v>1816.7</v>
      </c>
      <c r="Q247" s="25" t="s">
        <v>762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47"/>
        <v>1635.0300000000002</v>
      </c>
      <c r="AF247" s="32">
        <f t="shared" si="48"/>
        <v>181.66999999999985</v>
      </c>
      <c r="AG247" s="30"/>
      <c r="AH247" s="33"/>
      <c r="AI247" s="34">
        <f t="shared" si="49"/>
        <v>0</v>
      </c>
      <c r="AJ247" s="35">
        <v>46258</v>
      </c>
      <c r="AK247" s="30">
        <v>1</v>
      </c>
      <c r="AL247" s="36">
        <f t="shared" si="50"/>
        <v>1816.7</v>
      </c>
      <c r="AM247" s="35">
        <v>46263</v>
      </c>
      <c r="AN247" s="30">
        <v>1</v>
      </c>
      <c r="AO247" s="36">
        <f t="shared" si="51"/>
        <v>1816.7</v>
      </c>
      <c r="AP247" s="35"/>
      <c r="AQ247" s="30"/>
      <c r="AR247" s="36">
        <f t="shared" si="52"/>
        <v>0</v>
      </c>
      <c r="AS247" s="27"/>
      <c r="AT247" s="37"/>
      <c r="AU247" s="30"/>
      <c r="AV247" s="36">
        <f t="shared" si="53"/>
        <v>0</v>
      </c>
      <c r="AW247" s="35"/>
      <c r="AX247" s="30"/>
      <c r="AY247" s="32">
        <f t="shared" si="54"/>
        <v>0</v>
      </c>
      <c r="AZ247" s="30" t="s">
        <v>440</v>
      </c>
      <c r="BA247" s="63"/>
      <c r="BB247" s="71"/>
      <c r="BC247" s="71"/>
      <c r="BD247" s="71"/>
    </row>
    <row r="248" spans="1:56" x14ac:dyDescent="0.25">
      <c r="A248" s="24">
        <f>IF(B248="","",SUBTOTAL(3,$B$4:B248))</f>
        <v>245</v>
      </c>
      <c r="B248" s="25" t="s">
        <v>439</v>
      </c>
      <c r="C248" s="25" t="str">
        <f t="shared" si="57"/>
        <v>Shipment 2 Outlet Stack</v>
      </c>
      <c r="D248" s="25" t="s">
        <v>441</v>
      </c>
      <c r="E248" s="25" t="s">
        <v>775</v>
      </c>
      <c r="F248" s="25"/>
      <c r="G248" s="65">
        <v>46204</v>
      </c>
      <c r="H248" s="25" t="s">
        <v>443</v>
      </c>
      <c r="I248" s="25" t="s">
        <v>777</v>
      </c>
      <c r="J248" s="26" t="s">
        <v>447</v>
      </c>
      <c r="K248" s="27" t="s">
        <v>676</v>
      </c>
      <c r="L248" s="28" t="s">
        <v>677</v>
      </c>
      <c r="M248" s="28" t="s">
        <v>651</v>
      </c>
      <c r="N248" s="25">
        <v>1</v>
      </c>
      <c r="O248" s="29">
        <v>1004.9</v>
      </c>
      <c r="P248" s="29">
        <v>1004.9</v>
      </c>
      <c r="Q248" s="25" t="s">
        <v>763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47"/>
        <v>1004.9000000000001</v>
      </c>
      <c r="AF248" s="32">
        <f t="shared" si="48"/>
        <v>0</v>
      </c>
      <c r="AG248" s="30"/>
      <c r="AH248" s="33"/>
      <c r="AI248" s="34">
        <f t="shared" si="49"/>
        <v>0</v>
      </c>
      <c r="AJ248" s="35">
        <v>46255</v>
      </c>
      <c r="AK248" s="30">
        <v>1</v>
      </c>
      <c r="AL248" s="36">
        <f t="shared" si="50"/>
        <v>1004.9</v>
      </c>
      <c r="AM248" s="35">
        <v>46259</v>
      </c>
      <c r="AN248" s="30">
        <v>1</v>
      </c>
      <c r="AO248" s="36">
        <f t="shared" si="51"/>
        <v>1004.9</v>
      </c>
      <c r="AP248" s="35"/>
      <c r="AQ248" s="30"/>
      <c r="AR248" s="36">
        <f t="shared" si="52"/>
        <v>0</v>
      </c>
      <c r="AS248" s="27" t="s">
        <v>870</v>
      </c>
      <c r="AT248" s="37">
        <v>46289</v>
      </c>
      <c r="AU248" s="30">
        <v>1</v>
      </c>
      <c r="AV248" s="36">
        <f t="shared" si="53"/>
        <v>1004.9</v>
      </c>
      <c r="AW248" s="35">
        <v>46293</v>
      </c>
      <c r="AX248" s="30">
        <v>1</v>
      </c>
      <c r="AY248" s="32">
        <f t="shared" si="54"/>
        <v>1004.9</v>
      </c>
      <c r="AZ248" s="30" t="s">
        <v>440</v>
      </c>
      <c r="BA248" s="63" t="s">
        <v>870</v>
      </c>
      <c r="BB248" s="71"/>
      <c r="BC248" s="71"/>
      <c r="BD248" s="71"/>
    </row>
    <row r="249" spans="1:56" x14ac:dyDescent="0.25">
      <c r="A249" s="24">
        <f>IF(B249="","",SUBTOTAL(3,$B$4:B249))</f>
        <v>246</v>
      </c>
      <c r="B249" s="25" t="s">
        <v>439</v>
      </c>
      <c r="C249" s="25" t="str">
        <f t="shared" si="57"/>
        <v>Shipment 2 Outlet Stack</v>
      </c>
      <c r="D249" s="25" t="s">
        <v>441</v>
      </c>
      <c r="E249" s="25" t="s">
        <v>775</v>
      </c>
      <c r="F249" s="25"/>
      <c r="G249" s="65">
        <v>46204</v>
      </c>
      <c r="H249" s="25" t="s">
        <v>443</v>
      </c>
      <c r="I249" s="25" t="s">
        <v>777</v>
      </c>
      <c r="J249" s="26" t="s">
        <v>447</v>
      </c>
      <c r="K249" s="27" t="s">
        <v>678</v>
      </c>
      <c r="L249" s="28" t="s">
        <v>679</v>
      </c>
      <c r="M249" s="28" t="s">
        <v>651</v>
      </c>
      <c r="N249" s="25">
        <v>1</v>
      </c>
      <c r="O249" s="29">
        <v>2119.8000000000002</v>
      </c>
      <c r="P249" s="29">
        <v>2119.8000000000002</v>
      </c>
      <c r="Q249" s="25" t="s">
        <v>764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47"/>
        <v>1907.8200000000002</v>
      </c>
      <c r="AF249" s="32">
        <f t="shared" si="48"/>
        <v>211.98000000000002</v>
      </c>
      <c r="AG249" s="30"/>
      <c r="AH249" s="33"/>
      <c r="AI249" s="34">
        <f t="shared" si="49"/>
        <v>0</v>
      </c>
      <c r="AJ249" s="35">
        <v>46255</v>
      </c>
      <c r="AK249" s="30">
        <v>1</v>
      </c>
      <c r="AL249" s="36">
        <f t="shared" si="50"/>
        <v>2119.8000000000002</v>
      </c>
      <c r="AM249" s="35">
        <v>46264</v>
      </c>
      <c r="AN249" s="30">
        <v>1</v>
      </c>
      <c r="AO249" s="36">
        <f t="shared" si="51"/>
        <v>2119.8000000000002</v>
      </c>
      <c r="AP249" s="35"/>
      <c r="AQ249" s="30"/>
      <c r="AR249" s="36">
        <f t="shared" si="52"/>
        <v>0</v>
      </c>
      <c r="AS249" s="27"/>
      <c r="AT249" s="37"/>
      <c r="AU249" s="30"/>
      <c r="AV249" s="36">
        <f t="shared" si="53"/>
        <v>0</v>
      </c>
      <c r="AW249" s="35"/>
      <c r="AX249" s="30"/>
      <c r="AY249" s="32">
        <f t="shared" si="54"/>
        <v>0</v>
      </c>
      <c r="AZ249" s="30" t="s">
        <v>440</v>
      </c>
      <c r="BA249" s="63"/>
      <c r="BB249" s="71"/>
      <c r="BC249" s="71"/>
      <c r="BD249" s="71"/>
    </row>
    <row r="250" spans="1:56" x14ac:dyDescent="0.25">
      <c r="A250" s="24">
        <f>IF(B250="","",SUBTOTAL(3,$B$4:B250))</f>
        <v>247</v>
      </c>
      <c r="B250" s="25" t="s">
        <v>439</v>
      </c>
      <c r="C250" s="25" t="str">
        <f t="shared" si="57"/>
        <v>Shipment 2 Outlet Stack</v>
      </c>
      <c r="D250" s="25" t="s">
        <v>441</v>
      </c>
      <c r="E250" s="25" t="s">
        <v>775</v>
      </c>
      <c r="F250" s="25"/>
      <c r="G250" s="65">
        <v>46204</v>
      </c>
      <c r="H250" s="25" t="s">
        <v>443</v>
      </c>
      <c r="I250" s="25" t="s">
        <v>777</v>
      </c>
      <c r="J250" s="26" t="s">
        <v>447</v>
      </c>
      <c r="K250" s="27" t="s">
        <v>680</v>
      </c>
      <c r="L250" s="28" t="s">
        <v>681</v>
      </c>
      <c r="M250" s="28" t="s">
        <v>651</v>
      </c>
      <c r="N250" s="25">
        <v>1</v>
      </c>
      <c r="O250" s="29">
        <v>3149.8</v>
      </c>
      <c r="P250" s="29">
        <v>3149.8</v>
      </c>
      <c r="Q250" s="25" t="s">
        <v>765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47"/>
        <v>2834.82</v>
      </c>
      <c r="AF250" s="32">
        <f t="shared" si="48"/>
        <v>314.98</v>
      </c>
      <c r="AG250" s="30"/>
      <c r="AH250" s="33"/>
      <c r="AI250" s="34">
        <f t="shared" si="49"/>
        <v>0</v>
      </c>
      <c r="AJ250" s="35">
        <v>46261</v>
      </c>
      <c r="AK250" s="30">
        <v>1</v>
      </c>
      <c r="AL250" s="36">
        <f t="shared" si="50"/>
        <v>3149.8</v>
      </c>
      <c r="AM250" s="35">
        <v>46269</v>
      </c>
      <c r="AN250" s="30">
        <v>1</v>
      </c>
      <c r="AO250" s="36">
        <f t="shared" si="51"/>
        <v>3149.8</v>
      </c>
      <c r="AP250" s="35"/>
      <c r="AQ250" s="30"/>
      <c r="AR250" s="36">
        <f t="shared" si="52"/>
        <v>0</v>
      </c>
      <c r="AS250" s="27"/>
      <c r="AT250" s="37"/>
      <c r="AU250" s="30"/>
      <c r="AV250" s="36">
        <f t="shared" si="53"/>
        <v>0</v>
      </c>
      <c r="AW250" s="35"/>
      <c r="AX250" s="30"/>
      <c r="AY250" s="32">
        <f t="shared" si="54"/>
        <v>0</v>
      </c>
      <c r="AZ250" s="30" t="s">
        <v>440</v>
      </c>
      <c r="BA250" s="63"/>
      <c r="BB250" s="71"/>
      <c r="BC250" s="71"/>
      <c r="BD250" s="71"/>
    </row>
    <row r="251" spans="1:56" x14ac:dyDescent="0.25">
      <c r="A251" s="24">
        <f>IF(B251="","",SUBTOTAL(3,$B$4:B251))</f>
        <v>248</v>
      </c>
      <c r="B251" s="25" t="s">
        <v>439</v>
      </c>
      <c r="C251" s="25" t="str">
        <f t="shared" si="57"/>
        <v>Shipment 2 Outlet Stack</v>
      </c>
      <c r="D251" s="25" t="s">
        <v>441</v>
      </c>
      <c r="E251" s="25" t="s">
        <v>775</v>
      </c>
      <c r="F251" s="25"/>
      <c r="G251" s="65">
        <v>46204</v>
      </c>
      <c r="H251" s="25" t="s">
        <v>443</v>
      </c>
      <c r="I251" s="25" t="s">
        <v>777</v>
      </c>
      <c r="J251" s="26" t="s">
        <v>778</v>
      </c>
      <c r="K251" s="27" t="s">
        <v>682</v>
      </c>
      <c r="L251" s="28" t="s">
        <v>683</v>
      </c>
      <c r="M251" s="28" t="s">
        <v>651</v>
      </c>
      <c r="N251" s="25">
        <v>1</v>
      </c>
      <c r="O251" s="29">
        <v>2513.3000000000002</v>
      </c>
      <c r="P251" s="29">
        <v>2513.3000000000002</v>
      </c>
      <c r="Q251" s="25" t="s">
        <v>766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47"/>
        <v>2261.9700000000003</v>
      </c>
      <c r="AF251" s="32">
        <f t="shared" si="48"/>
        <v>251.32999999999993</v>
      </c>
      <c r="AG251" s="30"/>
      <c r="AH251" s="33"/>
      <c r="AI251" s="34">
        <f t="shared" si="49"/>
        <v>0</v>
      </c>
      <c r="AJ251" s="35">
        <v>46271</v>
      </c>
      <c r="AK251" s="30">
        <v>1</v>
      </c>
      <c r="AL251" s="36">
        <f t="shared" si="50"/>
        <v>2513.3000000000002</v>
      </c>
      <c r="AM251" s="35">
        <v>46274</v>
      </c>
      <c r="AN251" s="30">
        <v>1</v>
      </c>
      <c r="AO251" s="36">
        <f t="shared" si="51"/>
        <v>2513.3000000000002</v>
      </c>
      <c r="AP251" s="35"/>
      <c r="AQ251" s="30"/>
      <c r="AR251" s="36">
        <f t="shared" si="52"/>
        <v>0</v>
      </c>
      <c r="AS251" s="27"/>
      <c r="AT251" s="37"/>
      <c r="AU251" s="30"/>
      <c r="AV251" s="36">
        <f t="shared" si="53"/>
        <v>0</v>
      </c>
      <c r="AW251" s="35"/>
      <c r="AX251" s="30"/>
      <c r="AY251" s="32">
        <f t="shared" si="54"/>
        <v>0</v>
      </c>
      <c r="AZ251" s="30" t="s">
        <v>440</v>
      </c>
      <c r="BA251" s="63"/>
      <c r="BB251" s="71"/>
      <c r="BC251" s="71"/>
      <c r="BD251" s="71"/>
    </row>
    <row r="252" spans="1:56" x14ac:dyDescent="0.25">
      <c r="A252" s="24">
        <f>IF(B252="","",SUBTOTAL(3,$B$4:B252))</f>
        <v>249</v>
      </c>
      <c r="B252" s="25" t="s">
        <v>439</v>
      </c>
      <c r="C252" s="25" t="str">
        <f t="shared" si="57"/>
        <v>Shipment 2 Outlet Stack</v>
      </c>
      <c r="D252" s="25" t="s">
        <v>441</v>
      </c>
      <c r="E252" s="25" t="s">
        <v>775</v>
      </c>
      <c r="F252" s="25"/>
      <c r="G252" s="65">
        <v>46204</v>
      </c>
      <c r="H252" s="25" t="s">
        <v>443</v>
      </c>
      <c r="I252" s="25" t="s">
        <v>777</v>
      </c>
      <c r="J252" s="26" t="s">
        <v>778</v>
      </c>
      <c r="K252" s="27" t="s">
        <v>684</v>
      </c>
      <c r="L252" s="28" t="s">
        <v>685</v>
      </c>
      <c r="M252" s="28" t="s">
        <v>651</v>
      </c>
      <c r="N252" s="25">
        <v>1</v>
      </c>
      <c r="O252" s="29">
        <v>2513.3000000000002</v>
      </c>
      <c r="P252" s="29">
        <v>2513.3000000000002</v>
      </c>
      <c r="Q252" s="25" t="s">
        <v>766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47"/>
        <v>2261.9700000000003</v>
      </c>
      <c r="AF252" s="32">
        <f t="shared" si="48"/>
        <v>251.32999999999993</v>
      </c>
      <c r="AG252" s="30"/>
      <c r="AH252" s="33"/>
      <c r="AI252" s="34">
        <f t="shared" si="49"/>
        <v>0</v>
      </c>
      <c r="AJ252" s="35">
        <v>46272</v>
      </c>
      <c r="AK252" s="30">
        <v>1</v>
      </c>
      <c r="AL252" s="36">
        <f t="shared" si="50"/>
        <v>2513.3000000000002</v>
      </c>
      <c r="AM252" s="35">
        <v>46275</v>
      </c>
      <c r="AN252" s="30">
        <v>1</v>
      </c>
      <c r="AO252" s="36">
        <f t="shared" si="51"/>
        <v>2513.3000000000002</v>
      </c>
      <c r="AP252" s="35"/>
      <c r="AQ252" s="30"/>
      <c r="AR252" s="36">
        <f t="shared" si="52"/>
        <v>0</v>
      </c>
      <c r="AS252" s="27"/>
      <c r="AT252" s="37"/>
      <c r="AU252" s="30"/>
      <c r="AV252" s="36">
        <f t="shared" si="53"/>
        <v>0</v>
      </c>
      <c r="AW252" s="35"/>
      <c r="AX252" s="30"/>
      <c r="AY252" s="32">
        <f t="shared" si="54"/>
        <v>0</v>
      </c>
      <c r="AZ252" s="30" t="s">
        <v>440</v>
      </c>
      <c r="BA252" s="63"/>
      <c r="BB252" s="71"/>
      <c r="BC252" s="71"/>
      <c r="BD252" s="71"/>
    </row>
    <row r="253" spans="1:56" x14ac:dyDescent="0.25">
      <c r="A253" s="24">
        <f>IF(B253="","",SUBTOTAL(3,$B$4:B253))</f>
        <v>250</v>
      </c>
      <c r="B253" s="25" t="s">
        <v>439</v>
      </c>
      <c r="C253" s="25" t="str">
        <f t="shared" si="57"/>
        <v>Shipment 2 Outlet Stack</v>
      </c>
      <c r="D253" s="25" t="s">
        <v>441</v>
      </c>
      <c r="E253" s="25" t="s">
        <v>775</v>
      </c>
      <c r="F253" s="25"/>
      <c r="G253" s="65">
        <v>46204</v>
      </c>
      <c r="H253" s="25" t="s">
        <v>443</v>
      </c>
      <c r="I253" s="25" t="s">
        <v>777</v>
      </c>
      <c r="J253" s="26" t="s">
        <v>778</v>
      </c>
      <c r="K253" s="27" t="s">
        <v>686</v>
      </c>
      <c r="L253" s="28" t="s">
        <v>687</v>
      </c>
      <c r="M253" s="28" t="s">
        <v>651</v>
      </c>
      <c r="N253" s="25">
        <v>2</v>
      </c>
      <c r="O253" s="29">
        <v>2513.1999999999998</v>
      </c>
      <c r="P253" s="29">
        <v>5026.3999999999996</v>
      </c>
      <c r="Q253" s="25" t="s">
        <v>766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47"/>
        <v>4523.76</v>
      </c>
      <c r="AF253" s="32">
        <f t="shared" si="48"/>
        <v>502.63999999999942</v>
      </c>
      <c r="AG253" s="30"/>
      <c r="AH253" s="33"/>
      <c r="AI253" s="34">
        <f t="shared" si="49"/>
        <v>0</v>
      </c>
      <c r="AJ253" s="35">
        <v>46273</v>
      </c>
      <c r="AK253" s="30">
        <v>2</v>
      </c>
      <c r="AL253" s="36">
        <f t="shared" si="50"/>
        <v>5026.3999999999996</v>
      </c>
      <c r="AM253" s="35">
        <v>46277</v>
      </c>
      <c r="AN253" s="30">
        <v>2</v>
      </c>
      <c r="AO253" s="36">
        <f t="shared" si="51"/>
        <v>5026.3999999999996</v>
      </c>
      <c r="AP253" s="35"/>
      <c r="AQ253" s="30"/>
      <c r="AR253" s="36">
        <f t="shared" si="52"/>
        <v>0</v>
      </c>
      <c r="AS253" s="27"/>
      <c r="AT253" s="37"/>
      <c r="AU253" s="30"/>
      <c r="AV253" s="36">
        <f t="shared" si="53"/>
        <v>0</v>
      </c>
      <c r="AW253" s="35"/>
      <c r="AX253" s="30"/>
      <c r="AY253" s="32">
        <f t="shared" si="54"/>
        <v>0</v>
      </c>
      <c r="AZ253" s="30" t="s">
        <v>440</v>
      </c>
      <c r="BA253" s="63"/>
      <c r="BB253" s="71"/>
      <c r="BC253" s="71"/>
      <c r="BD253" s="71"/>
    </row>
    <row r="254" spans="1:56" x14ac:dyDescent="0.25">
      <c r="A254" s="24">
        <f>IF(B254="","",SUBTOTAL(3,$B$4:B254))</f>
        <v>251</v>
      </c>
      <c r="B254" s="25" t="s">
        <v>439</v>
      </c>
      <c r="C254" s="25" t="str">
        <f t="shared" si="57"/>
        <v>Shipment 2 Outlet Stack</v>
      </c>
      <c r="D254" s="25" t="s">
        <v>441</v>
      </c>
      <c r="E254" s="25" t="s">
        <v>775</v>
      </c>
      <c r="F254" s="25"/>
      <c r="G254" s="65">
        <v>46204</v>
      </c>
      <c r="H254" s="25" t="s">
        <v>443</v>
      </c>
      <c r="I254" s="25" t="s">
        <v>777</v>
      </c>
      <c r="J254" s="26" t="s">
        <v>778</v>
      </c>
      <c r="K254" s="27" t="s">
        <v>688</v>
      </c>
      <c r="L254" s="28" t="s">
        <v>689</v>
      </c>
      <c r="M254" s="28" t="s">
        <v>651</v>
      </c>
      <c r="N254" s="25">
        <v>1</v>
      </c>
      <c r="O254" s="29">
        <v>2872.7</v>
      </c>
      <c r="P254" s="29">
        <v>2872.7</v>
      </c>
      <c r="Q254" s="25" t="s">
        <v>766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47"/>
        <v>2585.4299999999998</v>
      </c>
      <c r="AF254" s="32">
        <f t="shared" si="48"/>
        <v>287.27</v>
      </c>
      <c r="AG254" s="30"/>
      <c r="AH254" s="33"/>
      <c r="AI254" s="34">
        <f t="shared" si="49"/>
        <v>0</v>
      </c>
      <c r="AJ254" s="35">
        <v>46273</v>
      </c>
      <c r="AK254" s="30">
        <v>1</v>
      </c>
      <c r="AL254" s="36">
        <f t="shared" si="50"/>
        <v>2872.7</v>
      </c>
      <c r="AM254" s="35">
        <v>46284</v>
      </c>
      <c r="AN254" s="30">
        <v>1</v>
      </c>
      <c r="AO254" s="36">
        <f t="shared" si="51"/>
        <v>2872.7</v>
      </c>
      <c r="AP254" s="35"/>
      <c r="AQ254" s="30"/>
      <c r="AR254" s="36">
        <f t="shared" si="52"/>
        <v>0</v>
      </c>
      <c r="AS254" s="27"/>
      <c r="AT254" s="37"/>
      <c r="AU254" s="30"/>
      <c r="AV254" s="36">
        <f t="shared" si="53"/>
        <v>0</v>
      </c>
      <c r="AW254" s="35"/>
      <c r="AX254" s="30"/>
      <c r="AY254" s="32">
        <f t="shared" si="54"/>
        <v>0</v>
      </c>
      <c r="AZ254" s="30" t="s">
        <v>440</v>
      </c>
      <c r="BA254" s="63"/>
      <c r="BB254" s="71"/>
      <c r="BC254" s="71"/>
      <c r="BD254" s="71"/>
    </row>
    <row r="255" spans="1:56" x14ac:dyDescent="0.25">
      <c r="A255" s="24">
        <f>IF(B255="","",SUBTOTAL(3,$B$4:B255))</f>
        <v>252</v>
      </c>
      <c r="B255" s="25" t="s">
        <v>439</v>
      </c>
      <c r="C255" s="25" t="str">
        <f t="shared" si="57"/>
        <v>Shipment 2 Outlet Stack</v>
      </c>
      <c r="D255" s="25" t="s">
        <v>441</v>
      </c>
      <c r="E255" s="25" t="s">
        <v>775</v>
      </c>
      <c r="F255" s="25"/>
      <c r="G255" s="65">
        <v>46204</v>
      </c>
      <c r="H255" s="25" t="s">
        <v>443</v>
      </c>
      <c r="I255" s="25" t="s">
        <v>777</v>
      </c>
      <c r="J255" s="26" t="s">
        <v>778</v>
      </c>
      <c r="K255" s="27" t="s">
        <v>690</v>
      </c>
      <c r="L255" s="28" t="s">
        <v>691</v>
      </c>
      <c r="M255" s="28" t="s">
        <v>651</v>
      </c>
      <c r="N255" s="25">
        <v>1</v>
      </c>
      <c r="O255" s="29">
        <v>2963.6</v>
      </c>
      <c r="P255" s="29">
        <v>2963.6</v>
      </c>
      <c r="Q255" s="25" t="s">
        <v>767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47"/>
        <v>2667.24</v>
      </c>
      <c r="AF255" s="32">
        <f t="shared" si="48"/>
        <v>296.36000000000013</v>
      </c>
      <c r="AG255" s="30"/>
      <c r="AH255" s="33"/>
      <c r="AI255" s="34">
        <f t="shared" si="49"/>
        <v>0</v>
      </c>
      <c r="AJ255" s="35">
        <v>46282</v>
      </c>
      <c r="AK255" s="30">
        <v>1</v>
      </c>
      <c r="AL255" s="36">
        <f t="shared" si="50"/>
        <v>2963.6</v>
      </c>
      <c r="AM255" s="35">
        <v>46289</v>
      </c>
      <c r="AN255" s="30">
        <v>1</v>
      </c>
      <c r="AO255" s="36">
        <f t="shared" si="51"/>
        <v>2963.6</v>
      </c>
      <c r="AP255" s="35"/>
      <c r="AQ255" s="30"/>
      <c r="AR255" s="36">
        <f t="shared" si="52"/>
        <v>0</v>
      </c>
      <c r="AS255" s="27"/>
      <c r="AT255" s="37"/>
      <c r="AU255" s="30"/>
      <c r="AV255" s="36">
        <f t="shared" si="53"/>
        <v>0</v>
      </c>
      <c r="AW255" s="35"/>
      <c r="AX255" s="30"/>
      <c r="AY255" s="32">
        <f t="shared" si="54"/>
        <v>0</v>
      </c>
      <c r="AZ255" s="30" t="s">
        <v>440</v>
      </c>
      <c r="BA255" s="63"/>
      <c r="BB255" s="71"/>
      <c r="BC255" s="71"/>
      <c r="BD255" s="71"/>
    </row>
    <row r="256" spans="1:56" x14ac:dyDescent="0.25">
      <c r="A256" s="24">
        <f>IF(B256="","",SUBTOTAL(3,$B$4:B256))</f>
        <v>253</v>
      </c>
      <c r="B256" s="25" t="s">
        <v>439</v>
      </c>
      <c r="C256" s="25" t="str">
        <f t="shared" si="57"/>
        <v>Shipment 2 Outlet Stack</v>
      </c>
      <c r="D256" s="25" t="s">
        <v>441</v>
      </c>
      <c r="E256" s="25" t="s">
        <v>775</v>
      </c>
      <c r="F256" s="25"/>
      <c r="G256" s="65">
        <v>46204</v>
      </c>
      <c r="H256" s="25" t="s">
        <v>443</v>
      </c>
      <c r="I256" s="25" t="s">
        <v>777</v>
      </c>
      <c r="J256" s="26" t="s">
        <v>778</v>
      </c>
      <c r="K256" s="27" t="s">
        <v>692</v>
      </c>
      <c r="L256" s="28" t="s">
        <v>693</v>
      </c>
      <c r="M256" s="28" t="s">
        <v>651</v>
      </c>
      <c r="N256" s="25">
        <v>1</v>
      </c>
      <c r="O256" s="29">
        <v>2900.7</v>
      </c>
      <c r="P256" s="29">
        <v>2900.7</v>
      </c>
      <c r="Q256" s="25" t="s">
        <v>768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47"/>
        <v>2610.63</v>
      </c>
      <c r="AF256" s="32">
        <f t="shared" si="48"/>
        <v>290.06999999999971</v>
      </c>
      <c r="AG256" s="30"/>
      <c r="AH256" s="33"/>
      <c r="AI256" s="34">
        <f t="shared" si="49"/>
        <v>0</v>
      </c>
      <c r="AJ256" s="35">
        <v>46287</v>
      </c>
      <c r="AK256" s="30">
        <v>1</v>
      </c>
      <c r="AL256" s="36">
        <f t="shared" si="50"/>
        <v>2900.7</v>
      </c>
      <c r="AM256" s="35">
        <v>46291</v>
      </c>
      <c r="AN256" s="30">
        <v>1</v>
      </c>
      <c r="AO256" s="36">
        <f t="shared" si="51"/>
        <v>2900.7</v>
      </c>
      <c r="AP256" s="35"/>
      <c r="AQ256" s="30"/>
      <c r="AR256" s="36">
        <f t="shared" si="52"/>
        <v>0</v>
      </c>
      <c r="AS256" s="27"/>
      <c r="AT256" s="37"/>
      <c r="AU256" s="30"/>
      <c r="AV256" s="36">
        <f t="shared" si="53"/>
        <v>0</v>
      </c>
      <c r="AW256" s="35"/>
      <c r="AX256" s="30"/>
      <c r="AY256" s="32">
        <f t="shared" si="54"/>
        <v>0</v>
      </c>
      <c r="AZ256" s="30" t="s">
        <v>440</v>
      </c>
      <c r="BA256" s="63"/>
      <c r="BB256" s="71"/>
      <c r="BC256" s="71"/>
      <c r="BD256" s="71"/>
    </row>
    <row r="257" spans="1:56" x14ac:dyDescent="0.25">
      <c r="A257" s="24">
        <f>IF(B257="","",SUBTOTAL(3,$B$4:B257))</f>
        <v>254</v>
      </c>
      <c r="B257" s="25" t="s">
        <v>439</v>
      </c>
      <c r="C257" s="25" t="str">
        <f t="shared" si="57"/>
        <v>Shipment 2 Outlet Stack</v>
      </c>
      <c r="D257" s="25" t="s">
        <v>441</v>
      </c>
      <c r="E257" s="25" t="s">
        <v>775</v>
      </c>
      <c r="F257" s="25"/>
      <c r="G257" s="65">
        <v>46204</v>
      </c>
      <c r="H257" s="25" t="s">
        <v>443</v>
      </c>
      <c r="I257" s="25" t="s">
        <v>777</v>
      </c>
      <c r="J257" s="26" t="s">
        <v>778</v>
      </c>
      <c r="K257" s="27" t="s">
        <v>694</v>
      </c>
      <c r="L257" s="28" t="s">
        <v>695</v>
      </c>
      <c r="M257" s="28" t="s">
        <v>651</v>
      </c>
      <c r="N257" s="25">
        <v>1</v>
      </c>
      <c r="O257" s="29">
        <v>2847.6</v>
      </c>
      <c r="P257" s="29">
        <v>2847.6</v>
      </c>
      <c r="Q257" s="25" t="s">
        <v>769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47"/>
        <v>2562.84</v>
      </c>
      <c r="AF257" s="32">
        <f t="shared" si="48"/>
        <v>284.75999999999976</v>
      </c>
      <c r="AG257" s="30"/>
      <c r="AH257" s="33"/>
      <c r="AI257" s="34">
        <f t="shared" si="49"/>
        <v>0</v>
      </c>
      <c r="AJ257" s="35">
        <v>46290</v>
      </c>
      <c r="AK257" s="30">
        <v>1</v>
      </c>
      <c r="AL257" s="36">
        <f t="shared" si="50"/>
        <v>2847.6</v>
      </c>
      <c r="AM257" s="35">
        <v>46293</v>
      </c>
      <c r="AN257" s="30">
        <v>1</v>
      </c>
      <c r="AO257" s="36">
        <f t="shared" si="51"/>
        <v>2847.6</v>
      </c>
      <c r="AP257" s="35"/>
      <c r="AQ257" s="30"/>
      <c r="AR257" s="36">
        <f t="shared" si="52"/>
        <v>0</v>
      </c>
      <c r="AS257" s="27"/>
      <c r="AT257" s="37"/>
      <c r="AU257" s="30"/>
      <c r="AV257" s="36">
        <f t="shared" si="53"/>
        <v>0</v>
      </c>
      <c r="AW257" s="35"/>
      <c r="AX257" s="30"/>
      <c r="AY257" s="32">
        <f t="shared" si="54"/>
        <v>0</v>
      </c>
      <c r="AZ257" s="30" t="s">
        <v>440</v>
      </c>
      <c r="BA257" s="63"/>
      <c r="BB257" s="71"/>
      <c r="BC257" s="71"/>
      <c r="BD257" s="71"/>
    </row>
    <row r="258" spans="1:56" x14ac:dyDescent="0.25">
      <c r="A258" s="24">
        <f>IF(B258="","",SUBTOTAL(3,$B$4:B258))</f>
        <v>255</v>
      </c>
      <c r="B258" s="25" t="s">
        <v>439</v>
      </c>
      <c r="C258" s="25" t="str">
        <f t="shared" si="57"/>
        <v>Shipment 2 Outlet Stack</v>
      </c>
      <c r="D258" s="25" t="s">
        <v>441</v>
      </c>
      <c r="E258" s="25" t="s">
        <v>775</v>
      </c>
      <c r="F258" s="25"/>
      <c r="G258" s="65">
        <v>46204</v>
      </c>
      <c r="H258" s="25" t="s">
        <v>443</v>
      </c>
      <c r="I258" s="25" t="s">
        <v>777</v>
      </c>
      <c r="J258" s="26" t="s">
        <v>778</v>
      </c>
      <c r="K258" s="27" t="s">
        <v>696</v>
      </c>
      <c r="L258" s="28" t="s">
        <v>697</v>
      </c>
      <c r="M258" s="28" t="s">
        <v>651</v>
      </c>
      <c r="N258" s="25">
        <v>1</v>
      </c>
      <c r="O258" s="29">
        <v>2822.4</v>
      </c>
      <c r="P258" s="29">
        <v>2822.4</v>
      </c>
      <c r="Q258" s="25" t="s">
        <v>770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47"/>
        <v>2540.16</v>
      </c>
      <c r="AF258" s="32">
        <f t="shared" si="48"/>
        <v>282.24000000000024</v>
      </c>
      <c r="AG258" s="30"/>
      <c r="AH258" s="33"/>
      <c r="AI258" s="34">
        <f t="shared" si="49"/>
        <v>0</v>
      </c>
      <c r="AJ258" s="35">
        <v>46291</v>
      </c>
      <c r="AK258" s="30">
        <v>1</v>
      </c>
      <c r="AL258" s="36">
        <f t="shared" si="50"/>
        <v>2822.4</v>
      </c>
      <c r="AM258" s="35">
        <v>46293</v>
      </c>
      <c r="AN258" s="30">
        <v>1</v>
      </c>
      <c r="AO258" s="36">
        <f t="shared" ref="AO258" si="58">IFERROR(AN258*$P258/$N258,0)</f>
        <v>2822.4</v>
      </c>
      <c r="AP258" s="35"/>
      <c r="AQ258" s="30"/>
      <c r="AR258" s="36">
        <f t="shared" si="52"/>
        <v>0</v>
      </c>
      <c r="AS258" s="27"/>
      <c r="AT258" s="37"/>
      <c r="AU258" s="30"/>
      <c r="AV258" s="36">
        <f t="shared" si="53"/>
        <v>0</v>
      </c>
      <c r="AW258" s="35"/>
      <c r="AX258" s="30"/>
      <c r="AY258" s="32">
        <f t="shared" si="54"/>
        <v>0</v>
      </c>
      <c r="AZ258" s="30" t="s">
        <v>440</v>
      </c>
      <c r="BA258" s="63"/>
      <c r="BB258" s="71"/>
      <c r="BC258" s="71"/>
      <c r="BD258" s="71"/>
    </row>
    <row r="259" spans="1:56" x14ac:dyDescent="0.25">
      <c r="A259" s="24">
        <f>IF(B259="","",SUBTOTAL(3,$B$4:B259))</f>
        <v>256</v>
      </c>
      <c r="B259" s="25" t="s">
        <v>439</v>
      </c>
      <c r="C259" s="25" t="str">
        <f t="shared" si="57"/>
        <v>Shipment 2 Outlet Stack</v>
      </c>
      <c r="D259" s="25" t="s">
        <v>441</v>
      </c>
      <c r="E259" s="25" t="s">
        <v>775</v>
      </c>
      <c r="F259" s="25"/>
      <c r="G259" s="65">
        <v>46204</v>
      </c>
      <c r="H259" s="25" t="s">
        <v>443</v>
      </c>
      <c r="I259" s="25" t="s">
        <v>777</v>
      </c>
      <c r="J259" s="26" t="s">
        <v>778</v>
      </c>
      <c r="K259" s="27" t="s">
        <v>698</v>
      </c>
      <c r="L259" s="28" t="s">
        <v>699</v>
      </c>
      <c r="M259" s="28" t="s">
        <v>651</v>
      </c>
      <c r="N259" s="25">
        <v>1</v>
      </c>
      <c r="O259" s="29">
        <v>3064.1</v>
      </c>
      <c r="P259" s="29">
        <v>3064.1</v>
      </c>
      <c r="Q259" s="25" t="s">
        <v>771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47"/>
        <v>2757.69</v>
      </c>
      <c r="AF259" s="32">
        <f t="shared" si="48"/>
        <v>306.40999999999985</v>
      </c>
      <c r="AG259" s="30"/>
      <c r="AH259" s="33"/>
      <c r="AI259" s="34">
        <f t="shared" si="49"/>
        <v>0</v>
      </c>
      <c r="AJ259" s="35">
        <v>46283</v>
      </c>
      <c r="AK259" s="30">
        <v>1</v>
      </c>
      <c r="AL259" s="36">
        <f t="shared" si="50"/>
        <v>3064.1</v>
      </c>
      <c r="AM259" s="35">
        <v>46291</v>
      </c>
      <c r="AN259" s="30">
        <v>1</v>
      </c>
      <c r="AO259" s="36">
        <f>IFERROR(AN259*$P259/$N259,0)</f>
        <v>3064.1</v>
      </c>
      <c r="AP259" s="35"/>
      <c r="AQ259" s="30"/>
      <c r="AR259" s="36">
        <f t="shared" si="52"/>
        <v>0</v>
      </c>
      <c r="AS259" s="27"/>
      <c r="AT259" s="37"/>
      <c r="AU259" s="30"/>
      <c r="AV259" s="36">
        <f t="shared" si="53"/>
        <v>0</v>
      </c>
      <c r="AW259" s="35"/>
      <c r="AX259" s="30"/>
      <c r="AY259" s="32">
        <f t="shared" si="54"/>
        <v>0</v>
      </c>
      <c r="AZ259" s="30" t="s">
        <v>440</v>
      </c>
      <c r="BA259" s="63"/>
      <c r="BB259" s="71"/>
      <c r="BC259" s="71"/>
      <c r="BD259" s="71"/>
    </row>
    <row r="260" spans="1:56" x14ac:dyDescent="0.25">
      <c r="A260" s="24">
        <f>IF(B260="","",SUBTOTAL(3,$B$4:B260))</f>
        <v>257</v>
      </c>
      <c r="B260" s="25" t="s">
        <v>439</v>
      </c>
      <c r="C260" s="25" t="str">
        <f t="shared" si="57"/>
        <v>Shipment 2 Outlet Stack</v>
      </c>
      <c r="D260" s="25" t="s">
        <v>441</v>
      </c>
      <c r="E260" s="25" t="s">
        <v>775</v>
      </c>
      <c r="F260" s="25"/>
      <c r="G260" s="65">
        <v>46204</v>
      </c>
      <c r="H260" s="25" t="s">
        <v>443</v>
      </c>
      <c r="I260" s="25" t="s">
        <v>777</v>
      </c>
      <c r="J260" s="26" t="s">
        <v>447</v>
      </c>
      <c r="K260" s="27" t="s">
        <v>700</v>
      </c>
      <c r="L260" s="28" t="s">
        <v>701</v>
      </c>
      <c r="M260" s="28" t="s">
        <v>651</v>
      </c>
      <c r="N260" s="25">
        <v>1</v>
      </c>
      <c r="O260" s="29">
        <v>677.6</v>
      </c>
      <c r="P260" s="29">
        <v>677.6</v>
      </c>
      <c r="Q260" s="25" t="s">
        <v>772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47"/>
        <v>677.6</v>
      </c>
      <c r="AF260" s="32">
        <f t="shared" si="48"/>
        <v>0</v>
      </c>
      <c r="AG260" s="30"/>
      <c r="AH260" s="33"/>
      <c r="AI260" s="34">
        <f t="shared" si="49"/>
        <v>0</v>
      </c>
      <c r="AJ260" s="35">
        <v>46254</v>
      </c>
      <c r="AK260" s="30">
        <v>1</v>
      </c>
      <c r="AL260" s="36">
        <f t="shared" si="50"/>
        <v>677.6</v>
      </c>
      <c r="AM260" s="35">
        <v>46256</v>
      </c>
      <c r="AN260" s="30">
        <v>1</v>
      </c>
      <c r="AO260" s="36">
        <f t="shared" si="51"/>
        <v>677.6</v>
      </c>
      <c r="AP260" s="35"/>
      <c r="AQ260" s="30"/>
      <c r="AR260" s="36">
        <f t="shared" si="52"/>
        <v>0</v>
      </c>
      <c r="AS260" s="27" t="s">
        <v>870</v>
      </c>
      <c r="AT260" s="37">
        <v>46289</v>
      </c>
      <c r="AU260" s="30">
        <v>1</v>
      </c>
      <c r="AV260" s="36">
        <f t="shared" si="53"/>
        <v>677.6</v>
      </c>
      <c r="AW260" s="35">
        <v>46293</v>
      </c>
      <c r="AX260" s="30">
        <v>1</v>
      </c>
      <c r="AY260" s="32">
        <f t="shared" ref="AY260" si="59">IFERROR(AX260*$P260/$N260,0)</f>
        <v>677.6</v>
      </c>
      <c r="AZ260" s="30" t="s">
        <v>440</v>
      </c>
      <c r="BA260" s="63" t="s">
        <v>870</v>
      </c>
      <c r="BB260" s="71"/>
      <c r="BC260" s="71"/>
      <c r="BD260" s="71"/>
    </row>
    <row r="261" spans="1:56" x14ac:dyDescent="0.25">
      <c r="A261" s="24">
        <f>IF(B261="","",SUBTOTAL(3,$B$4:B261))</f>
        <v>258</v>
      </c>
      <c r="B261" s="25" t="s">
        <v>439</v>
      </c>
      <c r="C261" s="25" t="str">
        <f t="shared" si="57"/>
        <v>Shipment 2 Outlet Stack</v>
      </c>
      <c r="D261" s="25" t="s">
        <v>441</v>
      </c>
      <c r="E261" s="25" t="s">
        <v>775</v>
      </c>
      <c r="F261" s="25"/>
      <c r="G261" s="65">
        <v>46204</v>
      </c>
      <c r="H261" s="25" t="s">
        <v>443</v>
      </c>
      <c r="I261" s="25" t="s">
        <v>777</v>
      </c>
      <c r="J261" s="26" t="s">
        <v>447</v>
      </c>
      <c r="K261" s="27" t="s">
        <v>702</v>
      </c>
      <c r="L261" s="28" t="s">
        <v>703</v>
      </c>
      <c r="M261" s="28" t="s">
        <v>651</v>
      </c>
      <c r="N261" s="25">
        <v>1</v>
      </c>
      <c r="O261" s="29">
        <v>482.4</v>
      </c>
      <c r="P261" s="29">
        <v>482.4</v>
      </c>
      <c r="Q261" s="25" t="s">
        <v>773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47"/>
        <v>482.4</v>
      </c>
      <c r="AF261" s="32">
        <f t="shared" si="48"/>
        <v>0</v>
      </c>
      <c r="AG261" s="30"/>
      <c r="AH261" s="33"/>
      <c r="AI261" s="34">
        <f t="shared" si="49"/>
        <v>0</v>
      </c>
      <c r="AJ261" s="35">
        <v>46254</v>
      </c>
      <c r="AK261" s="30">
        <v>1</v>
      </c>
      <c r="AL261" s="36">
        <f t="shared" si="50"/>
        <v>482.4</v>
      </c>
      <c r="AM261" s="35">
        <v>46256</v>
      </c>
      <c r="AN261" s="30">
        <v>1</v>
      </c>
      <c r="AO261" s="36">
        <f t="shared" si="51"/>
        <v>482.4</v>
      </c>
      <c r="AP261" s="35"/>
      <c r="AQ261" s="30"/>
      <c r="AR261" s="36">
        <f t="shared" si="52"/>
        <v>0</v>
      </c>
      <c r="AS261" s="27" t="s">
        <v>867</v>
      </c>
      <c r="AT261" s="37">
        <v>46273</v>
      </c>
      <c r="AU261" s="30">
        <v>1</v>
      </c>
      <c r="AV261" s="36">
        <f t="shared" si="53"/>
        <v>482.4</v>
      </c>
      <c r="AW261" s="35">
        <v>46281</v>
      </c>
      <c r="AX261" s="30">
        <v>1</v>
      </c>
      <c r="AY261" s="32">
        <f t="shared" si="54"/>
        <v>482.4</v>
      </c>
      <c r="AZ261" s="30" t="s">
        <v>440</v>
      </c>
      <c r="BA261" s="63" t="s">
        <v>869</v>
      </c>
      <c r="BB261" s="71"/>
      <c r="BC261" s="71"/>
      <c r="BD261" s="71"/>
    </row>
    <row r="262" spans="1:56" x14ac:dyDescent="0.25">
      <c r="A262" s="24">
        <f>IF(B262="","",SUBTOTAL(3,$B$4:B262))</f>
        <v>259</v>
      </c>
      <c r="B262" s="25" t="s">
        <v>439</v>
      </c>
      <c r="C262" s="25" t="str">
        <f t="shared" si="57"/>
        <v>Shipment 2 Outlet Stack</v>
      </c>
      <c r="D262" s="25" t="s">
        <v>441</v>
      </c>
      <c r="E262" s="25" t="s">
        <v>775</v>
      </c>
      <c r="F262" s="25"/>
      <c r="G262" s="65">
        <v>46204</v>
      </c>
      <c r="H262" s="25" t="s">
        <v>443</v>
      </c>
      <c r="I262" s="25" t="s">
        <v>777</v>
      </c>
      <c r="J262" s="26" t="s">
        <v>447</v>
      </c>
      <c r="K262" s="27" t="s">
        <v>704</v>
      </c>
      <c r="L262" s="28" t="s">
        <v>705</v>
      </c>
      <c r="M262" s="28" t="s">
        <v>651</v>
      </c>
      <c r="N262" s="25">
        <v>2</v>
      </c>
      <c r="O262" s="29">
        <v>482.45</v>
      </c>
      <c r="P262" s="29">
        <v>964.9</v>
      </c>
      <c r="Q262" s="25" t="s">
        <v>774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47"/>
        <v>964.90000000000009</v>
      </c>
      <c r="AF262" s="32">
        <f t="shared" si="48"/>
        <v>0</v>
      </c>
      <c r="AG262" s="30"/>
      <c r="AH262" s="33"/>
      <c r="AI262" s="34">
        <f t="shared" si="49"/>
        <v>0</v>
      </c>
      <c r="AJ262" s="35">
        <v>46254</v>
      </c>
      <c r="AK262" s="30">
        <v>2</v>
      </c>
      <c r="AL262" s="36">
        <f t="shared" si="50"/>
        <v>964.9</v>
      </c>
      <c r="AM262" s="35">
        <v>46256</v>
      </c>
      <c r="AN262" s="30">
        <v>2</v>
      </c>
      <c r="AO262" s="36">
        <f t="shared" si="51"/>
        <v>964.9</v>
      </c>
      <c r="AP262" s="35"/>
      <c r="AQ262" s="30"/>
      <c r="AR262" s="36">
        <f t="shared" si="52"/>
        <v>0</v>
      </c>
      <c r="AS262" s="27" t="s">
        <v>867</v>
      </c>
      <c r="AT262" s="37">
        <v>46273</v>
      </c>
      <c r="AU262" s="30">
        <v>2</v>
      </c>
      <c r="AV262" s="36">
        <f t="shared" si="53"/>
        <v>964.9</v>
      </c>
      <c r="AW262" s="35">
        <v>46281</v>
      </c>
      <c r="AX262" s="30">
        <v>2</v>
      </c>
      <c r="AY262" s="32">
        <f t="shared" ref="AY262:AY263" si="60">IFERROR(AX262*$P262/$N262,0)</f>
        <v>964.9</v>
      </c>
      <c r="AZ262" s="30" t="s">
        <v>440</v>
      </c>
      <c r="BA262" s="63" t="s">
        <v>869</v>
      </c>
      <c r="BB262" s="71"/>
      <c r="BC262" s="71"/>
      <c r="BD262" s="71"/>
    </row>
    <row r="263" spans="1:56" x14ac:dyDescent="0.25">
      <c r="A263" s="24">
        <f>IF(B263="","",SUBTOTAL(3,$B$4:B263))</f>
        <v>260</v>
      </c>
      <c r="B263" s="25" t="s">
        <v>439</v>
      </c>
      <c r="C263" s="25" t="str">
        <f t="shared" si="57"/>
        <v>Shipment 2 Outlet Stack</v>
      </c>
      <c r="D263" s="25" t="s">
        <v>441</v>
      </c>
      <c r="E263" s="25" t="s">
        <v>775</v>
      </c>
      <c r="F263" s="25"/>
      <c r="G263" s="65">
        <v>46204</v>
      </c>
      <c r="H263" s="25" t="s">
        <v>443</v>
      </c>
      <c r="I263" s="25" t="s">
        <v>777</v>
      </c>
      <c r="J263" s="26" t="s">
        <v>447</v>
      </c>
      <c r="K263" s="27" t="s">
        <v>706</v>
      </c>
      <c r="L263" s="28" t="s">
        <v>707</v>
      </c>
      <c r="M263" s="28" t="s">
        <v>651</v>
      </c>
      <c r="N263" s="25">
        <v>1</v>
      </c>
      <c r="O263" s="29">
        <v>500.3</v>
      </c>
      <c r="P263" s="29">
        <v>500.3</v>
      </c>
      <c r="Q263" s="25" t="s">
        <v>774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47"/>
        <v>500.29999999999995</v>
      </c>
      <c r="AF263" s="32">
        <f t="shared" si="48"/>
        <v>0</v>
      </c>
      <c r="AG263" s="30"/>
      <c r="AH263" s="33"/>
      <c r="AI263" s="34">
        <f t="shared" si="49"/>
        <v>0</v>
      </c>
      <c r="AJ263" s="35">
        <v>46254</v>
      </c>
      <c r="AK263" s="30">
        <v>1</v>
      </c>
      <c r="AL263" s="36">
        <f t="shared" si="50"/>
        <v>500.3</v>
      </c>
      <c r="AM263" s="35">
        <v>46258</v>
      </c>
      <c r="AN263" s="30">
        <v>1</v>
      </c>
      <c r="AO263" s="36">
        <f t="shared" si="51"/>
        <v>500.3</v>
      </c>
      <c r="AP263" s="35"/>
      <c r="AQ263" s="30"/>
      <c r="AR263" s="36">
        <f t="shared" si="52"/>
        <v>0</v>
      </c>
      <c r="AS263" s="27" t="s">
        <v>867</v>
      </c>
      <c r="AT263" s="37">
        <v>46273</v>
      </c>
      <c r="AU263" s="30">
        <v>1</v>
      </c>
      <c r="AV263" s="36">
        <f t="shared" si="53"/>
        <v>500.3</v>
      </c>
      <c r="AW263" s="35">
        <v>46281</v>
      </c>
      <c r="AX263" s="30">
        <v>1</v>
      </c>
      <c r="AY263" s="32">
        <f t="shared" si="60"/>
        <v>500.3</v>
      </c>
      <c r="AZ263" s="30" t="s">
        <v>440</v>
      </c>
      <c r="BA263" s="63" t="s">
        <v>869</v>
      </c>
      <c r="BB263" s="71"/>
      <c r="BC263" s="71"/>
      <c r="BD263" s="71"/>
    </row>
    <row r="264" spans="1:56" x14ac:dyDescent="0.25">
      <c r="A264" s="24">
        <f>IF(B264="","",SUBTOTAL(3,$B$4:B264))</f>
        <v>261</v>
      </c>
      <c r="B264" s="25" t="s">
        <v>439</v>
      </c>
      <c r="C264" s="25" t="str">
        <f t="shared" ref="C264:C292" si="61">D264&amp;" "&amp;E264</f>
        <v>Shipment 2 Outlet Stack</v>
      </c>
      <c r="D264" s="25" t="s">
        <v>441</v>
      </c>
      <c r="E264" s="25" t="s">
        <v>775</v>
      </c>
      <c r="F264" s="25" t="s">
        <v>866</v>
      </c>
      <c r="G264" s="65">
        <v>46204</v>
      </c>
      <c r="H264" s="25" t="s">
        <v>443</v>
      </c>
      <c r="I264" s="25" t="s">
        <v>777</v>
      </c>
      <c r="J264" s="26" t="s">
        <v>447</v>
      </c>
      <c r="K264" s="27" t="s">
        <v>779</v>
      </c>
      <c r="L264" s="28" t="s">
        <v>780</v>
      </c>
      <c r="M264" s="28" t="s">
        <v>781</v>
      </c>
      <c r="N264" s="25">
        <v>5</v>
      </c>
      <c r="O264" s="29">
        <v>16.8</v>
      </c>
      <c r="P264" s="29">
        <v>84.2</v>
      </c>
      <c r="Q264" s="25" t="s">
        <v>839</v>
      </c>
      <c r="R264" s="25"/>
      <c r="S264" s="26" t="s">
        <v>866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47"/>
        <v>75.78</v>
      </c>
      <c r="AF264" s="32">
        <f t="shared" si="48"/>
        <v>8.4200000000000017</v>
      </c>
      <c r="AG264" s="30"/>
      <c r="AH264" s="33"/>
      <c r="AI264" s="34">
        <f t="shared" si="49"/>
        <v>0</v>
      </c>
      <c r="AJ264" s="35">
        <v>46277</v>
      </c>
      <c r="AK264" s="30">
        <v>5</v>
      </c>
      <c r="AL264" s="36">
        <f t="shared" si="50"/>
        <v>84.2</v>
      </c>
      <c r="AM264" s="35">
        <v>46279</v>
      </c>
      <c r="AN264" s="30">
        <v>5</v>
      </c>
      <c r="AO264" s="36">
        <f t="shared" si="51"/>
        <v>84.2</v>
      </c>
      <c r="AP264" s="35"/>
      <c r="AQ264" s="30"/>
      <c r="AR264" s="36">
        <f t="shared" si="52"/>
        <v>0</v>
      </c>
      <c r="AS264" s="27"/>
      <c r="AT264" s="37"/>
      <c r="AU264" s="30"/>
      <c r="AV264" s="36">
        <f t="shared" si="53"/>
        <v>0</v>
      </c>
      <c r="AW264" s="35"/>
      <c r="AX264" s="30"/>
      <c r="AY264" s="32">
        <f t="shared" si="54"/>
        <v>0</v>
      </c>
      <c r="AZ264" s="30" t="s">
        <v>440</v>
      </c>
      <c r="BA264" s="63"/>
      <c r="BB264" s="71"/>
      <c r="BC264" s="71"/>
      <c r="BD264" s="71"/>
    </row>
    <row r="265" spans="1:56" x14ac:dyDescent="0.25">
      <c r="A265" s="24">
        <f>IF(B265="","",SUBTOTAL(3,$B$4:B265))</f>
        <v>262</v>
      </c>
      <c r="B265" s="25" t="s">
        <v>439</v>
      </c>
      <c r="C265" s="25" t="str">
        <f t="shared" si="61"/>
        <v>Shipment 2 Outlet Stack</v>
      </c>
      <c r="D265" s="25" t="s">
        <v>441</v>
      </c>
      <c r="E265" s="25" t="s">
        <v>775</v>
      </c>
      <c r="F265" s="25" t="s">
        <v>866</v>
      </c>
      <c r="G265" s="65">
        <v>46204</v>
      </c>
      <c r="H265" s="25" t="s">
        <v>443</v>
      </c>
      <c r="I265" s="25" t="s">
        <v>777</v>
      </c>
      <c r="J265" s="26" t="s">
        <v>447</v>
      </c>
      <c r="K265" s="27" t="s">
        <v>782</v>
      </c>
      <c r="L265" s="28" t="s">
        <v>783</v>
      </c>
      <c r="M265" s="28" t="s">
        <v>781</v>
      </c>
      <c r="N265" s="25">
        <v>28</v>
      </c>
      <c r="O265" s="29">
        <v>37.700000000000003</v>
      </c>
      <c r="P265" s="29">
        <v>1055.5999999999999</v>
      </c>
      <c r="Q265" s="25" t="s">
        <v>840</v>
      </c>
      <c r="R265" s="25"/>
      <c r="S265" s="26" t="s">
        <v>866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ref="AE265:AE268" si="62">+AL265*0.5+AO265*0.4+AV265*0.1</f>
        <v>950.04</v>
      </c>
      <c r="AF265" s="32">
        <f t="shared" ref="AF265:AF268" si="63">+P265-AE265</f>
        <v>105.55999999999995</v>
      </c>
      <c r="AG265" s="30"/>
      <c r="AH265" s="33"/>
      <c r="AI265" s="34">
        <f t="shared" ref="AI265:AI268" si="64">+AH265*P265</f>
        <v>0</v>
      </c>
      <c r="AJ265" s="35">
        <v>46277</v>
      </c>
      <c r="AK265" s="30">
        <v>28</v>
      </c>
      <c r="AL265" s="36">
        <f t="shared" ref="AL265:AL268" si="65">IFERROR(AK265*$P265/$N265,0)</f>
        <v>1055.5999999999999</v>
      </c>
      <c r="AM265" s="35">
        <v>46279</v>
      </c>
      <c r="AN265" s="30">
        <v>28</v>
      </c>
      <c r="AO265" s="36">
        <f t="shared" ref="AO265:AO268" si="66">IFERROR(AN265*$P265/$N265,0)</f>
        <v>1055.5999999999999</v>
      </c>
      <c r="AP265" s="35"/>
      <c r="AQ265" s="30"/>
      <c r="AR265" s="36">
        <f t="shared" ref="AR265:AR268" si="67">IFERROR(AQ265*$P265/$N265,0)</f>
        <v>0</v>
      </c>
      <c r="AS265" s="27"/>
      <c r="AT265" s="37"/>
      <c r="AU265" s="30"/>
      <c r="AV265" s="36">
        <f t="shared" ref="AV265:AV268" si="68">IFERROR(AU265*$P265/$N265,0)</f>
        <v>0</v>
      </c>
      <c r="AW265" s="35"/>
      <c r="AX265" s="30"/>
      <c r="AY265" s="32">
        <f t="shared" ref="AY265:AY268" si="69">IFERROR(AX265*$P265/$N265,0)</f>
        <v>0</v>
      </c>
      <c r="AZ265" s="30" t="s">
        <v>440</v>
      </c>
      <c r="BA265" s="63"/>
      <c r="BB265" s="71"/>
      <c r="BC265" s="71"/>
      <c r="BD265" s="71"/>
    </row>
    <row r="266" spans="1:56" x14ac:dyDescent="0.25">
      <c r="A266" s="24">
        <f>IF(B266="","",SUBTOTAL(3,$B$4:B266))</f>
        <v>263</v>
      </c>
      <c r="B266" s="25" t="s">
        <v>439</v>
      </c>
      <c r="C266" s="25" t="str">
        <f t="shared" si="61"/>
        <v>Shipment 2 Outlet Stack</v>
      </c>
      <c r="D266" s="25" t="s">
        <v>441</v>
      </c>
      <c r="E266" s="25" t="s">
        <v>775</v>
      </c>
      <c r="F266" s="25" t="s">
        <v>866</v>
      </c>
      <c r="G266" s="65">
        <v>46204</v>
      </c>
      <c r="H266" s="25" t="s">
        <v>443</v>
      </c>
      <c r="I266" s="25" t="s">
        <v>777</v>
      </c>
      <c r="J266" s="26" t="s">
        <v>447</v>
      </c>
      <c r="K266" s="27" t="s">
        <v>784</v>
      </c>
      <c r="L266" s="28" t="s">
        <v>785</v>
      </c>
      <c r="M266" s="28" t="s">
        <v>781</v>
      </c>
      <c r="N266" s="25">
        <v>10</v>
      </c>
      <c r="O266" s="29">
        <v>11</v>
      </c>
      <c r="P266" s="29">
        <v>109.9</v>
      </c>
      <c r="Q266" s="25" t="s">
        <v>841</v>
      </c>
      <c r="R266" s="25"/>
      <c r="S266" s="26" t="s">
        <v>866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62"/>
        <v>98.910000000000011</v>
      </c>
      <c r="AF266" s="32">
        <f t="shared" si="63"/>
        <v>10.989999999999995</v>
      </c>
      <c r="AG266" s="30"/>
      <c r="AH266" s="33"/>
      <c r="AI266" s="34">
        <f t="shared" si="64"/>
        <v>0</v>
      </c>
      <c r="AJ266" s="35">
        <v>46277</v>
      </c>
      <c r="AK266" s="30">
        <v>10</v>
      </c>
      <c r="AL266" s="36">
        <f t="shared" si="65"/>
        <v>109.9</v>
      </c>
      <c r="AM266" s="35">
        <v>46279</v>
      </c>
      <c r="AN266" s="30">
        <v>10</v>
      </c>
      <c r="AO266" s="36">
        <f t="shared" si="66"/>
        <v>109.9</v>
      </c>
      <c r="AP266" s="35"/>
      <c r="AQ266" s="30"/>
      <c r="AR266" s="36">
        <f t="shared" si="67"/>
        <v>0</v>
      </c>
      <c r="AS266" s="27"/>
      <c r="AT266" s="37"/>
      <c r="AU266" s="30"/>
      <c r="AV266" s="36">
        <f t="shared" si="68"/>
        <v>0</v>
      </c>
      <c r="AW266" s="35"/>
      <c r="AX266" s="30"/>
      <c r="AY266" s="32">
        <f t="shared" si="69"/>
        <v>0</v>
      </c>
      <c r="AZ266" s="30" t="s">
        <v>440</v>
      </c>
      <c r="BA266" s="63"/>
      <c r="BB266" s="71"/>
      <c r="BC266" s="71"/>
      <c r="BD266" s="71"/>
    </row>
    <row r="267" spans="1:56" x14ac:dyDescent="0.25">
      <c r="A267" s="24">
        <f>IF(B267="","",SUBTOTAL(3,$B$4:B267))</f>
        <v>264</v>
      </c>
      <c r="B267" s="25" t="s">
        <v>439</v>
      </c>
      <c r="C267" s="25" t="str">
        <f t="shared" si="61"/>
        <v>Shipment 2 Outlet Stack</v>
      </c>
      <c r="D267" s="25" t="s">
        <v>441</v>
      </c>
      <c r="E267" s="25" t="s">
        <v>775</v>
      </c>
      <c r="F267" s="25" t="s">
        <v>866</v>
      </c>
      <c r="G267" s="65">
        <v>46204</v>
      </c>
      <c r="H267" s="25" t="s">
        <v>443</v>
      </c>
      <c r="I267" s="25" t="s">
        <v>777</v>
      </c>
      <c r="J267" s="26" t="s">
        <v>447</v>
      </c>
      <c r="K267" s="27" t="s">
        <v>786</v>
      </c>
      <c r="L267" s="28" t="s">
        <v>787</v>
      </c>
      <c r="M267" s="28" t="s">
        <v>781</v>
      </c>
      <c r="N267" s="25">
        <v>25</v>
      </c>
      <c r="O267" s="29">
        <v>76.900000000000006</v>
      </c>
      <c r="P267" s="29">
        <v>1923.2</v>
      </c>
      <c r="Q267" s="25" t="s">
        <v>842</v>
      </c>
      <c r="R267" s="25"/>
      <c r="S267" s="26" t="s">
        <v>866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62"/>
        <v>1730.88</v>
      </c>
      <c r="AF267" s="32">
        <f t="shared" si="63"/>
        <v>192.31999999999994</v>
      </c>
      <c r="AG267" s="30"/>
      <c r="AH267" s="33"/>
      <c r="AI267" s="34">
        <f t="shared" si="64"/>
        <v>0</v>
      </c>
      <c r="AJ267" s="35">
        <v>46277</v>
      </c>
      <c r="AK267" s="30">
        <v>25</v>
      </c>
      <c r="AL267" s="36">
        <f t="shared" si="65"/>
        <v>1923.2</v>
      </c>
      <c r="AM267" s="35">
        <v>46279</v>
      </c>
      <c r="AN267" s="30">
        <v>25</v>
      </c>
      <c r="AO267" s="36">
        <f t="shared" si="66"/>
        <v>1923.2</v>
      </c>
      <c r="AP267" s="35"/>
      <c r="AQ267" s="30"/>
      <c r="AR267" s="36">
        <f t="shared" si="67"/>
        <v>0</v>
      </c>
      <c r="AS267" s="27"/>
      <c r="AT267" s="37"/>
      <c r="AU267" s="30"/>
      <c r="AV267" s="36">
        <f t="shared" si="68"/>
        <v>0</v>
      </c>
      <c r="AW267" s="35"/>
      <c r="AX267" s="30"/>
      <c r="AY267" s="32">
        <f t="shared" si="69"/>
        <v>0</v>
      </c>
      <c r="AZ267" s="30" t="s">
        <v>440</v>
      </c>
      <c r="BA267" s="63"/>
      <c r="BB267" s="71"/>
      <c r="BC267" s="71"/>
      <c r="BD267" s="71"/>
    </row>
    <row r="268" spans="1:56" x14ac:dyDescent="0.25">
      <c r="A268" s="24">
        <f>IF(B268="","",SUBTOTAL(3,$B$4:B268))</f>
        <v>265</v>
      </c>
      <c r="B268" s="25" t="s">
        <v>439</v>
      </c>
      <c r="C268" s="25" t="str">
        <f t="shared" si="61"/>
        <v>Shipment 2 Outlet Stack</v>
      </c>
      <c r="D268" s="25" t="s">
        <v>441</v>
      </c>
      <c r="E268" s="25" t="s">
        <v>775</v>
      </c>
      <c r="F268" s="25" t="s">
        <v>866</v>
      </c>
      <c r="G268" s="65">
        <v>46204</v>
      </c>
      <c r="H268" s="25" t="s">
        <v>443</v>
      </c>
      <c r="I268" s="25" t="s">
        <v>777</v>
      </c>
      <c r="J268" s="26" t="s">
        <v>447</v>
      </c>
      <c r="K268" s="27" t="s">
        <v>788</v>
      </c>
      <c r="L268" s="28" t="s">
        <v>789</v>
      </c>
      <c r="M268" s="28" t="s">
        <v>781</v>
      </c>
      <c r="N268" s="25">
        <v>10</v>
      </c>
      <c r="O268" s="29">
        <v>38.9</v>
      </c>
      <c r="P268" s="29">
        <v>388.6</v>
      </c>
      <c r="Q268" s="25" t="s">
        <v>843</v>
      </c>
      <c r="R268" s="25"/>
      <c r="S268" s="26" t="s">
        <v>866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62"/>
        <v>349.74</v>
      </c>
      <c r="AF268" s="32">
        <f t="shared" si="63"/>
        <v>38.860000000000014</v>
      </c>
      <c r="AG268" s="30"/>
      <c r="AH268" s="33"/>
      <c r="AI268" s="34">
        <f t="shared" si="64"/>
        <v>0</v>
      </c>
      <c r="AJ268" s="35">
        <v>46277</v>
      </c>
      <c r="AK268" s="30">
        <v>10</v>
      </c>
      <c r="AL268" s="36">
        <f t="shared" si="65"/>
        <v>388.6</v>
      </c>
      <c r="AM268" s="35">
        <v>46279</v>
      </c>
      <c r="AN268" s="30">
        <v>10</v>
      </c>
      <c r="AO268" s="36">
        <f t="shared" si="66"/>
        <v>388.6</v>
      </c>
      <c r="AP268" s="35"/>
      <c r="AQ268" s="30"/>
      <c r="AR268" s="36">
        <f t="shared" si="67"/>
        <v>0</v>
      </c>
      <c r="AS268" s="27"/>
      <c r="AT268" s="37"/>
      <c r="AU268" s="30"/>
      <c r="AV268" s="36">
        <f t="shared" si="68"/>
        <v>0</v>
      </c>
      <c r="AW268" s="35"/>
      <c r="AX268" s="30"/>
      <c r="AY268" s="32">
        <f t="shared" si="69"/>
        <v>0</v>
      </c>
      <c r="AZ268" s="30" t="s">
        <v>440</v>
      </c>
      <c r="BA268" s="63"/>
      <c r="BB268" s="71"/>
      <c r="BC268" s="71"/>
      <c r="BD268" s="71"/>
    </row>
    <row r="269" spans="1:56" x14ac:dyDescent="0.25">
      <c r="A269" s="24">
        <f>IF(B269="","",SUBTOTAL(3,$B$4:B269))</f>
        <v>266</v>
      </c>
      <c r="B269" s="25" t="s">
        <v>439</v>
      </c>
      <c r="C269" s="25" t="str">
        <f t="shared" si="61"/>
        <v>Shipment 2 Outlet Stack</v>
      </c>
      <c r="D269" s="25" t="s">
        <v>441</v>
      </c>
      <c r="E269" s="25" t="s">
        <v>775</v>
      </c>
      <c r="F269" s="25" t="s">
        <v>866</v>
      </c>
      <c r="G269" s="65">
        <v>46204</v>
      </c>
      <c r="H269" s="25" t="s">
        <v>443</v>
      </c>
      <c r="I269" s="25" t="s">
        <v>777</v>
      </c>
      <c r="J269" s="26" t="s">
        <v>447</v>
      </c>
      <c r="K269" s="27" t="s">
        <v>790</v>
      </c>
      <c r="L269" s="28" t="s">
        <v>791</v>
      </c>
      <c r="M269" s="28" t="s">
        <v>781</v>
      </c>
      <c r="N269" s="25">
        <v>3</v>
      </c>
      <c r="O269" s="29">
        <v>11.8</v>
      </c>
      <c r="P269" s="29">
        <v>35.4</v>
      </c>
      <c r="Q269" s="25" t="s">
        <v>844</v>
      </c>
      <c r="R269" s="25"/>
      <c r="S269" s="26" t="s">
        <v>866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ref="AE269:AE292" si="70">+AL269*0.5+AO269*0.4+AV269*0.1</f>
        <v>31.86</v>
      </c>
      <c r="AF269" s="32">
        <f t="shared" ref="AF269:AF292" si="71">+P269-AE269</f>
        <v>3.5399999999999991</v>
      </c>
      <c r="AG269" s="30"/>
      <c r="AH269" s="33"/>
      <c r="AI269" s="34">
        <f t="shared" ref="AI269:AI292" si="72">+AH269*P269</f>
        <v>0</v>
      </c>
      <c r="AJ269" s="35">
        <v>46277</v>
      </c>
      <c r="AK269" s="30">
        <v>3</v>
      </c>
      <c r="AL269" s="36">
        <f t="shared" ref="AL269:AL290" si="73">IFERROR(AK269*$P269/$N269,0)</f>
        <v>35.4</v>
      </c>
      <c r="AM269" s="35">
        <v>46279</v>
      </c>
      <c r="AN269" s="30">
        <v>3</v>
      </c>
      <c r="AO269" s="36">
        <f t="shared" ref="AO269:AO292" si="74">IFERROR(AN269*$P269/$N269,0)</f>
        <v>35.4</v>
      </c>
      <c r="AP269" s="35"/>
      <c r="AQ269" s="30"/>
      <c r="AR269" s="36">
        <f t="shared" ref="AR269:AR292" si="75">IFERROR(AQ269*$P269/$N269,0)</f>
        <v>0</v>
      </c>
      <c r="AS269" s="27"/>
      <c r="AT269" s="37"/>
      <c r="AU269" s="30"/>
      <c r="AV269" s="36">
        <f t="shared" ref="AV269:AV292" si="76">IFERROR(AU269*$P269/$N269,0)</f>
        <v>0</v>
      </c>
      <c r="AW269" s="35"/>
      <c r="AX269" s="30"/>
      <c r="AY269" s="32">
        <f t="shared" ref="AY269:AY292" si="77">IFERROR(AX269*$P269/$N269,0)</f>
        <v>0</v>
      </c>
      <c r="AZ269" s="30" t="s">
        <v>440</v>
      </c>
      <c r="BA269" s="63"/>
      <c r="BB269" s="71"/>
      <c r="BC269" s="71"/>
      <c r="BD269" s="71"/>
    </row>
    <row r="270" spans="1:56" x14ac:dyDescent="0.25">
      <c r="A270" s="24">
        <f>IF(B270="","",SUBTOTAL(3,$B$4:B270))</f>
        <v>267</v>
      </c>
      <c r="B270" s="25" t="s">
        <v>439</v>
      </c>
      <c r="C270" s="25" t="str">
        <f t="shared" si="61"/>
        <v>Shipment 2 Outlet Stack</v>
      </c>
      <c r="D270" s="25" t="s">
        <v>441</v>
      </c>
      <c r="E270" s="25" t="s">
        <v>775</v>
      </c>
      <c r="F270" s="25" t="s">
        <v>866</v>
      </c>
      <c r="G270" s="65">
        <v>46204</v>
      </c>
      <c r="H270" s="25" t="s">
        <v>443</v>
      </c>
      <c r="I270" s="25" t="s">
        <v>777</v>
      </c>
      <c r="J270" s="26" t="s">
        <v>447</v>
      </c>
      <c r="K270" s="27" t="s">
        <v>792</v>
      </c>
      <c r="L270" s="28" t="s">
        <v>793</v>
      </c>
      <c r="M270" s="28" t="s">
        <v>781</v>
      </c>
      <c r="N270" s="25">
        <v>1</v>
      </c>
      <c r="O270" s="29">
        <v>57.3</v>
      </c>
      <c r="P270" s="29">
        <v>57.3</v>
      </c>
      <c r="Q270" s="25" t="s">
        <v>845</v>
      </c>
      <c r="R270" s="25"/>
      <c r="S270" s="26" t="s">
        <v>866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0"/>
        <v>51.57</v>
      </c>
      <c r="AF270" s="32">
        <f t="shared" si="71"/>
        <v>5.7299999999999969</v>
      </c>
      <c r="AG270" s="30"/>
      <c r="AH270" s="33"/>
      <c r="AI270" s="34">
        <f t="shared" si="72"/>
        <v>0</v>
      </c>
      <c r="AJ270" s="35">
        <v>46277</v>
      </c>
      <c r="AK270" s="30">
        <v>1</v>
      </c>
      <c r="AL270" s="36">
        <f t="shared" si="73"/>
        <v>57.3</v>
      </c>
      <c r="AM270" s="35">
        <v>46279</v>
      </c>
      <c r="AN270" s="30">
        <v>1</v>
      </c>
      <c r="AO270" s="36">
        <f t="shared" si="74"/>
        <v>57.3</v>
      </c>
      <c r="AP270" s="35"/>
      <c r="AQ270" s="30"/>
      <c r="AR270" s="36">
        <f t="shared" si="75"/>
        <v>0</v>
      </c>
      <c r="AS270" s="27"/>
      <c r="AT270" s="37"/>
      <c r="AU270" s="30"/>
      <c r="AV270" s="36">
        <f t="shared" si="76"/>
        <v>0</v>
      </c>
      <c r="AW270" s="35"/>
      <c r="AX270" s="30"/>
      <c r="AY270" s="32">
        <f t="shared" si="77"/>
        <v>0</v>
      </c>
      <c r="AZ270" s="30" t="s">
        <v>440</v>
      </c>
      <c r="BA270" s="63"/>
      <c r="BB270" s="71"/>
      <c r="BC270" s="71"/>
      <c r="BD270" s="71"/>
    </row>
    <row r="271" spans="1:56" x14ac:dyDescent="0.25">
      <c r="A271" s="24">
        <f>IF(B271="","",SUBTOTAL(3,$B$4:B271))</f>
        <v>268</v>
      </c>
      <c r="B271" s="25" t="s">
        <v>439</v>
      </c>
      <c r="C271" s="25" t="str">
        <f t="shared" si="61"/>
        <v>Shipment 2 Outlet Stack</v>
      </c>
      <c r="D271" s="25" t="s">
        <v>441</v>
      </c>
      <c r="E271" s="25" t="s">
        <v>775</v>
      </c>
      <c r="F271" s="25" t="s">
        <v>866</v>
      </c>
      <c r="G271" s="65">
        <v>46204</v>
      </c>
      <c r="H271" s="25" t="s">
        <v>443</v>
      </c>
      <c r="I271" s="25" t="s">
        <v>777</v>
      </c>
      <c r="J271" s="26" t="s">
        <v>447</v>
      </c>
      <c r="K271" s="27" t="s">
        <v>794</v>
      </c>
      <c r="L271" s="28" t="s">
        <v>795</v>
      </c>
      <c r="M271" s="28" t="s">
        <v>781</v>
      </c>
      <c r="N271" s="25">
        <v>8</v>
      </c>
      <c r="O271" s="29">
        <v>50.2</v>
      </c>
      <c r="P271" s="29">
        <v>401.9</v>
      </c>
      <c r="Q271" s="25" t="s">
        <v>846</v>
      </c>
      <c r="R271" s="25"/>
      <c r="S271" s="26" t="s">
        <v>866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0"/>
        <v>361.71</v>
      </c>
      <c r="AF271" s="32">
        <f t="shared" si="71"/>
        <v>40.19</v>
      </c>
      <c r="AG271" s="30"/>
      <c r="AH271" s="33"/>
      <c r="AI271" s="34">
        <f t="shared" si="72"/>
        <v>0</v>
      </c>
      <c r="AJ271" s="35">
        <v>46277</v>
      </c>
      <c r="AK271" s="30">
        <v>8</v>
      </c>
      <c r="AL271" s="36">
        <f t="shared" si="73"/>
        <v>401.9</v>
      </c>
      <c r="AM271" s="35">
        <v>46279</v>
      </c>
      <c r="AN271" s="30">
        <v>8</v>
      </c>
      <c r="AO271" s="36">
        <f t="shared" si="74"/>
        <v>401.9</v>
      </c>
      <c r="AP271" s="35"/>
      <c r="AQ271" s="30"/>
      <c r="AR271" s="36">
        <f t="shared" si="75"/>
        <v>0</v>
      </c>
      <c r="AS271" s="27"/>
      <c r="AT271" s="37"/>
      <c r="AU271" s="30"/>
      <c r="AV271" s="36">
        <f t="shared" si="76"/>
        <v>0</v>
      </c>
      <c r="AW271" s="35"/>
      <c r="AX271" s="30"/>
      <c r="AY271" s="32">
        <f t="shared" si="77"/>
        <v>0</v>
      </c>
      <c r="AZ271" s="30" t="s">
        <v>440</v>
      </c>
      <c r="BA271" s="63"/>
      <c r="BB271" s="71"/>
      <c r="BC271" s="71"/>
      <c r="BD271" s="71"/>
    </row>
    <row r="272" spans="1:56" x14ac:dyDescent="0.25">
      <c r="A272" s="24">
        <f>IF(B272="","",SUBTOTAL(3,$B$4:B272))</f>
        <v>269</v>
      </c>
      <c r="B272" s="25" t="s">
        <v>439</v>
      </c>
      <c r="C272" s="25" t="str">
        <f t="shared" si="61"/>
        <v>Shipment 2 Outlet Stack</v>
      </c>
      <c r="D272" s="25" t="s">
        <v>441</v>
      </c>
      <c r="E272" s="25" t="s">
        <v>775</v>
      </c>
      <c r="F272" s="25" t="s">
        <v>866</v>
      </c>
      <c r="G272" s="65">
        <v>46204</v>
      </c>
      <c r="H272" s="25" t="s">
        <v>443</v>
      </c>
      <c r="I272" s="25" t="s">
        <v>777</v>
      </c>
      <c r="J272" s="26" t="s">
        <v>447</v>
      </c>
      <c r="K272" s="27" t="s">
        <v>796</v>
      </c>
      <c r="L272" s="28" t="s">
        <v>797</v>
      </c>
      <c r="M272" s="28" t="s">
        <v>781</v>
      </c>
      <c r="N272" s="25">
        <v>1</v>
      </c>
      <c r="O272" s="29">
        <v>34.4</v>
      </c>
      <c r="P272" s="29">
        <v>34.4</v>
      </c>
      <c r="Q272" s="25" t="s">
        <v>847</v>
      </c>
      <c r="R272" s="25"/>
      <c r="S272" s="26" t="s">
        <v>866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0"/>
        <v>30.96</v>
      </c>
      <c r="AF272" s="32">
        <f t="shared" si="71"/>
        <v>3.4399999999999977</v>
      </c>
      <c r="AG272" s="30"/>
      <c r="AH272" s="33"/>
      <c r="AI272" s="34">
        <f t="shared" si="72"/>
        <v>0</v>
      </c>
      <c r="AJ272" s="35">
        <v>46277</v>
      </c>
      <c r="AK272" s="30">
        <v>1</v>
      </c>
      <c r="AL272" s="36">
        <f t="shared" si="73"/>
        <v>34.4</v>
      </c>
      <c r="AM272" s="35">
        <v>46279</v>
      </c>
      <c r="AN272" s="30">
        <v>1</v>
      </c>
      <c r="AO272" s="36">
        <f t="shared" si="74"/>
        <v>34.4</v>
      </c>
      <c r="AP272" s="35"/>
      <c r="AQ272" s="30"/>
      <c r="AR272" s="36">
        <f t="shared" si="75"/>
        <v>0</v>
      </c>
      <c r="AS272" s="27"/>
      <c r="AT272" s="37"/>
      <c r="AU272" s="30"/>
      <c r="AV272" s="36">
        <f t="shared" si="76"/>
        <v>0</v>
      </c>
      <c r="AW272" s="35"/>
      <c r="AX272" s="30"/>
      <c r="AY272" s="32">
        <f t="shared" si="77"/>
        <v>0</v>
      </c>
      <c r="AZ272" s="30" t="s">
        <v>440</v>
      </c>
      <c r="BA272" s="63"/>
      <c r="BB272" s="71"/>
      <c r="BC272" s="71"/>
      <c r="BD272" s="71"/>
    </row>
    <row r="273" spans="1:56" x14ac:dyDescent="0.25">
      <c r="A273" s="24">
        <f>IF(B273="","",SUBTOTAL(3,$B$4:B273))</f>
        <v>270</v>
      </c>
      <c r="B273" s="25" t="s">
        <v>439</v>
      </c>
      <c r="C273" s="25" t="str">
        <f t="shared" si="61"/>
        <v>Shipment 2 Outlet Stack</v>
      </c>
      <c r="D273" s="25" t="s">
        <v>441</v>
      </c>
      <c r="E273" s="25" t="s">
        <v>775</v>
      </c>
      <c r="F273" s="25" t="s">
        <v>866</v>
      </c>
      <c r="G273" s="65">
        <v>46204</v>
      </c>
      <c r="H273" s="25" t="s">
        <v>443</v>
      </c>
      <c r="I273" s="25" t="s">
        <v>777</v>
      </c>
      <c r="J273" s="26" t="s">
        <v>447</v>
      </c>
      <c r="K273" s="27" t="s">
        <v>798</v>
      </c>
      <c r="L273" s="28" t="s">
        <v>799</v>
      </c>
      <c r="M273" s="28" t="s">
        <v>781</v>
      </c>
      <c r="N273" s="25">
        <v>1</v>
      </c>
      <c r="O273" s="29">
        <v>28.3</v>
      </c>
      <c r="P273" s="29">
        <v>28.3</v>
      </c>
      <c r="Q273" s="25" t="s">
        <v>848</v>
      </c>
      <c r="R273" s="25"/>
      <c r="S273" s="26" t="s">
        <v>866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0"/>
        <v>25.47</v>
      </c>
      <c r="AF273" s="32">
        <f t="shared" si="71"/>
        <v>2.8300000000000018</v>
      </c>
      <c r="AG273" s="30"/>
      <c r="AH273" s="33"/>
      <c r="AI273" s="34">
        <f t="shared" si="72"/>
        <v>0</v>
      </c>
      <c r="AJ273" s="35">
        <v>46277</v>
      </c>
      <c r="AK273" s="30">
        <v>1</v>
      </c>
      <c r="AL273" s="36">
        <f t="shared" si="73"/>
        <v>28.3</v>
      </c>
      <c r="AM273" s="35">
        <v>46279</v>
      </c>
      <c r="AN273" s="30">
        <v>1</v>
      </c>
      <c r="AO273" s="36">
        <f t="shared" si="74"/>
        <v>28.3</v>
      </c>
      <c r="AP273" s="35"/>
      <c r="AQ273" s="30"/>
      <c r="AR273" s="36">
        <f t="shared" si="75"/>
        <v>0</v>
      </c>
      <c r="AS273" s="27"/>
      <c r="AT273" s="37"/>
      <c r="AU273" s="30"/>
      <c r="AV273" s="36">
        <f t="shared" si="76"/>
        <v>0</v>
      </c>
      <c r="AW273" s="35"/>
      <c r="AX273" s="30"/>
      <c r="AY273" s="32">
        <f t="shared" si="77"/>
        <v>0</v>
      </c>
      <c r="AZ273" s="30" t="s">
        <v>440</v>
      </c>
      <c r="BA273" s="63"/>
      <c r="BB273" s="71"/>
      <c r="BC273" s="71"/>
      <c r="BD273" s="71"/>
    </row>
    <row r="274" spans="1:56" x14ac:dyDescent="0.25">
      <c r="A274" s="24">
        <f>IF(B274="","",SUBTOTAL(3,$B$4:B274))</f>
        <v>271</v>
      </c>
      <c r="B274" s="25" t="s">
        <v>439</v>
      </c>
      <c r="C274" s="25" t="str">
        <f t="shared" si="61"/>
        <v>Shipment 2 Outlet Stack</v>
      </c>
      <c r="D274" s="25" t="s">
        <v>441</v>
      </c>
      <c r="E274" s="25" t="s">
        <v>775</v>
      </c>
      <c r="F274" s="25" t="s">
        <v>866</v>
      </c>
      <c r="G274" s="65">
        <v>46204</v>
      </c>
      <c r="H274" s="25" t="s">
        <v>443</v>
      </c>
      <c r="I274" s="25" t="s">
        <v>777</v>
      </c>
      <c r="J274" s="26" t="s">
        <v>447</v>
      </c>
      <c r="K274" s="27" t="s">
        <v>800</v>
      </c>
      <c r="L274" s="28" t="s">
        <v>801</v>
      </c>
      <c r="M274" s="28" t="s">
        <v>781</v>
      </c>
      <c r="N274" s="25">
        <v>2</v>
      </c>
      <c r="O274" s="29">
        <v>14.2</v>
      </c>
      <c r="P274" s="29">
        <v>28.4</v>
      </c>
      <c r="Q274" s="25" t="s">
        <v>849</v>
      </c>
      <c r="R274" s="25"/>
      <c r="S274" s="26" t="s">
        <v>866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0"/>
        <v>25.56</v>
      </c>
      <c r="AF274" s="32">
        <f t="shared" si="71"/>
        <v>2.84</v>
      </c>
      <c r="AG274" s="30"/>
      <c r="AH274" s="33"/>
      <c r="AI274" s="34">
        <f t="shared" si="72"/>
        <v>0</v>
      </c>
      <c r="AJ274" s="35">
        <v>46277</v>
      </c>
      <c r="AK274" s="30">
        <v>2</v>
      </c>
      <c r="AL274" s="36">
        <f t="shared" si="73"/>
        <v>28.4</v>
      </c>
      <c r="AM274" s="35">
        <v>46279</v>
      </c>
      <c r="AN274" s="30">
        <v>2</v>
      </c>
      <c r="AO274" s="36">
        <f t="shared" si="74"/>
        <v>28.4</v>
      </c>
      <c r="AP274" s="35"/>
      <c r="AQ274" s="30"/>
      <c r="AR274" s="36">
        <f t="shared" si="75"/>
        <v>0</v>
      </c>
      <c r="AS274" s="27"/>
      <c r="AT274" s="37"/>
      <c r="AU274" s="30"/>
      <c r="AV274" s="36">
        <f t="shared" si="76"/>
        <v>0</v>
      </c>
      <c r="AW274" s="35"/>
      <c r="AX274" s="30"/>
      <c r="AY274" s="32">
        <f t="shared" si="77"/>
        <v>0</v>
      </c>
      <c r="AZ274" s="30" t="s">
        <v>440</v>
      </c>
      <c r="BA274" s="63"/>
      <c r="BB274" s="71"/>
      <c r="BC274" s="71"/>
      <c r="BD274" s="71"/>
    </row>
    <row r="275" spans="1:56" x14ac:dyDescent="0.25">
      <c r="A275" s="24">
        <f>IF(B275="","",SUBTOTAL(3,$B$4:B275))</f>
        <v>272</v>
      </c>
      <c r="B275" s="25" t="s">
        <v>439</v>
      </c>
      <c r="C275" s="25" t="str">
        <f t="shared" si="61"/>
        <v>Shipment 2 Outlet Stack</v>
      </c>
      <c r="D275" s="25" t="s">
        <v>441</v>
      </c>
      <c r="E275" s="25" t="s">
        <v>775</v>
      </c>
      <c r="F275" s="25" t="s">
        <v>866</v>
      </c>
      <c r="G275" s="65">
        <v>46204</v>
      </c>
      <c r="H275" s="25" t="s">
        <v>443</v>
      </c>
      <c r="I275" s="25" t="s">
        <v>777</v>
      </c>
      <c r="J275" s="26" t="s">
        <v>447</v>
      </c>
      <c r="K275" s="27" t="s">
        <v>802</v>
      </c>
      <c r="L275" s="28" t="s">
        <v>803</v>
      </c>
      <c r="M275" s="28" t="s">
        <v>781</v>
      </c>
      <c r="N275" s="25">
        <v>1</v>
      </c>
      <c r="O275" s="29">
        <v>22.1</v>
      </c>
      <c r="P275" s="29">
        <v>22.1</v>
      </c>
      <c r="Q275" s="25" t="s">
        <v>850</v>
      </c>
      <c r="R275" s="25"/>
      <c r="S275" s="26" t="s">
        <v>866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0"/>
        <v>19.89</v>
      </c>
      <c r="AF275" s="32">
        <f t="shared" si="71"/>
        <v>2.2100000000000009</v>
      </c>
      <c r="AG275" s="30"/>
      <c r="AH275" s="33"/>
      <c r="AI275" s="34">
        <f t="shared" si="72"/>
        <v>0</v>
      </c>
      <c r="AJ275" s="35">
        <v>46277</v>
      </c>
      <c r="AK275" s="30">
        <v>1</v>
      </c>
      <c r="AL275" s="36">
        <f t="shared" si="73"/>
        <v>22.1</v>
      </c>
      <c r="AM275" s="35">
        <v>46279</v>
      </c>
      <c r="AN275" s="30">
        <v>1</v>
      </c>
      <c r="AO275" s="36">
        <f t="shared" si="74"/>
        <v>22.1</v>
      </c>
      <c r="AP275" s="35"/>
      <c r="AQ275" s="30"/>
      <c r="AR275" s="36">
        <f t="shared" si="75"/>
        <v>0</v>
      </c>
      <c r="AS275" s="27"/>
      <c r="AT275" s="37"/>
      <c r="AU275" s="30"/>
      <c r="AV275" s="36">
        <f t="shared" si="76"/>
        <v>0</v>
      </c>
      <c r="AW275" s="35"/>
      <c r="AX275" s="30"/>
      <c r="AY275" s="32">
        <f t="shared" si="77"/>
        <v>0</v>
      </c>
      <c r="AZ275" s="30" t="s">
        <v>440</v>
      </c>
      <c r="BA275" s="63"/>
      <c r="BB275" s="71"/>
      <c r="BC275" s="71"/>
      <c r="BD275" s="71"/>
    </row>
    <row r="276" spans="1:56" x14ac:dyDescent="0.25">
      <c r="A276" s="24">
        <f>IF(B276="","",SUBTOTAL(3,$B$4:B276))</f>
        <v>273</v>
      </c>
      <c r="B276" s="25" t="s">
        <v>439</v>
      </c>
      <c r="C276" s="25" t="str">
        <f t="shared" si="61"/>
        <v>Shipment 2 Outlet Stack</v>
      </c>
      <c r="D276" s="25" t="s">
        <v>441</v>
      </c>
      <c r="E276" s="25" t="s">
        <v>775</v>
      </c>
      <c r="F276" s="25" t="s">
        <v>866</v>
      </c>
      <c r="G276" s="65">
        <v>46204</v>
      </c>
      <c r="H276" s="25" t="s">
        <v>443</v>
      </c>
      <c r="I276" s="25" t="s">
        <v>777</v>
      </c>
      <c r="J276" s="26" t="s">
        <v>447</v>
      </c>
      <c r="K276" s="27" t="s">
        <v>804</v>
      </c>
      <c r="L276" s="28" t="s">
        <v>805</v>
      </c>
      <c r="M276" s="28" t="s">
        <v>781</v>
      </c>
      <c r="N276" s="25">
        <v>3</v>
      </c>
      <c r="O276" s="29">
        <v>17</v>
      </c>
      <c r="P276" s="29">
        <v>51.1</v>
      </c>
      <c r="Q276" s="25" t="s">
        <v>851</v>
      </c>
      <c r="R276" s="25"/>
      <c r="S276" s="26" t="s">
        <v>866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0"/>
        <v>45.99</v>
      </c>
      <c r="AF276" s="32">
        <f t="shared" si="71"/>
        <v>5.1099999999999994</v>
      </c>
      <c r="AG276" s="30"/>
      <c r="AH276" s="33"/>
      <c r="AI276" s="34">
        <f t="shared" si="72"/>
        <v>0</v>
      </c>
      <c r="AJ276" s="35">
        <v>46277</v>
      </c>
      <c r="AK276" s="30">
        <v>3</v>
      </c>
      <c r="AL276" s="36">
        <f t="shared" si="73"/>
        <v>51.1</v>
      </c>
      <c r="AM276" s="35">
        <v>46279</v>
      </c>
      <c r="AN276" s="30">
        <v>3</v>
      </c>
      <c r="AO276" s="36">
        <f t="shared" si="74"/>
        <v>51.1</v>
      </c>
      <c r="AP276" s="35"/>
      <c r="AQ276" s="30"/>
      <c r="AR276" s="36">
        <f t="shared" si="75"/>
        <v>0</v>
      </c>
      <c r="AS276" s="27"/>
      <c r="AT276" s="37"/>
      <c r="AU276" s="30"/>
      <c r="AV276" s="36">
        <f t="shared" si="76"/>
        <v>0</v>
      </c>
      <c r="AW276" s="35"/>
      <c r="AX276" s="30"/>
      <c r="AY276" s="32">
        <f t="shared" si="77"/>
        <v>0</v>
      </c>
      <c r="AZ276" s="30" t="s">
        <v>440</v>
      </c>
      <c r="BA276" s="63"/>
      <c r="BB276" s="71"/>
      <c r="BC276" s="71"/>
      <c r="BD276" s="71"/>
    </row>
    <row r="277" spans="1:56" x14ac:dyDescent="0.25">
      <c r="A277" s="24">
        <f>IF(B277="","",SUBTOTAL(3,$B$4:B277))</f>
        <v>274</v>
      </c>
      <c r="B277" s="25" t="s">
        <v>439</v>
      </c>
      <c r="C277" s="25" t="str">
        <f t="shared" si="61"/>
        <v>Shipment 2 Outlet Stack</v>
      </c>
      <c r="D277" s="25" t="s">
        <v>441</v>
      </c>
      <c r="E277" s="25" t="s">
        <v>775</v>
      </c>
      <c r="F277" s="25" t="s">
        <v>866</v>
      </c>
      <c r="G277" s="65">
        <v>46204</v>
      </c>
      <c r="H277" s="25" t="s">
        <v>443</v>
      </c>
      <c r="I277" s="25" t="s">
        <v>777</v>
      </c>
      <c r="J277" s="26" t="s">
        <v>447</v>
      </c>
      <c r="K277" s="27" t="s">
        <v>806</v>
      </c>
      <c r="L277" s="28" t="s">
        <v>807</v>
      </c>
      <c r="M277" s="28" t="s">
        <v>781</v>
      </c>
      <c r="N277" s="25">
        <v>1</v>
      </c>
      <c r="O277" s="29">
        <v>62.8</v>
      </c>
      <c r="P277" s="29">
        <v>62.8</v>
      </c>
      <c r="Q277" s="25" t="s">
        <v>852</v>
      </c>
      <c r="R277" s="25"/>
      <c r="S277" s="26" t="s">
        <v>866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0"/>
        <v>56.519999999999996</v>
      </c>
      <c r="AF277" s="32">
        <f t="shared" si="71"/>
        <v>6.2800000000000011</v>
      </c>
      <c r="AG277" s="30"/>
      <c r="AH277" s="33"/>
      <c r="AI277" s="34">
        <f t="shared" si="72"/>
        <v>0</v>
      </c>
      <c r="AJ277" s="35">
        <v>46277</v>
      </c>
      <c r="AK277" s="30">
        <v>1</v>
      </c>
      <c r="AL277" s="36">
        <f t="shared" si="73"/>
        <v>62.8</v>
      </c>
      <c r="AM277" s="35">
        <v>46279</v>
      </c>
      <c r="AN277" s="30">
        <v>1</v>
      </c>
      <c r="AO277" s="36">
        <f t="shared" si="74"/>
        <v>62.8</v>
      </c>
      <c r="AP277" s="35"/>
      <c r="AQ277" s="30"/>
      <c r="AR277" s="36">
        <f t="shared" si="75"/>
        <v>0</v>
      </c>
      <c r="AS277" s="27"/>
      <c r="AT277" s="37"/>
      <c r="AU277" s="30"/>
      <c r="AV277" s="36">
        <f t="shared" si="76"/>
        <v>0</v>
      </c>
      <c r="AW277" s="35"/>
      <c r="AX277" s="30"/>
      <c r="AY277" s="32">
        <f t="shared" si="77"/>
        <v>0</v>
      </c>
      <c r="AZ277" s="30" t="s">
        <v>440</v>
      </c>
      <c r="BA277" s="63"/>
      <c r="BB277" s="71"/>
      <c r="BC277" s="71"/>
      <c r="BD277" s="71"/>
    </row>
    <row r="278" spans="1:56" x14ac:dyDescent="0.25">
      <c r="A278" s="24">
        <f>IF(B278="","",SUBTOTAL(3,$B$4:B278))</f>
        <v>275</v>
      </c>
      <c r="B278" s="25" t="s">
        <v>439</v>
      </c>
      <c r="C278" s="25" t="str">
        <f t="shared" si="61"/>
        <v>Shipment 2 Outlet Stack</v>
      </c>
      <c r="D278" s="25" t="s">
        <v>441</v>
      </c>
      <c r="E278" s="25" t="s">
        <v>775</v>
      </c>
      <c r="F278" s="25" t="s">
        <v>866</v>
      </c>
      <c r="G278" s="65">
        <v>46204</v>
      </c>
      <c r="H278" s="25" t="s">
        <v>443</v>
      </c>
      <c r="I278" s="25" t="s">
        <v>777</v>
      </c>
      <c r="J278" s="26" t="s">
        <v>447</v>
      </c>
      <c r="K278" s="27" t="s">
        <v>808</v>
      </c>
      <c r="L278" s="28" t="s">
        <v>809</v>
      </c>
      <c r="M278" s="28" t="s">
        <v>781</v>
      </c>
      <c r="N278" s="25">
        <v>1</v>
      </c>
      <c r="O278" s="29">
        <v>56.1</v>
      </c>
      <c r="P278" s="29">
        <v>56.1</v>
      </c>
      <c r="Q278" s="25" t="s">
        <v>853</v>
      </c>
      <c r="R278" s="25"/>
      <c r="S278" s="26" t="s">
        <v>866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0"/>
        <v>50.49</v>
      </c>
      <c r="AF278" s="32">
        <f t="shared" si="71"/>
        <v>5.6099999999999994</v>
      </c>
      <c r="AG278" s="30"/>
      <c r="AH278" s="33"/>
      <c r="AI278" s="34">
        <f t="shared" si="72"/>
        <v>0</v>
      </c>
      <c r="AJ278" s="35">
        <v>46277</v>
      </c>
      <c r="AK278" s="30">
        <v>1</v>
      </c>
      <c r="AL278" s="36">
        <f t="shared" si="73"/>
        <v>56.1</v>
      </c>
      <c r="AM278" s="35">
        <v>46279</v>
      </c>
      <c r="AN278" s="30">
        <v>1</v>
      </c>
      <c r="AO278" s="36">
        <f t="shared" si="74"/>
        <v>56.1</v>
      </c>
      <c r="AP278" s="35"/>
      <c r="AQ278" s="30"/>
      <c r="AR278" s="36">
        <f t="shared" si="75"/>
        <v>0</v>
      </c>
      <c r="AS278" s="27"/>
      <c r="AT278" s="37"/>
      <c r="AU278" s="30"/>
      <c r="AV278" s="36">
        <f t="shared" si="76"/>
        <v>0</v>
      </c>
      <c r="AW278" s="35"/>
      <c r="AX278" s="30"/>
      <c r="AY278" s="32">
        <f t="shared" si="77"/>
        <v>0</v>
      </c>
      <c r="AZ278" s="30" t="s">
        <v>440</v>
      </c>
      <c r="BA278" s="63"/>
      <c r="BB278" s="71"/>
      <c r="BC278" s="71"/>
      <c r="BD278" s="71"/>
    </row>
    <row r="279" spans="1:56" x14ac:dyDescent="0.25">
      <c r="A279" s="24">
        <f>IF(B279="","",SUBTOTAL(3,$B$4:B279))</f>
        <v>276</v>
      </c>
      <c r="B279" s="25" t="s">
        <v>439</v>
      </c>
      <c r="C279" s="25" t="str">
        <f t="shared" si="61"/>
        <v>Shipment 2 Outlet Stack</v>
      </c>
      <c r="D279" s="25" t="s">
        <v>441</v>
      </c>
      <c r="E279" s="25" t="s">
        <v>775</v>
      </c>
      <c r="F279" s="25" t="s">
        <v>866</v>
      </c>
      <c r="G279" s="65">
        <v>46204</v>
      </c>
      <c r="H279" s="25" t="s">
        <v>443</v>
      </c>
      <c r="I279" s="25" t="s">
        <v>777</v>
      </c>
      <c r="J279" s="26" t="s">
        <v>447</v>
      </c>
      <c r="K279" s="27" t="s">
        <v>810</v>
      </c>
      <c r="L279" s="28" t="s">
        <v>811</v>
      </c>
      <c r="M279" s="28" t="s">
        <v>781</v>
      </c>
      <c r="N279" s="25">
        <v>1</v>
      </c>
      <c r="O279" s="29">
        <v>32.5</v>
      </c>
      <c r="P279" s="29">
        <v>32.5</v>
      </c>
      <c r="Q279" s="25" t="s">
        <v>854</v>
      </c>
      <c r="R279" s="25"/>
      <c r="S279" s="26" t="s">
        <v>866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0"/>
        <v>29.25</v>
      </c>
      <c r="AF279" s="32">
        <f t="shared" si="71"/>
        <v>3.25</v>
      </c>
      <c r="AG279" s="30"/>
      <c r="AH279" s="33"/>
      <c r="AI279" s="34">
        <f t="shared" si="72"/>
        <v>0</v>
      </c>
      <c r="AJ279" s="35">
        <v>46277</v>
      </c>
      <c r="AK279" s="30">
        <v>1</v>
      </c>
      <c r="AL279" s="36">
        <f t="shared" si="73"/>
        <v>32.5</v>
      </c>
      <c r="AM279" s="35">
        <v>46279</v>
      </c>
      <c r="AN279" s="30">
        <v>1</v>
      </c>
      <c r="AO279" s="36">
        <f t="shared" si="74"/>
        <v>32.5</v>
      </c>
      <c r="AP279" s="35"/>
      <c r="AQ279" s="30"/>
      <c r="AR279" s="36">
        <f t="shared" si="75"/>
        <v>0</v>
      </c>
      <c r="AS279" s="27"/>
      <c r="AT279" s="37"/>
      <c r="AU279" s="30"/>
      <c r="AV279" s="36">
        <f t="shared" si="76"/>
        <v>0</v>
      </c>
      <c r="AW279" s="35"/>
      <c r="AX279" s="30"/>
      <c r="AY279" s="32">
        <f t="shared" si="77"/>
        <v>0</v>
      </c>
      <c r="AZ279" s="30" t="s">
        <v>440</v>
      </c>
      <c r="BA279" s="63"/>
      <c r="BB279" s="71"/>
      <c r="BC279" s="71"/>
      <c r="BD279" s="71"/>
    </row>
    <row r="280" spans="1:56" x14ac:dyDescent="0.25">
      <c r="A280" s="24">
        <f>IF(B280="","",SUBTOTAL(3,$B$4:B280))</f>
        <v>277</v>
      </c>
      <c r="B280" s="25" t="s">
        <v>439</v>
      </c>
      <c r="C280" s="25" t="str">
        <f t="shared" si="61"/>
        <v>Shipment 2 Outlet Stack</v>
      </c>
      <c r="D280" s="25" t="s">
        <v>441</v>
      </c>
      <c r="E280" s="25" t="s">
        <v>775</v>
      </c>
      <c r="F280" s="25" t="s">
        <v>866</v>
      </c>
      <c r="G280" s="65">
        <v>46204</v>
      </c>
      <c r="H280" s="25" t="s">
        <v>443</v>
      </c>
      <c r="I280" s="25" t="s">
        <v>777</v>
      </c>
      <c r="J280" s="26" t="s">
        <v>447</v>
      </c>
      <c r="K280" s="27" t="s">
        <v>812</v>
      </c>
      <c r="L280" s="28" t="s">
        <v>813</v>
      </c>
      <c r="M280" s="28" t="s">
        <v>781</v>
      </c>
      <c r="N280" s="25">
        <v>4</v>
      </c>
      <c r="O280" s="29">
        <v>94.2</v>
      </c>
      <c r="P280" s="29">
        <v>376.8</v>
      </c>
      <c r="Q280" s="25" t="s">
        <v>855</v>
      </c>
      <c r="R280" s="25"/>
      <c r="S280" s="26" t="s">
        <v>866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0"/>
        <v>339.12</v>
      </c>
      <c r="AF280" s="32">
        <f t="shared" si="71"/>
        <v>37.680000000000007</v>
      </c>
      <c r="AG280" s="30"/>
      <c r="AH280" s="33"/>
      <c r="AI280" s="34">
        <f t="shared" si="72"/>
        <v>0</v>
      </c>
      <c r="AJ280" s="35">
        <v>46277</v>
      </c>
      <c r="AK280" s="30">
        <v>4</v>
      </c>
      <c r="AL280" s="36">
        <f t="shared" si="73"/>
        <v>376.8</v>
      </c>
      <c r="AM280" s="35">
        <v>46279</v>
      </c>
      <c r="AN280" s="30">
        <v>4</v>
      </c>
      <c r="AO280" s="36">
        <f t="shared" si="74"/>
        <v>376.8</v>
      </c>
      <c r="AP280" s="35"/>
      <c r="AQ280" s="30"/>
      <c r="AR280" s="36">
        <f t="shared" si="75"/>
        <v>0</v>
      </c>
      <c r="AS280" s="27"/>
      <c r="AT280" s="37"/>
      <c r="AU280" s="30"/>
      <c r="AV280" s="36">
        <f t="shared" si="76"/>
        <v>0</v>
      </c>
      <c r="AW280" s="35"/>
      <c r="AX280" s="30"/>
      <c r="AY280" s="32">
        <f t="shared" si="77"/>
        <v>0</v>
      </c>
      <c r="AZ280" s="30" t="s">
        <v>440</v>
      </c>
      <c r="BA280" s="63"/>
      <c r="BB280" s="71"/>
      <c r="BC280" s="71"/>
      <c r="BD280" s="71"/>
    </row>
    <row r="281" spans="1:56" x14ac:dyDescent="0.25">
      <c r="A281" s="24">
        <f>IF(B281="","",SUBTOTAL(3,$B$4:B281))</f>
        <v>278</v>
      </c>
      <c r="B281" s="25" t="s">
        <v>439</v>
      </c>
      <c r="C281" s="25" t="str">
        <f t="shared" si="61"/>
        <v>Shipment 2 Outlet Stack</v>
      </c>
      <c r="D281" s="25" t="s">
        <v>441</v>
      </c>
      <c r="E281" s="25" t="s">
        <v>775</v>
      </c>
      <c r="F281" s="25" t="s">
        <v>866</v>
      </c>
      <c r="G281" s="65">
        <v>46204</v>
      </c>
      <c r="H281" s="25" t="s">
        <v>443</v>
      </c>
      <c r="I281" s="25" t="s">
        <v>777</v>
      </c>
      <c r="J281" s="26" t="s">
        <v>447</v>
      </c>
      <c r="K281" s="27" t="s">
        <v>814</v>
      </c>
      <c r="L281" s="28" t="s">
        <v>815</v>
      </c>
      <c r="M281" s="28" t="s">
        <v>781</v>
      </c>
      <c r="N281" s="25">
        <v>2</v>
      </c>
      <c r="O281" s="29">
        <v>31</v>
      </c>
      <c r="P281" s="29">
        <v>61.9</v>
      </c>
      <c r="Q281" s="25" t="s">
        <v>856</v>
      </c>
      <c r="R281" s="25"/>
      <c r="S281" s="26" t="s">
        <v>866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0"/>
        <v>55.71</v>
      </c>
      <c r="AF281" s="32">
        <f t="shared" si="71"/>
        <v>6.1899999999999977</v>
      </c>
      <c r="AG281" s="30"/>
      <c r="AH281" s="33"/>
      <c r="AI281" s="34">
        <f t="shared" si="72"/>
        <v>0</v>
      </c>
      <c r="AJ281" s="35">
        <v>46277</v>
      </c>
      <c r="AK281" s="30">
        <v>2</v>
      </c>
      <c r="AL281" s="36">
        <f t="shared" si="73"/>
        <v>61.9</v>
      </c>
      <c r="AM281" s="35">
        <v>46279</v>
      </c>
      <c r="AN281" s="30">
        <v>2</v>
      </c>
      <c r="AO281" s="36">
        <f t="shared" si="74"/>
        <v>61.9</v>
      </c>
      <c r="AP281" s="35"/>
      <c r="AQ281" s="30"/>
      <c r="AR281" s="36">
        <f t="shared" si="75"/>
        <v>0</v>
      </c>
      <c r="AS281" s="27"/>
      <c r="AT281" s="37"/>
      <c r="AU281" s="30"/>
      <c r="AV281" s="36">
        <f t="shared" si="76"/>
        <v>0</v>
      </c>
      <c r="AW281" s="35"/>
      <c r="AX281" s="30"/>
      <c r="AY281" s="32">
        <f t="shared" si="77"/>
        <v>0</v>
      </c>
      <c r="AZ281" s="30" t="s">
        <v>440</v>
      </c>
      <c r="BA281" s="63"/>
      <c r="BB281" s="71"/>
      <c r="BC281" s="71"/>
      <c r="BD281" s="71"/>
    </row>
    <row r="282" spans="1:56" x14ac:dyDescent="0.25">
      <c r="A282" s="24">
        <f>IF(B282="","",SUBTOTAL(3,$B$4:B282))</f>
        <v>279</v>
      </c>
      <c r="B282" s="25" t="s">
        <v>439</v>
      </c>
      <c r="C282" s="25" t="str">
        <f t="shared" si="61"/>
        <v>Shipment 2 Outlet Stack</v>
      </c>
      <c r="D282" s="25" t="s">
        <v>441</v>
      </c>
      <c r="E282" s="25" t="s">
        <v>775</v>
      </c>
      <c r="F282" s="25" t="s">
        <v>866</v>
      </c>
      <c r="G282" s="65">
        <v>46204</v>
      </c>
      <c r="H282" s="25" t="s">
        <v>443</v>
      </c>
      <c r="I282" s="25" t="s">
        <v>777</v>
      </c>
      <c r="J282" s="26" t="s">
        <v>447</v>
      </c>
      <c r="K282" s="27" t="s">
        <v>816</v>
      </c>
      <c r="L282" s="28" t="s">
        <v>817</v>
      </c>
      <c r="M282" s="28" t="s">
        <v>781</v>
      </c>
      <c r="N282" s="25">
        <v>2</v>
      </c>
      <c r="O282" s="29">
        <v>53.8</v>
      </c>
      <c r="P282" s="29">
        <v>107.5</v>
      </c>
      <c r="Q282" s="25" t="s">
        <v>857</v>
      </c>
      <c r="R282" s="25"/>
      <c r="S282" s="26" t="s">
        <v>866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0"/>
        <v>96.75</v>
      </c>
      <c r="AF282" s="32">
        <f t="shared" si="71"/>
        <v>10.75</v>
      </c>
      <c r="AG282" s="30"/>
      <c r="AH282" s="33"/>
      <c r="AI282" s="34">
        <f t="shared" si="72"/>
        <v>0</v>
      </c>
      <c r="AJ282" s="35">
        <v>46277</v>
      </c>
      <c r="AK282" s="30">
        <v>2</v>
      </c>
      <c r="AL282" s="36">
        <f t="shared" si="73"/>
        <v>107.5</v>
      </c>
      <c r="AM282" s="35">
        <v>46279</v>
      </c>
      <c r="AN282" s="30">
        <v>2</v>
      </c>
      <c r="AO282" s="36">
        <f t="shared" si="74"/>
        <v>107.5</v>
      </c>
      <c r="AP282" s="35"/>
      <c r="AQ282" s="30"/>
      <c r="AR282" s="36">
        <f t="shared" si="75"/>
        <v>0</v>
      </c>
      <c r="AS282" s="27"/>
      <c r="AT282" s="37"/>
      <c r="AU282" s="30"/>
      <c r="AV282" s="36">
        <f t="shared" si="76"/>
        <v>0</v>
      </c>
      <c r="AW282" s="35"/>
      <c r="AX282" s="30"/>
      <c r="AY282" s="32">
        <f t="shared" si="77"/>
        <v>0</v>
      </c>
      <c r="AZ282" s="30" t="s">
        <v>440</v>
      </c>
      <c r="BA282" s="63"/>
      <c r="BB282" s="71"/>
      <c r="BC282" s="71"/>
      <c r="BD282" s="71"/>
    </row>
    <row r="283" spans="1:56" x14ac:dyDescent="0.25">
      <c r="A283" s="24">
        <f>IF(B283="","",SUBTOTAL(3,$B$4:B283))</f>
        <v>280</v>
      </c>
      <c r="B283" s="25" t="s">
        <v>439</v>
      </c>
      <c r="C283" s="25" t="str">
        <f t="shared" si="61"/>
        <v>Shipment 2 Outlet Stack</v>
      </c>
      <c r="D283" s="25" t="s">
        <v>441</v>
      </c>
      <c r="E283" s="25" t="s">
        <v>775</v>
      </c>
      <c r="F283" s="25" t="s">
        <v>866</v>
      </c>
      <c r="G283" s="65">
        <v>46204</v>
      </c>
      <c r="H283" s="25" t="s">
        <v>443</v>
      </c>
      <c r="I283" s="25" t="s">
        <v>777</v>
      </c>
      <c r="J283" s="26" t="s">
        <v>447</v>
      </c>
      <c r="K283" s="27" t="s">
        <v>818</v>
      </c>
      <c r="L283" s="28" t="s">
        <v>819</v>
      </c>
      <c r="M283" s="28" t="s">
        <v>781</v>
      </c>
      <c r="N283" s="25">
        <v>1</v>
      </c>
      <c r="O283" s="29">
        <v>42.7</v>
      </c>
      <c r="P283" s="29">
        <v>42.7</v>
      </c>
      <c r="Q283" s="25" t="s">
        <v>858</v>
      </c>
      <c r="R283" s="25"/>
      <c r="S283" s="26" t="s">
        <v>866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0"/>
        <v>38.430000000000007</v>
      </c>
      <c r="AF283" s="32">
        <f t="shared" si="71"/>
        <v>4.269999999999996</v>
      </c>
      <c r="AG283" s="30"/>
      <c r="AH283" s="33"/>
      <c r="AI283" s="34">
        <f t="shared" si="72"/>
        <v>0</v>
      </c>
      <c r="AJ283" s="35">
        <v>46277</v>
      </c>
      <c r="AK283" s="30">
        <v>1</v>
      </c>
      <c r="AL283" s="36">
        <f t="shared" si="73"/>
        <v>42.7</v>
      </c>
      <c r="AM283" s="35">
        <v>46279</v>
      </c>
      <c r="AN283" s="30">
        <v>1</v>
      </c>
      <c r="AO283" s="36">
        <f t="shared" si="74"/>
        <v>42.7</v>
      </c>
      <c r="AP283" s="35"/>
      <c r="AQ283" s="30"/>
      <c r="AR283" s="36">
        <f t="shared" si="75"/>
        <v>0</v>
      </c>
      <c r="AS283" s="27"/>
      <c r="AT283" s="37"/>
      <c r="AU283" s="30"/>
      <c r="AV283" s="36">
        <f t="shared" si="76"/>
        <v>0</v>
      </c>
      <c r="AW283" s="35"/>
      <c r="AX283" s="30"/>
      <c r="AY283" s="32">
        <f t="shared" si="77"/>
        <v>0</v>
      </c>
      <c r="AZ283" s="30" t="s">
        <v>440</v>
      </c>
      <c r="BA283" s="63"/>
      <c r="BB283" s="71"/>
      <c r="BC283" s="71"/>
      <c r="BD283" s="71"/>
    </row>
    <row r="284" spans="1:56" x14ac:dyDescent="0.25">
      <c r="A284" s="24">
        <f>IF(B284="","",SUBTOTAL(3,$B$4:B284))</f>
        <v>281</v>
      </c>
      <c r="B284" s="25" t="s">
        <v>439</v>
      </c>
      <c r="C284" s="25" t="str">
        <f t="shared" si="61"/>
        <v>Shipment 2 Outlet Stack</v>
      </c>
      <c r="D284" s="25" t="s">
        <v>441</v>
      </c>
      <c r="E284" s="25" t="s">
        <v>775</v>
      </c>
      <c r="F284" s="25" t="s">
        <v>866</v>
      </c>
      <c r="G284" s="65">
        <v>46204</v>
      </c>
      <c r="H284" s="25" t="s">
        <v>443</v>
      </c>
      <c r="I284" s="25" t="s">
        <v>777</v>
      </c>
      <c r="J284" s="26" t="s">
        <v>447</v>
      </c>
      <c r="K284" s="27" t="s">
        <v>820</v>
      </c>
      <c r="L284" s="28" t="s">
        <v>821</v>
      </c>
      <c r="M284" s="28" t="s">
        <v>781</v>
      </c>
      <c r="N284" s="25">
        <v>2</v>
      </c>
      <c r="O284" s="29">
        <v>247.4</v>
      </c>
      <c r="P284" s="29">
        <v>494.7</v>
      </c>
      <c r="Q284" s="25" t="s">
        <v>859</v>
      </c>
      <c r="R284" s="25"/>
      <c r="S284" s="26" t="s">
        <v>866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0"/>
        <v>445.23</v>
      </c>
      <c r="AF284" s="32">
        <f t="shared" si="71"/>
        <v>49.46999999999997</v>
      </c>
      <c r="AG284" s="30"/>
      <c r="AH284" s="33"/>
      <c r="AI284" s="34">
        <f t="shared" si="72"/>
        <v>0</v>
      </c>
      <c r="AJ284" s="35">
        <v>46277</v>
      </c>
      <c r="AK284" s="30">
        <v>2</v>
      </c>
      <c r="AL284" s="36">
        <f t="shared" si="73"/>
        <v>494.7</v>
      </c>
      <c r="AM284" s="35">
        <v>46279</v>
      </c>
      <c r="AN284" s="30">
        <v>2</v>
      </c>
      <c r="AO284" s="36">
        <f t="shared" si="74"/>
        <v>494.7</v>
      </c>
      <c r="AP284" s="35"/>
      <c r="AQ284" s="30"/>
      <c r="AR284" s="36">
        <f t="shared" si="75"/>
        <v>0</v>
      </c>
      <c r="AS284" s="27"/>
      <c r="AT284" s="37"/>
      <c r="AU284" s="30"/>
      <c r="AV284" s="36">
        <f t="shared" si="76"/>
        <v>0</v>
      </c>
      <c r="AW284" s="35"/>
      <c r="AX284" s="30"/>
      <c r="AY284" s="32">
        <f t="shared" si="77"/>
        <v>0</v>
      </c>
      <c r="AZ284" s="30" t="s">
        <v>440</v>
      </c>
      <c r="BA284" s="63"/>
      <c r="BB284" s="71"/>
      <c r="BC284" s="71"/>
      <c r="BD284" s="71"/>
    </row>
    <row r="285" spans="1:56" x14ac:dyDescent="0.25">
      <c r="A285" s="24">
        <f>IF(B285="","",SUBTOTAL(3,$B$4:B285))</f>
        <v>282</v>
      </c>
      <c r="B285" s="25" t="s">
        <v>439</v>
      </c>
      <c r="C285" s="25" t="str">
        <f t="shared" si="61"/>
        <v>Shipment 2 Outlet Stack</v>
      </c>
      <c r="D285" s="25" t="s">
        <v>441</v>
      </c>
      <c r="E285" s="25" t="s">
        <v>775</v>
      </c>
      <c r="F285" s="25" t="s">
        <v>866</v>
      </c>
      <c r="G285" s="65">
        <v>46204</v>
      </c>
      <c r="H285" s="25" t="s">
        <v>443</v>
      </c>
      <c r="I285" s="25" t="s">
        <v>777</v>
      </c>
      <c r="J285" s="26" t="s">
        <v>447</v>
      </c>
      <c r="K285" s="27" t="s">
        <v>822</v>
      </c>
      <c r="L285" s="28" t="s">
        <v>823</v>
      </c>
      <c r="M285" s="28" t="s">
        <v>781</v>
      </c>
      <c r="N285" s="25">
        <v>1</v>
      </c>
      <c r="O285" s="29">
        <v>232</v>
      </c>
      <c r="P285" s="29">
        <v>232</v>
      </c>
      <c r="Q285" s="25" t="s">
        <v>860</v>
      </c>
      <c r="R285" s="25"/>
      <c r="S285" s="26" t="s">
        <v>866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0"/>
        <v>208.8</v>
      </c>
      <c r="AF285" s="32">
        <f t="shared" si="71"/>
        <v>23.199999999999989</v>
      </c>
      <c r="AG285" s="30"/>
      <c r="AH285" s="33"/>
      <c r="AI285" s="34">
        <f t="shared" si="72"/>
        <v>0</v>
      </c>
      <c r="AJ285" s="35">
        <v>46277</v>
      </c>
      <c r="AK285" s="30">
        <v>1</v>
      </c>
      <c r="AL285" s="36">
        <f t="shared" si="73"/>
        <v>232</v>
      </c>
      <c r="AM285" s="35">
        <v>46279</v>
      </c>
      <c r="AN285" s="30">
        <v>1</v>
      </c>
      <c r="AO285" s="36">
        <f t="shared" si="74"/>
        <v>232</v>
      </c>
      <c r="AP285" s="35"/>
      <c r="AQ285" s="30"/>
      <c r="AR285" s="36">
        <f t="shared" si="75"/>
        <v>0</v>
      </c>
      <c r="AS285" s="27"/>
      <c r="AT285" s="37"/>
      <c r="AU285" s="30"/>
      <c r="AV285" s="36">
        <f t="shared" si="76"/>
        <v>0</v>
      </c>
      <c r="AW285" s="35"/>
      <c r="AX285" s="30"/>
      <c r="AY285" s="32">
        <f t="shared" si="77"/>
        <v>0</v>
      </c>
      <c r="AZ285" s="30" t="s">
        <v>440</v>
      </c>
      <c r="BA285" s="63"/>
      <c r="BB285" s="71"/>
      <c r="BC285" s="71"/>
      <c r="BD285" s="71"/>
    </row>
    <row r="286" spans="1:56" x14ac:dyDescent="0.25">
      <c r="A286" s="24">
        <f>IF(B286="","",SUBTOTAL(3,$B$4:B286))</f>
        <v>283</v>
      </c>
      <c r="B286" s="25" t="s">
        <v>439</v>
      </c>
      <c r="C286" s="25" t="str">
        <f t="shared" si="61"/>
        <v>Shipment 2 Outlet Stack</v>
      </c>
      <c r="D286" s="25" t="s">
        <v>441</v>
      </c>
      <c r="E286" s="25" t="s">
        <v>775</v>
      </c>
      <c r="F286" s="25" t="s">
        <v>866</v>
      </c>
      <c r="G286" s="65">
        <v>46204</v>
      </c>
      <c r="H286" s="25" t="s">
        <v>443</v>
      </c>
      <c r="I286" s="25" t="s">
        <v>777</v>
      </c>
      <c r="J286" s="26" t="s">
        <v>447</v>
      </c>
      <c r="K286" s="27" t="s">
        <v>824</v>
      </c>
      <c r="L286" s="28" t="s">
        <v>825</v>
      </c>
      <c r="M286" s="28" t="s">
        <v>781</v>
      </c>
      <c r="N286" s="25">
        <v>1</v>
      </c>
      <c r="O286" s="29">
        <v>232</v>
      </c>
      <c r="P286" s="29">
        <v>232</v>
      </c>
      <c r="Q286" s="25" t="s">
        <v>861</v>
      </c>
      <c r="R286" s="25"/>
      <c r="S286" s="26" t="s">
        <v>866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0"/>
        <v>208.8</v>
      </c>
      <c r="AF286" s="32">
        <f t="shared" si="71"/>
        <v>23.199999999999989</v>
      </c>
      <c r="AG286" s="30"/>
      <c r="AH286" s="33"/>
      <c r="AI286" s="34">
        <f t="shared" si="72"/>
        <v>0</v>
      </c>
      <c r="AJ286" s="35">
        <v>46277</v>
      </c>
      <c r="AK286" s="30">
        <v>1</v>
      </c>
      <c r="AL286" s="36">
        <f t="shared" si="73"/>
        <v>232</v>
      </c>
      <c r="AM286" s="35">
        <v>46279</v>
      </c>
      <c r="AN286" s="30">
        <v>1</v>
      </c>
      <c r="AO286" s="36">
        <f t="shared" si="74"/>
        <v>232</v>
      </c>
      <c r="AP286" s="35"/>
      <c r="AQ286" s="30"/>
      <c r="AR286" s="36">
        <f t="shared" si="75"/>
        <v>0</v>
      </c>
      <c r="AS286" s="27"/>
      <c r="AT286" s="37"/>
      <c r="AU286" s="30"/>
      <c r="AV286" s="36">
        <f t="shared" si="76"/>
        <v>0</v>
      </c>
      <c r="AW286" s="35"/>
      <c r="AX286" s="30"/>
      <c r="AY286" s="32">
        <f t="shared" si="77"/>
        <v>0</v>
      </c>
      <c r="AZ286" s="30" t="s">
        <v>440</v>
      </c>
      <c r="BA286" s="63"/>
      <c r="BB286" s="71"/>
      <c r="BC286" s="71"/>
      <c r="BD286" s="71"/>
    </row>
    <row r="287" spans="1:56" x14ac:dyDescent="0.25">
      <c r="A287" s="24">
        <f>IF(B287="","",SUBTOTAL(3,$B$4:B287))</f>
        <v>284</v>
      </c>
      <c r="B287" s="25" t="s">
        <v>439</v>
      </c>
      <c r="C287" s="25" t="str">
        <f t="shared" si="61"/>
        <v>Shipment 2 Outlet Stack</v>
      </c>
      <c r="D287" s="25" t="s">
        <v>441</v>
      </c>
      <c r="E287" s="25" t="s">
        <v>775</v>
      </c>
      <c r="F287" s="25" t="s">
        <v>866</v>
      </c>
      <c r="G287" s="65">
        <v>46204</v>
      </c>
      <c r="H287" s="25" t="s">
        <v>443</v>
      </c>
      <c r="I287" s="25" t="s">
        <v>777</v>
      </c>
      <c r="J287" s="26" t="s">
        <v>447</v>
      </c>
      <c r="K287" s="27" t="s">
        <v>826</v>
      </c>
      <c r="L287" s="28" t="s">
        <v>827</v>
      </c>
      <c r="M287" s="28" t="s">
        <v>781</v>
      </c>
      <c r="N287" s="25">
        <v>1</v>
      </c>
      <c r="O287" s="29">
        <v>82.2</v>
      </c>
      <c r="P287" s="29">
        <v>82.2</v>
      </c>
      <c r="Q287" s="25" t="s">
        <v>862</v>
      </c>
      <c r="R287" s="25"/>
      <c r="S287" s="26" t="s">
        <v>866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0"/>
        <v>73.98</v>
      </c>
      <c r="AF287" s="32">
        <f t="shared" si="71"/>
        <v>8.2199999999999989</v>
      </c>
      <c r="AG287" s="30"/>
      <c r="AH287" s="33"/>
      <c r="AI287" s="34">
        <f t="shared" si="72"/>
        <v>0</v>
      </c>
      <c r="AJ287" s="35">
        <v>46277</v>
      </c>
      <c r="AK287" s="30">
        <v>1</v>
      </c>
      <c r="AL287" s="36">
        <f t="shared" si="73"/>
        <v>82.2</v>
      </c>
      <c r="AM287" s="35">
        <v>46279</v>
      </c>
      <c r="AN287" s="30">
        <v>1</v>
      </c>
      <c r="AO287" s="36">
        <f t="shared" si="74"/>
        <v>82.2</v>
      </c>
      <c r="AP287" s="35"/>
      <c r="AQ287" s="30"/>
      <c r="AR287" s="36">
        <f t="shared" si="75"/>
        <v>0</v>
      </c>
      <c r="AS287" s="27"/>
      <c r="AT287" s="37"/>
      <c r="AU287" s="30"/>
      <c r="AV287" s="36">
        <f t="shared" si="76"/>
        <v>0</v>
      </c>
      <c r="AW287" s="35"/>
      <c r="AX287" s="30"/>
      <c r="AY287" s="32">
        <f t="shared" si="77"/>
        <v>0</v>
      </c>
      <c r="AZ287" s="30" t="s">
        <v>440</v>
      </c>
      <c r="BA287" s="63"/>
      <c r="BB287" s="71"/>
      <c r="BC287" s="71"/>
      <c r="BD287" s="71"/>
    </row>
    <row r="288" spans="1:56" x14ac:dyDescent="0.25">
      <c r="A288" s="24">
        <f>IF(B288="","",SUBTOTAL(3,$B$4:B288))</f>
        <v>285</v>
      </c>
      <c r="B288" s="25" t="s">
        <v>439</v>
      </c>
      <c r="C288" s="25" t="str">
        <f t="shared" si="61"/>
        <v>Shipment 2 Outlet Stack</v>
      </c>
      <c r="D288" s="25" t="s">
        <v>441</v>
      </c>
      <c r="E288" s="25" t="s">
        <v>775</v>
      </c>
      <c r="F288" s="25" t="s">
        <v>866</v>
      </c>
      <c r="G288" s="65">
        <v>46204</v>
      </c>
      <c r="H288" s="25" t="s">
        <v>443</v>
      </c>
      <c r="I288" s="25" t="s">
        <v>777</v>
      </c>
      <c r="J288" s="26" t="s">
        <v>447</v>
      </c>
      <c r="K288" s="27" t="s">
        <v>828</v>
      </c>
      <c r="L288" s="28" t="s">
        <v>829</v>
      </c>
      <c r="M288" s="28" t="s">
        <v>781</v>
      </c>
      <c r="N288" s="25">
        <v>1</v>
      </c>
      <c r="O288" s="29">
        <v>84.2</v>
      </c>
      <c r="P288" s="29">
        <v>84.2</v>
      </c>
      <c r="Q288" s="25" t="s">
        <v>863</v>
      </c>
      <c r="R288" s="25"/>
      <c r="S288" s="26" t="s">
        <v>866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0"/>
        <v>75.78</v>
      </c>
      <c r="AF288" s="32">
        <f t="shared" si="71"/>
        <v>8.4200000000000017</v>
      </c>
      <c r="AG288" s="30"/>
      <c r="AH288" s="33"/>
      <c r="AI288" s="34">
        <f t="shared" si="72"/>
        <v>0</v>
      </c>
      <c r="AJ288" s="35">
        <v>46277</v>
      </c>
      <c r="AK288" s="30">
        <v>1</v>
      </c>
      <c r="AL288" s="36">
        <f t="shared" si="73"/>
        <v>84.2</v>
      </c>
      <c r="AM288" s="35">
        <v>46279</v>
      </c>
      <c r="AN288" s="30">
        <v>1</v>
      </c>
      <c r="AO288" s="36">
        <f t="shared" si="74"/>
        <v>84.2</v>
      </c>
      <c r="AP288" s="35"/>
      <c r="AQ288" s="30"/>
      <c r="AR288" s="36">
        <f t="shared" si="75"/>
        <v>0</v>
      </c>
      <c r="AS288" s="27"/>
      <c r="AT288" s="37"/>
      <c r="AU288" s="30"/>
      <c r="AV288" s="36">
        <f t="shared" si="76"/>
        <v>0</v>
      </c>
      <c r="AW288" s="35"/>
      <c r="AX288" s="30"/>
      <c r="AY288" s="32">
        <f t="shared" si="77"/>
        <v>0</v>
      </c>
      <c r="AZ288" s="30" t="s">
        <v>440</v>
      </c>
      <c r="BA288" s="63"/>
      <c r="BB288" s="71"/>
      <c r="BC288" s="71"/>
      <c r="BD288" s="71"/>
    </row>
    <row r="289" spans="1:56" x14ac:dyDescent="0.25">
      <c r="A289" s="24">
        <f>IF(B289="","",SUBTOTAL(3,$B$4:B289))</f>
        <v>286</v>
      </c>
      <c r="B289" s="25" t="s">
        <v>439</v>
      </c>
      <c r="C289" s="25" t="str">
        <f t="shared" si="61"/>
        <v>Shipment 2 Outlet Stack</v>
      </c>
      <c r="D289" s="25" t="s">
        <v>441</v>
      </c>
      <c r="E289" s="25" t="s">
        <v>775</v>
      </c>
      <c r="F289" s="25" t="s">
        <v>866</v>
      </c>
      <c r="G289" s="65">
        <v>46204</v>
      </c>
      <c r="H289" s="25" t="s">
        <v>443</v>
      </c>
      <c r="I289" s="25" t="s">
        <v>777</v>
      </c>
      <c r="J289" s="26" t="s">
        <v>447</v>
      </c>
      <c r="K289" s="27" t="s">
        <v>830</v>
      </c>
      <c r="L289" s="28" t="s">
        <v>831</v>
      </c>
      <c r="M289" s="28" t="s">
        <v>781</v>
      </c>
      <c r="N289" s="25">
        <v>2</v>
      </c>
      <c r="O289" s="29">
        <v>94.2</v>
      </c>
      <c r="P289" s="29">
        <v>188.4</v>
      </c>
      <c r="Q289" s="25" t="s">
        <v>855</v>
      </c>
      <c r="R289" s="25"/>
      <c r="S289" s="26" t="s">
        <v>866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0"/>
        <v>169.56</v>
      </c>
      <c r="AF289" s="32">
        <f t="shared" si="71"/>
        <v>18.840000000000003</v>
      </c>
      <c r="AG289" s="30"/>
      <c r="AH289" s="33"/>
      <c r="AI289" s="34">
        <f t="shared" si="72"/>
        <v>0</v>
      </c>
      <c r="AJ289" s="35">
        <v>46277</v>
      </c>
      <c r="AK289" s="30">
        <v>2</v>
      </c>
      <c r="AL289" s="36">
        <f t="shared" si="73"/>
        <v>188.4</v>
      </c>
      <c r="AM289" s="35">
        <v>46279</v>
      </c>
      <c r="AN289" s="30">
        <v>2</v>
      </c>
      <c r="AO289" s="36">
        <f t="shared" si="74"/>
        <v>188.4</v>
      </c>
      <c r="AP289" s="35"/>
      <c r="AQ289" s="30"/>
      <c r="AR289" s="36">
        <f t="shared" si="75"/>
        <v>0</v>
      </c>
      <c r="AS289" s="27"/>
      <c r="AT289" s="37"/>
      <c r="AU289" s="30"/>
      <c r="AV289" s="36">
        <f t="shared" si="76"/>
        <v>0</v>
      </c>
      <c r="AW289" s="35"/>
      <c r="AX289" s="30"/>
      <c r="AY289" s="32">
        <f t="shared" si="77"/>
        <v>0</v>
      </c>
      <c r="AZ289" s="30" t="s">
        <v>440</v>
      </c>
      <c r="BA289" s="63"/>
      <c r="BB289" s="71"/>
      <c r="BC289" s="71"/>
      <c r="BD289" s="71"/>
    </row>
    <row r="290" spans="1:56" x14ac:dyDescent="0.25">
      <c r="A290" s="24">
        <f>IF(B290="","",SUBTOTAL(3,$B$4:B290))</f>
        <v>287</v>
      </c>
      <c r="B290" s="25" t="s">
        <v>439</v>
      </c>
      <c r="C290" s="25" t="str">
        <f t="shared" si="61"/>
        <v>Shipment 2 Outlet Stack</v>
      </c>
      <c r="D290" s="25" t="s">
        <v>441</v>
      </c>
      <c r="E290" s="25" t="s">
        <v>775</v>
      </c>
      <c r="F290" s="25" t="s">
        <v>866</v>
      </c>
      <c r="G290" s="65">
        <v>46204</v>
      </c>
      <c r="H290" s="25" t="s">
        <v>443</v>
      </c>
      <c r="I290" s="25" t="s">
        <v>777</v>
      </c>
      <c r="J290" s="26" t="s">
        <v>447</v>
      </c>
      <c r="K290" s="27" t="s">
        <v>832</v>
      </c>
      <c r="L290" s="28" t="s">
        <v>833</v>
      </c>
      <c r="M290" s="28" t="s">
        <v>834</v>
      </c>
      <c r="N290" s="25">
        <v>2</v>
      </c>
      <c r="O290" s="29">
        <v>6.4</v>
      </c>
      <c r="P290" s="29">
        <v>12.9</v>
      </c>
      <c r="Q290" s="25" t="s">
        <v>864</v>
      </c>
      <c r="R290" s="25"/>
      <c r="S290" s="26" t="s">
        <v>866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0"/>
        <v>11.61</v>
      </c>
      <c r="AF290" s="32">
        <f t="shared" si="71"/>
        <v>1.2900000000000009</v>
      </c>
      <c r="AG290" s="30"/>
      <c r="AH290" s="33"/>
      <c r="AI290" s="34">
        <f t="shared" si="72"/>
        <v>0</v>
      </c>
      <c r="AJ290" s="35">
        <v>46289</v>
      </c>
      <c r="AK290" s="30">
        <v>2</v>
      </c>
      <c r="AL290" s="36">
        <f t="shared" si="73"/>
        <v>12.9</v>
      </c>
      <c r="AM290" s="35">
        <v>46289</v>
      </c>
      <c r="AN290" s="30">
        <v>2</v>
      </c>
      <c r="AO290" s="36">
        <f t="shared" si="74"/>
        <v>12.9</v>
      </c>
      <c r="AP290" s="35"/>
      <c r="AQ290" s="30"/>
      <c r="AR290" s="36">
        <f t="shared" si="75"/>
        <v>0</v>
      </c>
      <c r="AS290" s="27"/>
      <c r="AT290" s="37"/>
      <c r="AU290" s="30"/>
      <c r="AV290" s="36">
        <f t="shared" si="76"/>
        <v>0</v>
      </c>
      <c r="AW290" s="35"/>
      <c r="AX290" s="30"/>
      <c r="AY290" s="32">
        <f t="shared" si="77"/>
        <v>0</v>
      </c>
      <c r="AZ290" s="30" t="s">
        <v>440</v>
      </c>
      <c r="BA290" s="63"/>
      <c r="BB290" s="71"/>
      <c r="BC290" s="71"/>
      <c r="BD290" s="71"/>
    </row>
    <row r="291" spans="1:56" x14ac:dyDescent="0.25">
      <c r="A291" s="24">
        <f>IF(B291="","",SUBTOTAL(3,$B$4:B291))</f>
        <v>288</v>
      </c>
      <c r="B291" s="25" t="s">
        <v>439</v>
      </c>
      <c r="C291" s="25" t="str">
        <f t="shared" si="61"/>
        <v>Shipment 2 Outlet Stack</v>
      </c>
      <c r="D291" s="25" t="s">
        <v>441</v>
      </c>
      <c r="E291" s="25" t="s">
        <v>775</v>
      </c>
      <c r="F291" s="25" t="s">
        <v>866</v>
      </c>
      <c r="G291" s="65">
        <v>46204</v>
      </c>
      <c r="H291" s="25" t="s">
        <v>443</v>
      </c>
      <c r="I291" s="25" t="s">
        <v>777</v>
      </c>
      <c r="J291" s="26" t="s">
        <v>447</v>
      </c>
      <c r="K291" s="27" t="s">
        <v>835</v>
      </c>
      <c r="L291" s="28" t="s">
        <v>836</v>
      </c>
      <c r="M291" s="28" t="s">
        <v>834</v>
      </c>
      <c r="N291" s="25">
        <v>55</v>
      </c>
      <c r="O291" s="29">
        <v>4.4000000000000004</v>
      </c>
      <c r="P291" s="29">
        <v>241.7</v>
      </c>
      <c r="Q291" s="25" t="s">
        <v>865</v>
      </c>
      <c r="R291" s="25"/>
      <c r="S291" s="26" t="s">
        <v>866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70"/>
        <v>217.53</v>
      </c>
      <c r="AF291" s="32">
        <f t="shared" si="71"/>
        <v>24.169999999999987</v>
      </c>
      <c r="AG291" s="30"/>
      <c r="AH291" s="33"/>
      <c r="AI291" s="34">
        <f t="shared" si="72"/>
        <v>0</v>
      </c>
      <c r="AJ291" s="35">
        <v>46289</v>
      </c>
      <c r="AK291" s="30">
        <v>55</v>
      </c>
      <c r="AL291" s="36">
        <f t="shared" ref="AL291:AL292" si="78">IFERROR(AK291*$P291/$N291,0)</f>
        <v>241.7</v>
      </c>
      <c r="AM291" s="35">
        <v>46289</v>
      </c>
      <c r="AN291" s="30">
        <v>55</v>
      </c>
      <c r="AO291" s="36">
        <f t="shared" si="74"/>
        <v>241.7</v>
      </c>
      <c r="AP291" s="35"/>
      <c r="AQ291" s="30"/>
      <c r="AR291" s="36">
        <f t="shared" si="75"/>
        <v>0</v>
      </c>
      <c r="AS291" s="27"/>
      <c r="AT291" s="37"/>
      <c r="AU291" s="30"/>
      <c r="AV291" s="36">
        <f t="shared" si="76"/>
        <v>0</v>
      </c>
      <c r="AW291" s="35"/>
      <c r="AX291" s="30"/>
      <c r="AY291" s="32">
        <f t="shared" si="77"/>
        <v>0</v>
      </c>
      <c r="AZ291" s="30" t="s">
        <v>440</v>
      </c>
      <c r="BA291" s="63"/>
      <c r="BB291" s="71"/>
      <c r="BC291" s="71"/>
      <c r="BD291" s="71"/>
    </row>
    <row r="292" spans="1:56" x14ac:dyDescent="0.25">
      <c r="A292" s="24">
        <f>IF(B292="","",SUBTOTAL(3,$B$4:B292))</f>
        <v>289</v>
      </c>
      <c r="B292" s="25" t="s">
        <v>439</v>
      </c>
      <c r="C292" s="25" t="str">
        <f t="shared" si="61"/>
        <v>Shipment 2 Outlet Stack</v>
      </c>
      <c r="D292" s="25" t="s">
        <v>441</v>
      </c>
      <c r="E292" s="25" t="s">
        <v>775</v>
      </c>
      <c r="F292" s="25" t="s">
        <v>866</v>
      </c>
      <c r="G292" s="65">
        <v>46204</v>
      </c>
      <c r="H292" s="25" t="s">
        <v>443</v>
      </c>
      <c r="I292" s="25" t="s">
        <v>777</v>
      </c>
      <c r="J292" s="26" t="s">
        <v>447</v>
      </c>
      <c r="K292" s="27" t="s">
        <v>837</v>
      </c>
      <c r="L292" s="28" t="s">
        <v>838</v>
      </c>
      <c r="M292" s="28" t="s">
        <v>834</v>
      </c>
      <c r="N292" s="25">
        <v>2</v>
      </c>
      <c r="O292" s="29">
        <v>4.4000000000000004</v>
      </c>
      <c r="P292" s="29">
        <v>8.8000000000000007</v>
      </c>
      <c r="Q292" s="25" t="s">
        <v>865</v>
      </c>
      <c r="R292" s="25"/>
      <c r="S292" s="26" t="s">
        <v>866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70"/>
        <v>7.9200000000000008</v>
      </c>
      <c r="AF292" s="32">
        <f t="shared" si="71"/>
        <v>0.87999999999999989</v>
      </c>
      <c r="AG292" s="30"/>
      <c r="AH292" s="33"/>
      <c r="AI292" s="34">
        <f t="shared" si="72"/>
        <v>0</v>
      </c>
      <c r="AJ292" s="35">
        <v>46289</v>
      </c>
      <c r="AK292" s="30">
        <v>2</v>
      </c>
      <c r="AL292" s="36">
        <f t="shared" si="78"/>
        <v>8.8000000000000007</v>
      </c>
      <c r="AM292" s="35">
        <v>46289</v>
      </c>
      <c r="AN292" s="30">
        <v>2</v>
      </c>
      <c r="AO292" s="36">
        <f t="shared" si="74"/>
        <v>8.8000000000000007</v>
      </c>
      <c r="AP292" s="35"/>
      <c r="AQ292" s="30"/>
      <c r="AR292" s="36">
        <f t="shared" si="75"/>
        <v>0</v>
      </c>
      <c r="AS292" s="27"/>
      <c r="AT292" s="37"/>
      <c r="AU292" s="30"/>
      <c r="AV292" s="36">
        <f t="shared" si="76"/>
        <v>0</v>
      </c>
      <c r="AW292" s="35"/>
      <c r="AX292" s="30"/>
      <c r="AY292" s="32">
        <f t="shared" si="77"/>
        <v>0</v>
      </c>
      <c r="AZ292" s="30" t="s">
        <v>440</v>
      </c>
      <c r="BA292" s="63"/>
      <c r="BB292" s="71"/>
      <c r="BC292" s="71"/>
      <c r="BD292" s="71"/>
    </row>
    <row r="293" spans="1:56" x14ac:dyDescent="0.25">
      <c r="A293" s="24" t="str">
        <f>IF(B293="","",SUBTOTAL(3,$B$4:B293))</f>
        <v/>
      </c>
      <c r="B293" s="25"/>
      <c r="C293" s="25" t="str">
        <f t="shared" si="0"/>
        <v xml:space="preserve"> </v>
      </c>
      <c r="D293" s="25"/>
      <c r="E293" s="25"/>
      <c r="F293" s="25"/>
      <c r="G293" s="65"/>
      <c r="H293" s="25"/>
      <c r="I293" s="25"/>
      <c r="J293" s="26"/>
      <c r="K293" s="24"/>
      <c r="L293" s="25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"/>
        <v>0</v>
      </c>
      <c r="AF293" s="32">
        <f t="shared" si="2"/>
        <v>0</v>
      </c>
      <c r="AG293" s="30"/>
      <c r="AH293" s="33"/>
      <c r="AI293" s="34">
        <f t="shared" si="3"/>
        <v>0</v>
      </c>
      <c r="AJ293" s="35"/>
      <c r="AK293" s="30"/>
      <c r="AL293" s="36">
        <f t="shared" si="4"/>
        <v>0</v>
      </c>
      <c r="AM293" s="35"/>
      <c r="AN293" s="30"/>
      <c r="AO293" s="36">
        <f t="shared" si="5"/>
        <v>0</v>
      </c>
      <c r="AP293" s="35"/>
      <c r="AQ293" s="30"/>
      <c r="AR293" s="36">
        <f t="shared" si="6"/>
        <v>0</v>
      </c>
      <c r="AS293" s="27"/>
      <c r="AT293" s="37"/>
      <c r="AU293" s="30"/>
      <c r="AV293" s="36">
        <f t="shared" si="7"/>
        <v>0</v>
      </c>
      <c r="AW293" s="35"/>
      <c r="AX293" s="30"/>
      <c r="AY293" s="32">
        <f t="shared" si="8"/>
        <v>0</v>
      </c>
      <c r="AZ293" s="30"/>
      <c r="BA293" s="63"/>
      <c r="BB293" s="71"/>
      <c r="BC293" s="71"/>
      <c r="BD293" s="71"/>
    </row>
    <row r="294" spans="1:56" x14ac:dyDescent="0.25">
      <c r="A294" s="24" t="str">
        <f>IF(B294="","",SUBTOTAL(3,$B$4:B294))</f>
        <v/>
      </c>
      <c r="B294" s="25"/>
      <c r="C294" s="25" t="str">
        <f t="shared" si="0"/>
        <v xml:space="preserve"> </v>
      </c>
      <c r="D294" s="25"/>
      <c r="E294" s="25"/>
      <c r="F294" s="25"/>
      <c r="G294" s="65"/>
      <c r="H294" s="25"/>
      <c r="I294" s="25"/>
      <c r="J294" s="26"/>
      <c r="K294" s="24"/>
      <c r="L294" s="25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"/>
        <v>0</v>
      </c>
      <c r="AF294" s="32">
        <f t="shared" si="2"/>
        <v>0</v>
      </c>
      <c r="AG294" s="30"/>
      <c r="AH294" s="33"/>
      <c r="AI294" s="34">
        <f t="shared" si="3"/>
        <v>0</v>
      </c>
      <c r="AJ294" s="35"/>
      <c r="AK294" s="30"/>
      <c r="AL294" s="36">
        <f t="shared" si="4"/>
        <v>0</v>
      </c>
      <c r="AM294" s="35"/>
      <c r="AN294" s="30"/>
      <c r="AO294" s="36">
        <f t="shared" si="5"/>
        <v>0</v>
      </c>
      <c r="AP294" s="35"/>
      <c r="AQ294" s="30"/>
      <c r="AR294" s="36">
        <f t="shared" si="6"/>
        <v>0</v>
      </c>
      <c r="AS294" s="27"/>
      <c r="AT294" s="37"/>
      <c r="AU294" s="30"/>
      <c r="AV294" s="36">
        <f t="shared" si="7"/>
        <v>0</v>
      </c>
      <c r="AW294" s="35"/>
      <c r="AX294" s="30"/>
      <c r="AY294" s="32">
        <f t="shared" si="8"/>
        <v>0</v>
      </c>
      <c r="AZ294" s="30"/>
      <c r="BA294" s="63"/>
      <c r="BB294" s="71"/>
      <c r="BC294" s="71"/>
      <c r="BD294" s="71"/>
    </row>
    <row r="295" spans="1:56" x14ac:dyDescent="0.25">
      <c r="A295" s="24" t="str">
        <f>IF(B295="","",SUBTOTAL(3,$B$4:B295))</f>
        <v/>
      </c>
      <c r="B295" s="25"/>
      <c r="C295" s="25" t="str">
        <f t="shared" si="0"/>
        <v xml:space="preserve"> </v>
      </c>
      <c r="D295" s="25"/>
      <c r="E295" s="25"/>
      <c r="F295" s="25"/>
      <c r="G295" s="65"/>
      <c r="H295" s="25"/>
      <c r="I295" s="25"/>
      <c r="J295" s="26"/>
      <c r="K295" s="24"/>
      <c r="L295" s="25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"/>
        <v>0</v>
      </c>
      <c r="AF295" s="32">
        <f t="shared" si="2"/>
        <v>0</v>
      </c>
      <c r="AG295" s="30"/>
      <c r="AH295" s="33"/>
      <c r="AI295" s="34">
        <f t="shared" si="3"/>
        <v>0</v>
      </c>
      <c r="AJ295" s="35"/>
      <c r="AK295" s="30"/>
      <c r="AL295" s="36">
        <f t="shared" si="4"/>
        <v>0</v>
      </c>
      <c r="AM295" s="35"/>
      <c r="AN295" s="30"/>
      <c r="AO295" s="36">
        <f t="shared" si="5"/>
        <v>0</v>
      </c>
      <c r="AP295" s="35"/>
      <c r="AQ295" s="30"/>
      <c r="AR295" s="36">
        <f t="shared" si="6"/>
        <v>0</v>
      </c>
      <c r="AS295" s="27"/>
      <c r="AT295" s="37"/>
      <c r="AU295" s="30"/>
      <c r="AV295" s="36">
        <f t="shared" si="7"/>
        <v>0</v>
      </c>
      <c r="AW295" s="35"/>
      <c r="AX295" s="30"/>
      <c r="AY295" s="32">
        <f t="shared" si="8"/>
        <v>0</v>
      </c>
      <c r="AZ295" s="30"/>
      <c r="BA295" s="63"/>
      <c r="BB295" s="71"/>
      <c r="BC295" s="71"/>
      <c r="BD295" s="71"/>
    </row>
    <row r="296" spans="1:56" x14ac:dyDescent="0.25">
      <c r="A296" s="24" t="str">
        <f>IF(B296="","",SUBTOTAL(3,$B$4:B296))</f>
        <v/>
      </c>
      <c r="B296" s="25"/>
      <c r="C296" s="25" t="str">
        <f t="shared" si="0"/>
        <v xml:space="preserve"> </v>
      </c>
      <c r="D296" s="25"/>
      <c r="E296" s="25"/>
      <c r="F296" s="25"/>
      <c r="G296" s="65"/>
      <c r="H296" s="25"/>
      <c r="I296" s="25"/>
      <c r="J296" s="26"/>
      <c r="K296" s="24"/>
      <c r="L296" s="25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"/>
        <v>0</v>
      </c>
      <c r="AF296" s="32">
        <f t="shared" si="2"/>
        <v>0</v>
      </c>
      <c r="AG296" s="30"/>
      <c r="AH296" s="33"/>
      <c r="AI296" s="34">
        <f t="shared" si="3"/>
        <v>0</v>
      </c>
      <c r="AJ296" s="35"/>
      <c r="AK296" s="30"/>
      <c r="AL296" s="36">
        <f t="shared" si="4"/>
        <v>0</v>
      </c>
      <c r="AM296" s="35"/>
      <c r="AN296" s="30"/>
      <c r="AO296" s="36">
        <f t="shared" si="5"/>
        <v>0</v>
      </c>
      <c r="AP296" s="35"/>
      <c r="AQ296" s="30"/>
      <c r="AR296" s="36">
        <f t="shared" si="6"/>
        <v>0</v>
      </c>
      <c r="AS296" s="27"/>
      <c r="AT296" s="37"/>
      <c r="AU296" s="30"/>
      <c r="AV296" s="36">
        <f t="shared" si="7"/>
        <v>0</v>
      </c>
      <c r="AW296" s="35"/>
      <c r="AX296" s="30"/>
      <c r="AY296" s="32">
        <f t="shared" si="8"/>
        <v>0</v>
      </c>
      <c r="AZ296" s="30"/>
      <c r="BA296" s="63"/>
      <c r="BB296" s="71"/>
      <c r="BC296" s="71"/>
      <c r="BD296" s="71"/>
    </row>
    <row r="297" spans="1:56" x14ac:dyDescent="0.25">
      <c r="A297" s="24" t="str">
        <f>IF(B297="","",SUBTOTAL(3,$B$4:B297))</f>
        <v/>
      </c>
      <c r="B297" s="25"/>
      <c r="C297" s="25" t="str">
        <f t="shared" si="0"/>
        <v xml:space="preserve"> </v>
      </c>
      <c r="D297" s="25"/>
      <c r="E297" s="25"/>
      <c r="F297" s="25"/>
      <c r="G297" s="65"/>
      <c r="H297" s="25"/>
      <c r="I297" s="25"/>
      <c r="J297" s="26"/>
      <c r="K297" s="24"/>
      <c r="L297" s="25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"/>
        <v>0</v>
      </c>
      <c r="AF297" s="32">
        <f t="shared" si="2"/>
        <v>0</v>
      </c>
      <c r="AG297" s="30"/>
      <c r="AH297" s="33"/>
      <c r="AI297" s="34">
        <f t="shared" si="3"/>
        <v>0</v>
      </c>
      <c r="AJ297" s="35"/>
      <c r="AK297" s="30"/>
      <c r="AL297" s="36">
        <f t="shared" si="4"/>
        <v>0</v>
      </c>
      <c r="AM297" s="35"/>
      <c r="AN297" s="30"/>
      <c r="AO297" s="36">
        <f t="shared" si="5"/>
        <v>0</v>
      </c>
      <c r="AP297" s="35"/>
      <c r="AQ297" s="30"/>
      <c r="AR297" s="36">
        <f t="shared" si="6"/>
        <v>0</v>
      </c>
      <c r="AS297" s="27"/>
      <c r="AT297" s="37"/>
      <c r="AU297" s="30"/>
      <c r="AV297" s="36">
        <f t="shared" si="7"/>
        <v>0</v>
      </c>
      <c r="AW297" s="35"/>
      <c r="AX297" s="30"/>
      <c r="AY297" s="32">
        <f t="shared" si="8"/>
        <v>0</v>
      </c>
      <c r="AZ297" s="30"/>
      <c r="BA297" s="63"/>
      <c r="BB297" s="71"/>
      <c r="BC297" s="71"/>
      <c r="BD297" s="71"/>
    </row>
    <row r="298" spans="1:56" ht="16.5" thickBot="1" x14ac:dyDescent="0.3">
      <c r="A298" s="38" t="str">
        <f>IF(B298="","",SUBTOTAL(3,$B$4:B298))</f>
        <v/>
      </c>
      <c r="B298" s="39"/>
      <c r="C298" s="39" t="str">
        <f t="shared" si="0"/>
        <v xml:space="preserve"> </v>
      </c>
      <c r="D298" s="39"/>
      <c r="E298" s="39"/>
      <c r="F298" s="39"/>
      <c r="G298" s="66"/>
      <c r="H298" s="39"/>
      <c r="I298" s="39"/>
      <c r="J298" s="40"/>
      <c r="K298" s="38"/>
      <c r="L298" s="39"/>
      <c r="M298" s="42"/>
      <c r="N298" s="39"/>
      <c r="O298" s="43"/>
      <c r="P298" s="43"/>
      <c r="Q298" s="39"/>
      <c r="R298" s="39"/>
      <c r="S298" s="40"/>
      <c r="T298" s="38"/>
      <c r="U298" s="41"/>
      <c r="V298" s="41"/>
      <c r="W298" s="41"/>
      <c r="X298" s="66"/>
      <c r="Y298" s="46"/>
      <c r="Z298" s="41"/>
      <c r="AA298" s="46"/>
      <c r="AB298" s="41"/>
      <c r="AC298" s="41"/>
      <c r="AD298" s="69"/>
      <c r="AE298" s="55">
        <f t="shared" si="1"/>
        <v>0</v>
      </c>
      <c r="AF298" s="47">
        <f t="shared" si="2"/>
        <v>0</v>
      </c>
      <c r="AG298" s="41"/>
      <c r="AH298" s="56"/>
      <c r="AI298" s="57">
        <f t="shared" si="3"/>
        <v>0</v>
      </c>
      <c r="AJ298" s="44"/>
      <c r="AK298" s="41"/>
      <c r="AL298" s="45">
        <f t="shared" si="4"/>
        <v>0</v>
      </c>
      <c r="AM298" s="44"/>
      <c r="AN298" s="41"/>
      <c r="AO298" s="45">
        <f t="shared" si="5"/>
        <v>0</v>
      </c>
      <c r="AP298" s="44"/>
      <c r="AQ298" s="41"/>
      <c r="AR298" s="45">
        <f t="shared" si="6"/>
        <v>0</v>
      </c>
      <c r="AS298" s="62"/>
      <c r="AT298" s="46"/>
      <c r="AU298" s="41"/>
      <c r="AV298" s="45">
        <f t="shared" si="7"/>
        <v>0</v>
      </c>
      <c r="AW298" s="44"/>
      <c r="AX298" s="41"/>
      <c r="AY298" s="47">
        <f t="shared" si="8"/>
        <v>0</v>
      </c>
      <c r="AZ298" s="41"/>
      <c r="BA298" s="64"/>
      <c r="BB298" s="71"/>
      <c r="BC298" s="71"/>
      <c r="BD298" s="71"/>
    </row>
    <row r="299" spans="1:56" ht="16.5" thickTop="1" x14ac:dyDescent="0.25"/>
  </sheetData>
  <autoFilter ref="A3:BD298" xr:uid="{334E9545-4D7F-4FF2-AE79-B0165FA68616}"/>
  <phoneticPr fontId="7" type="noConversion"/>
  <conditionalFormatting sqref="A4:AG298 AJ4:AL298">
    <cfRule type="expression" dxfId="5" priority="2">
      <formula>$AK4=$N4</formula>
    </cfRule>
  </conditionalFormatting>
  <conditionalFormatting sqref="AH4:AI298">
    <cfRule type="expression" dxfId="4" priority="1">
      <formula>$AH4=1</formula>
    </cfRule>
  </conditionalFormatting>
  <conditionalFormatting sqref="AM4:AO298">
    <cfRule type="expression" dxfId="3" priority="3">
      <formula>$AN4=$N4</formula>
    </cfRule>
  </conditionalFormatting>
  <conditionalFormatting sqref="AP4:AR298">
    <cfRule type="expression" dxfId="2" priority="4">
      <formula>$AQ4=$N4</formula>
    </cfRule>
  </conditionalFormatting>
  <conditionalFormatting sqref="AS4:AV298">
    <cfRule type="expression" dxfId="1" priority="5">
      <formula>$AU4=$N4</formula>
    </cfRule>
  </conditionalFormatting>
  <conditionalFormatting sqref="AW4:BA2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2026-10-02T01:22:32Z</dcterms:modified>
</cp:coreProperties>
</file>