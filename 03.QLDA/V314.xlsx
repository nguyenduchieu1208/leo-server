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7807F674-6530-48C0-A416-E1824FD6C38F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Progress!$A$3:$BD$94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12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22" i="1" l="1"/>
  <c r="AO14" i="1"/>
  <c r="A11" i="1"/>
  <c r="C11" i="1"/>
  <c r="AI11" i="1"/>
  <c r="AL11" i="1"/>
  <c r="AO11" i="1"/>
  <c r="AR11" i="1"/>
  <c r="AV11" i="1"/>
  <c r="AY11" i="1"/>
  <c r="A12" i="1"/>
  <c r="C12" i="1"/>
  <c r="AI12" i="1"/>
  <c r="AL12" i="1"/>
  <c r="AO12" i="1"/>
  <c r="AR12" i="1"/>
  <c r="AV12" i="1"/>
  <c r="AY12" i="1"/>
  <c r="A13" i="1"/>
  <c r="C13" i="1"/>
  <c r="AI13" i="1"/>
  <c r="AL13" i="1"/>
  <c r="AO13" i="1"/>
  <c r="AR13" i="1"/>
  <c r="AV13" i="1"/>
  <c r="AY13" i="1"/>
  <c r="A14" i="1"/>
  <c r="C14" i="1"/>
  <c r="AI14" i="1"/>
  <c r="AL14" i="1"/>
  <c r="AR14" i="1"/>
  <c r="AV14" i="1"/>
  <c r="AY14" i="1"/>
  <c r="A15" i="1"/>
  <c r="C15" i="1"/>
  <c r="AI15" i="1"/>
  <c r="AL15" i="1"/>
  <c r="AO15" i="1"/>
  <c r="AR15" i="1"/>
  <c r="AV15" i="1"/>
  <c r="AY15" i="1"/>
  <c r="A16" i="1"/>
  <c r="C16" i="1"/>
  <c r="AI16" i="1"/>
  <c r="AL16" i="1"/>
  <c r="AO16" i="1"/>
  <c r="AR16" i="1"/>
  <c r="AV16" i="1"/>
  <c r="AY16" i="1"/>
  <c r="A17" i="1"/>
  <c r="C17" i="1"/>
  <c r="AI17" i="1"/>
  <c r="AL17" i="1"/>
  <c r="AO17" i="1"/>
  <c r="AR17" i="1"/>
  <c r="AV17" i="1"/>
  <c r="AY17" i="1"/>
  <c r="A18" i="1"/>
  <c r="C18" i="1"/>
  <c r="AI18" i="1"/>
  <c r="AL18" i="1"/>
  <c r="AO18" i="1"/>
  <c r="AR18" i="1"/>
  <c r="AV18" i="1"/>
  <c r="AY18" i="1"/>
  <c r="A19" i="1"/>
  <c r="C19" i="1"/>
  <c r="AI19" i="1"/>
  <c r="AL19" i="1"/>
  <c r="AO19" i="1"/>
  <c r="AR19" i="1"/>
  <c r="AV19" i="1"/>
  <c r="AY19" i="1"/>
  <c r="A20" i="1"/>
  <c r="C20" i="1"/>
  <c r="AI20" i="1"/>
  <c r="AL20" i="1"/>
  <c r="AO20" i="1"/>
  <c r="AR20" i="1"/>
  <c r="AV20" i="1"/>
  <c r="AY20" i="1"/>
  <c r="A21" i="1"/>
  <c r="C21" i="1"/>
  <c r="AI21" i="1"/>
  <c r="AL21" i="1"/>
  <c r="AO21" i="1"/>
  <c r="AR21" i="1"/>
  <c r="AV21" i="1"/>
  <c r="AY21" i="1"/>
  <c r="A22" i="1"/>
  <c r="C22" i="1"/>
  <c r="AI22" i="1"/>
  <c r="AL22" i="1"/>
  <c r="AO22" i="1"/>
  <c r="AR22" i="1"/>
  <c r="AV22" i="1"/>
  <c r="A23" i="1"/>
  <c r="C23" i="1"/>
  <c r="AI23" i="1"/>
  <c r="AL23" i="1"/>
  <c r="AO23" i="1"/>
  <c r="AR23" i="1"/>
  <c r="AV23" i="1"/>
  <c r="AY23" i="1"/>
  <c r="A24" i="1"/>
  <c r="C24" i="1"/>
  <c r="AI24" i="1"/>
  <c r="AL24" i="1"/>
  <c r="AO24" i="1"/>
  <c r="AR24" i="1"/>
  <c r="AV24" i="1"/>
  <c r="AY24" i="1"/>
  <c r="A25" i="1"/>
  <c r="C25" i="1"/>
  <c r="AI25" i="1"/>
  <c r="AL25" i="1"/>
  <c r="AO25" i="1"/>
  <c r="AR25" i="1"/>
  <c r="AV25" i="1"/>
  <c r="AY25" i="1"/>
  <c r="A26" i="1"/>
  <c r="C26" i="1"/>
  <c r="AI26" i="1"/>
  <c r="AL26" i="1"/>
  <c r="AO26" i="1"/>
  <c r="AR26" i="1"/>
  <c r="AV26" i="1"/>
  <c r="AY26" i="1"/>
  <c r="A27" i="1"/>
  <c r="C27" i="1"/>
  <c r="AI27" i="1"/>
  <c r="AL27" i="1"/>
  <c r="AO27" i="1"/>
  <c r="AR27" i="1"/>
  <c r="AV27" i="1"/>
  <c r="AY27" i="1"/>
  <c r="A28" i="1"/>
  <c r="C28" i="1"/>
  <c r="AI28" i="1"/>
  <c r="AL28" i="1"/>
  <c r="AO28" i="1"/>
  <c r="AR28" i="1"/>
  <c r="AV28" i="1"/>
  <c r="AY28" i="1"/>
  <c r="A29" i="1"/>
  <c r="C29" i="1"/>
  <c r="AI29" i="1"/>
  <c r="AL29" i="1"/>
  <c r="AO29" i="1"/>
  <c r="AR29" i="1"/>
  <c r="AV29" i="1"/>
  <c r="AY29" i="1"/>
  <c r="A30" i="1"/>
  <c r="C30" i="1"/>
  <c r="AI30" i="1"/>
  <c r="AL30" i="1"/>
  <c r="AO30" i="1"/>
  <c r="AR30" i="1"/>
  <c r="AV30" i="1"/>
  <c r="AY30" i="1"/>
  <c r="A31" i="1"/>
  <c r="C31" i="1"/>
  <c r="AI31" i="1"/>
  <c r="AL31" i="1"/>
  <c r="AO31" i="1"/>
  <c r="AR31" i="1"/>
  <c r="AV31" i="1"/>
  <c r="AY31" i="1"/>
  <c r="A32" i="1"/>
  <c r="C32" i="1"/>
  <c r="AI32" i="1"/>
  <c r="AL32" i="1"/>
  <c r="AO32" i="1"/>
  <c r="AR32" i="1"/>
  <c r="AV32" i="1"/>
  <c r="AY32" i="1"/>
  <c r="A33" i="1"/>
  <c r="C33" i="1"/>
  <c r="AI33" i="1"/>
  <c r="AL33" i="1"/>
  <c r="AO33" i="1"/>
  <c r="AR33" i="1"/>
  <c r="AV33" i="1"/>
  <c r="AY33" i="1"/>
  <c r="A34" i="1"/>
  <c r="C34" i="1"/>
  <c r="AI34" i="1"/>
  <c r="AL34" i="1"/>
  <c r="AO34" i="1"/>
  <c r="AR34" i="1"/>
  <c r="AV34" i="1"/>
  <c r="AY34" i="1"/>
  <c r="A35" i="1"/>
  <c r="C35" i="1"/>
  <c r="AI35" i="1"/>
  <c r="AL35" i="1"/>
  <c r="AO35" i="1"/>
  <c r="AR35" i="1"/>
  <c r="AV35" i="1"/>
  <c r="AY35" i="1"/>
  <c r="A36" i="1"/>
  <c r="C36" i="1"/>
  <c r="AI36" i="1"/>
  <c r="AL36" i="1"/>
  <c r="AO36" i="1"/>
  <c r="AR36" i="1"/>
  <c r="AV36" i="1"/>
  <c r="AY36" i="1"/>
  <c r="A37" i="1"/>
  <c r="C37" i="1"/>
  <c r="AI37" i="1"/>
  <c r="AL37" i="1"/>
  <c r="AO37" i="1"/>
  <c r="AR37" i="1"/>
  <c r="AV37" i="1"/>
  <c r="AY37" i="1"/>
  <c r="A38" i="1"/>
  <c r="C38" i="1"/>
  <c r="AI38" i="1"/>
  <c r="AL38" i="1"/>
  <c r="AO38" i="1"/>
  <c r="AR38" i="1"/>
  <c r="AV38" i="1"/>
  <c r="AY38" i="1"/>
  <c r="A39" i="1"/>
  <c r="C39" i="1"/>
  <c r="AI39" i="1"/>
  <c r="AL39" i="1"/>
  <c r="AO39" i="1"/>
  <c r="AR39" i="1"/>
  <c r="AV39" i="1"/>
  <c r="AY39" i="1"/>
  <c r="A40" i="1"/>
  <c r="C40" i="1"/>
  <c r="AI40" i="1"/>
  <c r="AL40" i="1"/>
  <c r="AO40" i="1"/>
  <c r="AR40" i="1"/>
  <c r="AV40" i="1"/>
  <c r="AY40" i="1"/>
  <c r="A41" i="1"/>
  <c r="C41" i="1"/>
  <c r="AI41" i="1"/>
  <c r="AL41" i="1"/>
  <c r="AO41" i="1"/>
  <c r="AR41" i="1"/>
  <c r="AV41" i="1"/>
  <c r="AY41" i="1"/>
  <c r="A42" i="1"/>
  <c r="C42" i="1"/>
  <c r="AI42" i="1"/>
  <c r="AL42" i="1"/>
  <c r="AO42" i="1"/>
  <c r="AR42" i="1"/>
  <c r="AV42" i="1"/>
  <c r="AY42" i="1"/>
  <c r="A43" i="1"/>
  <c r="C43" i="1"/>
  <c r="AI43" i="1"/>
  <c r="AL43" i="1"/>
  <c r="AO43" i="1"/>
  <c r="AR43" i="1"/>
  <c r="AV43" i="1"/>
  <c r="AY43" i="1"/>
  <c r="A44" i="1"/>
  <c r="C44" i="1"/>
  <c r="AI44" i="1"/>
  <c r="AL44" i="1"/>
  <c r="AO44" i="1"/>
  <c r="AR44" i="1"/>
  <c r="AV44" i="1"/>
  <c r="AY44" i="1"/>
  <c r="A45" i="1"/>
  <c r="C45" i="1"/>
  <c r="AI45" i="1"/>
  <c r="AL45" i="1"/>
  <c r="AO45" i="1"/>
  <c r="AR45" i="1"/>
  <c r="AV45" i="1"/>
  <c r="AY45" i="1"/>
  <c r="A46" i="1"/>
  <c r="C46" i="1"/>
  <c r="AI46" i="1"/>
  <c r="AL46" i="1"/>
  <c r="AO46" i="1"/>
  <c r="AR46" i="1"/>
  <c r="AV46" i="1"/>
  <c r="AY46" i="1"/>
  <c r="A47" i="1"/>
  <c r="C47" i="1"/>
  <c r="AI47" i="1"/>
  <c r="AL47" i="1"/>
  <c r="AO47" i="1"/>
  <c r="AR47" i="1"/>
  <c r="AV47" i="1"/>
  <c r="AY47" i="1"/>
  <c r="A48" i="1"/>
  <c r="C48" i="1"/>
  <c r="AI48" i="1"/>
  <c r="AL48" i="1"/>
  <c r="AO48" i="1"/>
  <c r="AR48" i="1"/>
  <c r="AV48" i="1"/>
  <c r="AY48" i="1"/>
  <c r="A49" i="1"/>
  <c r="C49" i="1"/>
  <c r="AI49" i="1"/>
  <c r="AL49" i="1"/>
  <c r="AO49" i="1"/>
  <c r="AR49" i="1"/>
  <c r="AV49" i="1"/>
  <c r="AY49" i="1"/>
  <c r="A50" i="1"/>
  <c r="C50" i="1"/>
  <c r="AI50" i="1"/>
  <c r="AL50" i="1"/>
  <c r="AO50" i="1"/>
  <c r="AR50" i="1"/>
  <c r="AV50" i="1"/>
  <c r="AY50" i="1"/>
  <c r="A51" i="1"/>
  <c r="C51" i="1"/>
  <c r="AI51" i="1"/>
  <c r="AL51" i="1"/>
  <c r="AO51" i="1"/>
  <c r="AR51" i="1"/>
  <c r="AV51" i="1"/>
  <c r="AY51" i="1"/>
  <c r="A52" i="1"/>
  <c r="C52" i="1"/>
  <c r="AI52" i="1"/>
  <c r="AL52" i="1"/>
  <c r="AO52" i="1"/>
  <c r="AR52" i="1"/>
  <c r="AV52" i="1"/>
  <c r="AY52" i="1"/>
  <c r="A53" i="1"/>
  <c r="C53" i="1"/>
  <c r="AI53" i="1"/>
  <c r="AL53" i="1"/>
  <c r="AO53" i="1"/>
  <c r="AR53" i="1"/>
  <c r="AV53" i="1"/>
  <c r="AY53" i="1"/>
  <c r="A54" i="1"/>
  <c r="C54" i="1"/>
  <c r="AI54" i="1"/>
  <c r="AL54" i="1"/>
  <c r="AO54" i="1"/>
  <c r="AR54" i="1"/>
  <c r="AV54" i="1"/>
  <c r="AY54" i="1"/>
  <c r="A55" i="1"/>
  <c r="C55" i="1"/>
  <c r="AI55" i="1"/>
  <c r="AL55" i="1"/>
  <c r="AO55" i="1"/>
  <c r="AR55" i="1"/>
  <c r="AV55" i="1"/>
  <c r="AY55" i="1"/>
  <c r="A56" i="1"/>
  <c r="C56" i="1"/>
  <c r="AI56" i="1"/>
  <c r="AL56" i="1"/>
  <c r="AO56" i="1"/>
  <c r="AR56" i="1"/>
  <c r="AV56" i="1"/>
  <c r="AY56" i="1"/>
  <c r="A57" i="1"/>
  <c r="C57" i="1"/>
  <c r="AI57" i="1"/>
  <c r="AL57" i="1"/>
  <c r="AO57" i="1"/>
  <c r="AR57" i="1"/>
  <c r="AV57" i="1"/>
  <c r="AY57" i="1"/>
  <c r="A58" i="1"/>
  <c r="C58" i="1"/>
  <c r="AI58" i="1"/>
  <c r="AL58" i="1"/>
  <c r="AO58" i="1"/>
  <c r="AR58" i="1"/>
  <c r="AV58" i="1"/>
  <c r="AY58" i="1"/>
  <c r="A59" i="1"/>
  <c r="C59" i="1"/>
  <c r="AI59" i="1"/>
  <c r="AL59" i="1"/>
  <c r="AO59" i="1"/>
  <c r="AR59" i="1"/>
  <c r="AV59" i="1"/>
  <c r="AY59" i="1"/>
  <c r="A60" i="1"/>
  <c r="C60" i="1"/>
  <c r="AI60" i="1"/>
  <c r="AL60" i="1"/>
  <c r="AO60" i="1"/>
  <c r="AR60" i="1"/>
  <c r="AV60" i="1"/>
  <c r="AY60" i="1"/>
  <c r="A61" i="1"/>
  <c r="C61" i="1"/>
  <c r="AI61" i="1"/>
  <c r="AL61" i="1"/>
  <c r="AO61" i="1"/>
  <c r="AR61" i="1"/>
  <c r="AV61" i="1"/>
  <c r="AY61" i="1"/>
  <c r="A62" i="1"/>
  <c r="C62" i="1"/>
  <c r="AI62" i="1"/>
  <c r="AL62" i="1"/>
  <c r="AO62" i="1"/>
  <c r="AR62" i="1"/>
  <c r="AV62" i="1"/>
  <c r="AY62" i="1"/>
  <c r="A63" i="1"/>
  <c r="C63" i="1"/>
  <c r="AI63" i="1"/>
  <c r="AL63" i="1"/>
  <c r="AO63" i="1"/>
  <c r="AR63" i="1"/>
  <c r="AV63" i="1"/>
  <c r="AY63" i="1"/>
  <c r="A64" i="1"/>
  <c r="C64" i="1"/>
  <c r="AI64" i="1"/>
  <c r="AL64" i="1"/>
  <c r="AO64" i="1"/>
  <c r="AR64" i="1"/>
  <c r="AV64" i="1"/>
  <c r="AY64" i="1"/>
  <c r="A65" i="1"/>
  <c r="C65" i="1"/>
  <c r="AI65" i="1"/>
  <c r="AL65" i="1"/>
  <c r="AO65" i="1"/>
  <c r="AR65" i="1"/>
  <c r="AV65" i="1"/>
  <c r="AY65" i="1"/>
  <c r="A66" i="1"/>
  <c r="C66" i="1"/>
  <c r="AI66" i="1"/>
  <c r="AL66" i="1"/>
  <c r="AO66" i="1"/>
  <c r="AR66" i="1"/>
  <c r="AV66" i="1"/>
  <c r="AY66" i="1"/>
  <c r="A67" i="1"/>
  <c r="C67" i="1"/>
  <c r="AI67" i="1"/>
  <c r="AL67" i="1"/>
  <c r="AO67" i="1"/>
  <c r="AR67" i="1"/>
  <c r="AV67" i="1"/>
  <c r="AY67" i="1"/>
  <c r="A68" i="1"/>
  <c r="C68" i="1"/>
  <c r="AI68" i="1"/>
  <c r="AL68" i="1"/>
  <c r="AO68" i="1"/>
  <c r="AR68" i="1"/>
  <c r="AV68" i="1"/>
  <c r="AY68" i="1"/>
  <c r="A69" i="1"/>
  <c r="C69" i="1"/>
  <c r="AI69" i="1"/>
  <c r="AL69" i="1"/>
  <c r="AO69" i="1"/>
  <c r="AR69" i="1"/>
  <c r="AV69" i="1"/>
  <c r="AY69" i="1"/>
  <c r="A70" i="1"/>
  <c r="C70" i="1"/>
  <c r="AI70" i="1"/>
  <c r="AL70" i="1"/>
  <c r="AO70" i="1"/>
  <c r="AR70" i="1"/>
  <c r="AV70" i="1"/>
  <c r="AY70" i="1"/>
  <c r="A71" i="1"/>
  <c r="C71" i="1"/>
  <c r="AI71" i="1"/>
  <c r="AL71" i="1"/>
  <c r="AO71" i="1"/>
  <c r="AR71" i="1"/>
  <c r="AV71" i="1"/>
  <c r="AY71" i="1"/>
  <c r="A72" i="1"/>
  <c r="C72" i="1"/>
  <c r="AI72" i="1"/>
  <c r="AL72" i="1"/>
  <c r="AO72" i="1"/>
  <c r="AR72" i="1"/>
  <c r="AV72" i="1"/>
  <c r="AY72" i="1"/>
  <c r="A73" i="1"/>
  <c r="C73" i="1"/>
  <c r="AI73" i="1"/>
  <c r="AL73" i="1"/>
  <c r="AO73" i="1"/>
  <c r="AR73" i="1"/>
  <c r="AV73" i="1"/>
  <c r="AY73" i="1"/>
  <c r="A74" i="1"/>
  <c r="C74" i="1"/>
  <c r="AI74" i="1"/>
  <c r="AL74" i="1"/>
  <c r="AO74" i="1"/>
  <c r="AR74" i="1"/>
  <c r="AV74" i="1"/>
  <c r="AY74" i="1"/>
  <c r="A75" i="1"/>
  <c r="C75" i="1"/>
  <c r="AI75" i="1"/>
  <c r="AL75" i="1"/>
  <c r="AO75" i="1"/>
  <c r="AR75" i="1"/>
  <c r="AV75" i="1"/>
  <c r="AY75" i="1"/>
  <c r="A76" i="1"/>
  <c r="C76" i="1"/>
  <c r="AI76" i="1"/>
  <c r="AL76" i="1"/>
  <c r="AO76" i="1"/>
  <c r="AR76" i="1"/>
  <c r="AV76" i="1"/>
  <c r="AY76" i="1"/>
  <c r="A77" i="1"/>
  <c r="C77" i="1"/>
  <c r="AI77" i="1"/>
  <c r="AL77" i="1"/>
  <c r="AO77" i="1"/>
  <c r="AR77" i="1"/>
  <c r="AV77" i="1"/>
  <c r="AY77" i="1"/>
  <c r="A78" i="1"/>
  <c r="C78" i="1"/>
  <c r="AI78" i="1"/>
  <c r="AL78" i="1"/>
  <c r="AO78" i="1"/>
  <c r="AR78" i="1"/>
  <c r="AV78" i="1"/>
  <c r="AY78" i="1"/>
  <c r="A79" i="1"/>
  <c r="C79" i="1"/>
  <c r="AI79" i="1"/>
  <c r="AL79" i="1"/>
  <c r="AO79" i="1"/>
  <c r="AR79" i="1"/>
  <c r="AV79" i="1"/>
  <c r="AY79" i="1"/>
  <c r="A80" i="1"/>
  <c r="C80" i="1"/>
  <c r="AI80" i="1"/>
  <c r="AL80" i="1"/>
  <c r="AO80" i="1"/>
  <c r="AR80" i="1"/>
  <c r="AV80" i="1"/>
  <c r="AY80" i="1"/>
  <c r="A81" i="1"/>
  <c r="C81" i="1"/>
  <c r="AI81" i="1"/>
  <c r="AL81" i="1"/>
  <c r="AO81" i="1"/>
  <c r="AR81" i="1"/>
  <c r="AV81" i="1"/>
  <c r="AY81" i="1"/>
  <c r="A82" i="1"/>
  <c r="C82" i="1"/>
  <c r="AI82" i="1"/>
  <c r="AL82" i="1"/>
  <c r="AO82" i="1"/>
  <c r="AR82" i="1"/>
  <c r="AV82" i="1"/>
  <c r="AY82" i="1"/>
  <c r="A83" i="1"/>
  <c r="C83" i="1"/>
  <c r="AI83" i="1"/>
  <c r="AL83" i="1"/>
  <c r="AO83" i="1"/>
  <c r="AR83" i="1"/>
  <c r="AV83" i="1"/>
  <c r="AY83" i="1"/>
  <c r="AE78" i="1" l="1"/>
  <c r="AF78" i="1" s="1"/>
  <c r="AE74" i="1"/>
  <c r="AF74" i="1" s="1"/>
  <c r="AE81" i="1"/>
  <c r="AF81" i="1" s="1"/>
  <c r="AE38" i="1"/>
  <c r="AF38" i="1" s="1"/>
  <c r="AE83" i="1"/>
  <c r="AF83" i="1" s="1"/>
  <c r="AE80" i="1"/>
  <c r="AF80" i="1" s="1"/>
  <c r="AE77" i="1"/>
  <c r="AF77" i="1" s="1"/>
  <c r="AE76" i="1"/>
  <c r="AF76" i="1" s="1"/>
  <c r="AE75" i="1"/>
  <c r="AF75" i="1" s="1"/>
  <c r="AE54" i="1"/>
  <c r="AF54" i="1" s="1"/>
  <c r="AE73" i="1"/>
  <c r="AF73" i="1" s="1"/>
  <c r="AE70" i="1"/>
  <c r="AF70" i="1" s="1"/>
  <c r="AE68" i="1"/>
  <c r="AF68" i="1" s="1"/>
  <c r="AE67" i="1"/>
  <c r="AF67" i="1" s="1"/>
  <c r="AE50" i="1"/>
  <c r="AF50" i="1" s="1"/>
  <c r="AE79" i="1"/>
  <c r="AF79" i="1" s="1"/>
  <c r="AE69" i="1"/>
  <c r="AF69" i="1" s="1"/>
  <c r="AE82" i="1"/>
  <c r="AF82" i="1" s="1"/>
  <c r="AE72" i="1"/>
  <c r="AF72" i="1" s="1"/>
  <c r="AE71" i="1"/>
  <c r="AF71" i="1" s="1"/>
  <c r="AE66" i="1"/>
  <c r="AF66" i="1" s="1"/>
  <c r="AE62" i="1"/>
  <c r="AF62" i="1" s="1"/>
  <c r="AE61" i="1"/>
  <c r="AF61" i="1" s="1"/>
  <c r="AE60" i="1"/>
  <c r="AF60" i="1" s="1"/>
  <c r="AE59" i="1"/>
  <c r="AF59" i="1" s="1"/>
  <c r="AE58" i="1"/>
  <c r="AF58" i="1" s="1"/>
  <c r="AE53" i="1"/>
  <c r="AF53" i="1" s="1"/>
  <c r="AE49" i="1"/>
  <c r="AF49" i="1" s="1"/>
  <c r="AE48" i="1"/>
  <c r="AF48" i="1" s="1"/>
  <c r="AE47" i="1"/>
  <c r="AF47" i="1" s="1"/>
  <c r="AE46" i="1"/>
  <c r="AF46" i="1" s="1"/>
  <c r="AE57" i="1"/>
  <c r="AF57" i="1" s="1"/>
  <c r="AE56" i="1"/>
  <c r="AF56" i="1" s="1"/>
  <c r="AE55" i="1"/>
  <c r="AF55" i="1" s="1"/>
  <c r="AE52" i="1"/>
  <c r="AF52" i="1" s="1"/>
  <c r="AE51" i="1"/>
  <c r="AF51" i="1" s="1"/>
  <c r="AE45" i="1"/>
  <c r="AF45" i="1" s="1"/>
  <c r="AE44" i="1"/>
  <c r="AF44" i="1" s="1"/>
  <c r="AE65" i="1"/>
  <c r="AF65" i="1" s="1"/>
  <c r="AE64" i="1"/>
  <c r="AF64" i="1" s="1"/>
  <c r="AE63" i="1"/>
  <c r="AF63" i="1" s="1"/>
  <c r="AE42" i="1"/>
  <c r="AF42" i="1" s="1"/>
  <c r="AE43" i="1"/>
  <c r="AF43" i="1" s="1"/>
  <c r="AE41" i="1"/>
  <c r="AF41" i="1" s="1"/>
  <c r="AE40" i="1"/>
  <c r="AF40" i="1" s="1"/>
  <c r="AE39" i="1"/>
  <c r="AF39" i="1" s="1"/>
  <c r="AE37" i="1"/>
  <c r="AF37" i="1" s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 s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E12" i="1"/>
  <c r="AF12" i="1" s="1"/>
  <c r="AE11" i="1"/>
  <c r="AF11" i="1" s="1"/>
  <c r="C94" i="1" l="1"/>
  <c r="C93" i="1"/>
  <c r="C92" i="1"/>
  <c r="C91" i="1"/>
  <c r="C90" i="1"/>
  <c r="C89" i="1"/>
  <c r="C88" i="1"/>
  <c r="C87" i="1"/>
  <c r="C86" i="1"/>
  <c r="C85" i="1"/>
  <c r="C84" i="1"/>
  <c r="C10" i="1"/>
  <c r="C9" i="1"/>
  <c r="C8" i="1"/>
  <c r="C7" i="1"/>
  <c r="C6" i="1"/>
  <c r="C5" i="1"/>
  <c r="C4" i="1"/>
  <c r="A1" i="1"/>
  <c r="BA2" i="1" s="1"/>
  <c r="AS2" i="1" l="1"/>
  <c r="AY94" i="1"/>
  <c r="AV94" i="1"/>
  <c r="AR94" i="1"/>
  <c r="AO94" i="1"/>
  <c r="AL94" i="1"/>
  <c r="AI94" i="1"/>
  <c r="A94" i="1"/>
  <c r="AY93" i="1"/>
  <c r="AV93" i="1"/>
  <c r="AR93" i="1"/>
  <c r="AO93" i="1"/>
  <c r="AL93" i="1"/>
  <c r="AI93" i="1"/>
  <c r="A93" i="1"/>
  <c r="AY92" i="1"/>
  <c r="AV92" i="1"/>
  <c r="AR92" i="1"/>
  <c r="AO92" i="1"/>
  <c r="AL92" i="1"/>
  <c r="AI92" i="1"/>
  <c r="A92" i="1"/>
  <c r="AY91" i="1"/>
  <c r="AV91" i="1"/>
  <c r="AR91" i="1"/>
  <c r="AO91" i="1"/>
  <c r="AL91" i="1"/>
  <c r="AI91" i="1"/>
  <c r="A91" i="1"/>
  <c r="AY90" i="1"/>
  <c r="AV90" i="1"/>
  <c r="AR90" i="1"/>
  <c r="AO90" i="1"/>
  <c r="AL90" i="1"/>
  <c r="AI90" i="1"/>
  <c r="A90" i="1"/>
  <c r="AY89" i="1"/>
  <c r="AV89" i="1"/>
  <c r="AR89" i="1"/>
  <c r="AO89" i="1"/>
  <c r="AL89" i="1"/>
  <c r="AI89" i="1"/>
  <c r="A89" i="1"/>
  <c r="AY88" i="1"/>
  <c r="AV88" i="1"/>
  <c r="AR88" i="1"/>
  <c r="AO88" i="1"/>
  <c r="AL88" i="1"/>
  <c r="AI88" i="1"/>
  <c r="A88" i="1"/>
  <c r="AY87" i="1"/>
  <c r="AV87" i="1"/>
  <c r="AR87" i="1"/>
  <c r="AO87" i="1"/>
  <c r="AL87" i="1"/>
  <c r="AI87" i="1"/>
  <c r="A87" i="1"/>
  <c r="AY86" i="1"/>
  <c r="AV86" i="1"/>
  <c r="AR86" i="1"/>
  <c r="AO86" i="1"/>
  <c r="AL86" i="1"/>
  <c r="AI86" i="1"/>
  <c r="A86" i="1"/>
  <c r="AY85" i="1"/>
  <c r="AV85" i="1"/>
  <c r="AR85" i="1"/>
  <c r="AO85" i="1"/>
  <c r="AL85" i="1"/>
  <c r="AI85" i="1"/>
  <c r="A85" i="1"/>
  <c r="AY84" i="1"/>
  <c r="AV84" i="1"/>
  <c r="AR84" i="1"/>
  <c r="AO84" i="1"/>
  <c r="AL84" i="1"/>
  <c r="AI84" i="1"/>
  <c r="A84" i="1"/>
  <c r="AY10" i="1"/>
  <c r="AV10" i="1"/>
  <c r="AR10" i="1"/>
  <c r="AO10" i="1"/>
  <c r="AL10" i="1"/>
  <c r="AI10" i="1"/>
  <c r="A10" i="1"/>
  <c r="AY9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Y7" i="1"/>
  <c r="AV7" i="1"/>
  <c r="AR7" i="1"/>
  <c r="AO7" i="1"/>
  <c r="AL7" i="1"/>
  <c r="AI7" i="1"/>
  <c r="A7" i="1"/>
  <c r="AY6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87" i="1" l="1"/>
  <c r="AF87" i="1" s="1"/>
  <c r="AE7" i="1"/>
  <c r="AF7" i="1" s="1"/>
  <c r="AE86" i="1"/>
  <c r="AF86" i="1" s="1"/>
  <c r="AE85" i="1"/>
  <c r="AF85" i="1" s="1"/>
  <c r="AR2" i="1"/>
  <c r="AE94" i="1"/>
  <c r="AF94" i="1" s="1"/>
  <c r="AV2" i="1"/>
  <c r="AE93" i="1"/>
  <c r="AF93" i="1" s="1"/>
  <c r="AE91" i="1"/>
  <c r="AF91" i="1" s="1"/>
  <c r="AY2" i="1"/>
  <c r="AE92" i="1"/>
  <c r="AF92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90" i="1"/>
  <c r="AF90" i="1" s="1"/>
  <c r="AE89" i="1"/>
  <c r="AF89" i="1" s="1"/>
  <c r="AE88" i="1"/>
  <c r="AF88" i="1" s="1"/>
  <c r="AE84" i="1"/>
  <c r="AF84" i="1" s="1"/>
  <c r="AE4" i="1"/>
  <c r="AF4" i="1" s="1"/>
</calcChain>
</file>

<file path=xl/sharedStrings.xml><?xml version="1.0" encoding="utf-8"?>
<sst xmlns="http://schemas.openxmlformats.org/spreadsheetml/2006/main" count="709" uniqueCount="208">
  <si>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</si>
  <si>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</si>
  <si>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</si>
  <si>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</si>
  <si>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</si>
  <si>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</si>
  <si>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</si>
  <si>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</si>
  <si>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</si>
  <si>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</si>
  <si>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</si>
  <si>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</si>
  <si>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</si>
  <si>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</si>
  <si>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</si>
  <si>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</si>
  <si>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</si>
  <si>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</si>
  <si>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</si>
  <si>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</si>
  <si>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</si>
  <si>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</si>
  <si>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</si>
  <si>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</si>
  <si>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</si>
  <si>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</si>
  <si>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</si>
  <si>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</si>
  <si>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</si>
  <si>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</si>
  <si>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</si>
  <si>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</si>
  <si>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</si>
  <si>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</si>
  <si>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</si>
  <si>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</si>
  <si>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</si>
  <si>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</si>
  <si>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</si>
  <si>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</si>
  <si>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</si>
  <si>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</si>
  <si>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</si>
  <si>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</si>
  <si>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</si>
  <si>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</si>
  <si>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</si>
  <si>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</si>
  <si>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</si>
  <si>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</si>
  <si>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</si>
  <si>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</si>
  <si>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</si>
  <si>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</si>
  <si>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</si>
  <si>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</si>
  <si>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</si>
  <si>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</si>
  <si>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</si>
  <si>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</si>
  <si>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</si>
  <si>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</si>
  <si>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</si>
  <si>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</si>
  <si>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</si>
  <si>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</si>
  <si>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</si>
  <si>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</si>
  <si>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</si>
  <si>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25HG015-DDO-0C137</t>
  </si>
  <si>
    <t>CS02L</t>
  </si>
  <si>
    <t>25HG015-DDO-0C142</t>
  </si>
  <si>
    <t>CS03L</t>
  </si>
  <si>
    <t>25HG015-DDO-0C146</t>
  </si>
  <si>
    <t>CS04L</t>
  </si>
  <si>
    <t>25HG015-DDO-0C151</t>
  </si>
  <si>
    <t>CS05L</t>
  </si>
  <si>
    <t>25HG015-DDO-0C155</t>
  </si>
  <si>
    <t>CS06L</t>
  </si>
  <si>
    <t>25HG015-DDO-0C171</t>
  </si>
  <si>
    <t>CS08L</t>
  </si>
  <si>
    <t>25HG015-DDO-0C176</t>
  </si>
  <si>
    <t>CS09L</t>
  </si>
  <si>
    <t>25HG015-DDO-0C191</t>
  </si>
  <si>
    <t>CS11L</t>
  </si>
  <si>
    <t>25HG015-DDO-0C196</t>
  </si>
  <si>
    <t>CS12L</t>
  </si>
  <si>
    <t>25HG015-DDO-0C212</t>
  </si>
  <si>
    <t>CS14L</t>
  </si>
  <si>
    <t>25HG015-DDO-0C217</t>
  </si>
  <si>
    <t>CS15L</t>
  </si>
  <si>
    <t>25HG015-DDO-0C222</t>
  </si>
  <si>
    <t>CS16L</t>
  </si>
  <si>
    <t>25HG015-DDO-0C231</t>
  </si>
  <si>
    <t>CS21T</t>
  </si>
  <si>
    <t>25HG015-DDO-0C233</t>
  </si>
  <si>
    <t>CS22T</t>
  </si>
  <si>
    <t>25HG015-DDO-0C237</t>
  </si>
  <si>
    <t>CS23T</t>
  </si>
  <si>
    <t>25HG015-DDO-0C239</t>
  </si>
  <si>
    <t>CS24T</t>
  </si>
  <si>
    <t>25HG015-DDO-0C241</t>
  </si>
  <si>
    <t>CS25T</t>
  </si>
  <si>
    <t>25HG015-DDO-0C245</t>
  </si>
  <si>
    <t>CS26T</t>
  </si>
  <si>
    <t>25HG015-DDO-0C249</t>
  </si>
  <si>
    <t>CS27T</t>
  </si>
  <si>
    <t>25HG015-DDO-0C253</t>
  </si>
  <si>
    <t>CS28T</t>
  </si>
  <si>
    <t>25HG015-DDO-0C257</t>
  </si>
  <si>
    <t>CS29T</t>
  </si>
  <si>
    <t>25HG015-DDO-0C261</t>
  </si>
  <si>
    <t>CS30T</t>
  </si>
  <si>
    <t>25HG015-DDO-0C263</t>
  </si>
  <si>
    <t>CS31T</t>
  </si>
  <si>
    <t>25HG015-DDO-OC270</t>
  </si>
  <si>
    <t>CS31B</t>
  </si>
  <si>
    <t>25HG015-DDO-OC279</t>
  </si>
  <si>
    <t>CS32B</t>
  </si>
  <si>
    <t>25HG015-DDO-OC283</t>
  </si>
  <si>
    <t>CS33B</t>
  </si>
  <si>
    <t>25HG015-DDO-OC286</t>
  </si>
  <si>
    <t>CS34B</t>
  </si>
  <si>
    <t>25HG015-DD0-0C289</t>
  </si>
  <si>
    <t>CS35B</t>
  </si>
  <si>
    <t>25HG015-DD0-0C294</t>
  </si>
  <si>
    <t>CS36B</t>
  </si>
  <si>
    <t>25HG015-DD0-0C298</t>
  </si>
  <si>
    <t>CS37B</t>
  </si>
  <si>
    <t>25HG015-DDO-OC303</t>
  </si>
  <si>
    <t>CS38B</t>
  </si>
  <si>
    <t>25HG015-DD0-0C307</t>
  </si>
  <si>
    <t>CS39B</t>
  </si>
  <si>
    <t>25HG015-DD0-0C312</t>
  </si>
  <si>
    <t>CS40B</t>
  </si>
  <si>
    <t>25HG015-DDO-OC315</t>
  </si>
  <si>
    <t>CS41B</t>
  </si>
  <si>
    <t>25HG015-DDO-OC321</t>
  </si>
  <si>
    <t>CS41F</t>
  </si>
  <si>
    <t>25HG015-DDO-OC327</t>
  </si>
  <si>
    <t>CS42F</t>
  </si>
  <si>
    <t>25HG015-DD0-0C332</t>
  </si>
  <si>
    <t>CS43F</t>
  </si>
  <si>
    <t>25HG015-DD0-0C336</t>
  </si>
  <si>
    <t>CS44F</t>
  </si>
  <si>
    <t>25HG015-DDO-OC340</t>
  </si>
  <si>
    <t>CS45F</t>
  </si>
  <si>
    <t>25HG015-DD0-0C344</t>
  </si>
  <si>
    <t>CS46F</t>
  </si>
  <si>
    <t>(716x1562.5x15245)</t>
  </si>
  <si>
    <t>(716x1562.5x14977.5)</t>
  </si>
  <si>
    <t>(1359.6 x 1532 x 34080)</t>
  </si>
  <si>
    <t>(614 x 2762.5 x 15245)</t>
  </si>
  <si>
    <t>(614 x 2762.5 x 13265.5)</t>
  </si>
  <si>
    <t>(532 x 2062.5 x 15245)</t>
  </si>
  <si>
    <t>(532 x 2062.5 x 14977.5)</t>
  </si>
  <si>
    <t>(507 x 1645 x 15235)</t>
  </si>
  <si>
    <t>(507 x 1645 x 14977.5)</t>
  </si>
  <si>
    <t>(497 x 1995 x 15235)</t>
  </si>
  <si>
    <t>(497 x 1995 x 14977.5)</t>
  </si>
  <si>
    <t>(1075 x 1307 x 34080)</t>
  </si>
  <si>
    <t>(675 x 2005 x 14641)</t>
  </si>
  <si>
    <t>(900 x 2241 x 14641)</t>
  </si>
  <si>
    <t>(900 x 2005 x 14291)</t>
  </si>
  <si>
    <t>(900 x 2005 x 14141)</t>
  </si>
  <si>
    <t>(900 x 2045 x 14141)</t>
  </si>
  <si>
    <t>(900 x 2045 x 14091)</t>
  </si>
  <si>
    <t>(900 x 2045 x 14041)</t>
  </si>
  <si>
    <t>(675 x 2005 x 14041)</t>
  </si>
  <si>
    <t>(1491 x 4691 x 12191)</t>
  </si>
  <si>
    <t>(382 x 1595 x 11829)</t>
  </si>
  <si>
    <t>(767 x 1157 x 11841)</t>
  </si>
  <si>
    <t>(779 x 2795 x 11841)</t>
  </si>
  <si>
    <t>(1345 x 3468.5 x 11691)</t>
  </si>
  <si>
    <t>(541 x 2095 x 11691)</t>
  </si>
  <si>
    <t>(1345 x 3367 x 11641)</t>
  </si>
  <si>
    <t>(366 x 1645 x 11579)</t>
  </si>
  <si>
    <t>(1295 x 3267 x 11591)</t>
  </si>
  <si>
    <t>(491 x 2061 x 11579)</t>
  </si>
  <si>
    <t>(525 x 1141 x 11591)</t>
  </si>
  <si>
    <t>(882 x 2092 x 12119)</t>
  </si>
  <si>
    <t>(982.6 x 2488 x 12179)</t>
  </si>
  <si>
    <t>(816 x 2088 x 11829)</t>
  </si>
  <si>
    <t>(786 x 2088 x 11679)</t>
  </si>
  <si>
    <t>(1090 x 2088 x 11579)</t>
  </si>
  <si>
    <t>(1090 x 2488 x 11579)</t>
  </si>
  <si>
    <t>Casing U1</t>
  </si>
  <si>
    <t>Casing U2</t>
  </si>
  <si>
    <t>Shipment 1</t>
  </si>
  <si>
    <t>Shipment 2</t>
  </si>
  <si>
    <t>V314</t>
  </si>
  <si>
    <t>HRSG</t>
  </si>
  <si>
    <t>Truong An</t>
  </si>
  <si>
    <t>PAC</t>
  </si>
  <si>
    <t>S1</t>
  </si>
  <si>
    <t>S3</t>
  </si>
  <si>
    <t>S2</t>
  </si>
  <si>
    <t>V314-CS-U1-003</t>
  </si>
  <si>
    <t>V314-CS-U1-005</t>
  </si>
  <si>
    <t>V314-CS-U1-004</t>
  </si>
  <si>
    <t>V314-003</t>
  </si>
  <si>
    <t>V314-002</t>
  </si>
  <si>
    <t>V314-001</t>
  </si>
  <si>
    <t>V314-CS-U1-006</t>
  </si>
  <si>
    <t>V314-CS-U1-007</t>
  </si>
  <si>
    <t>V314-005</t>
  </si>
  <si>
    <t>V314-004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</si>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</sst>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314.366415625002" createdVersion="8" refreshedVersion="8" minRefreshableVersion="3" recordCount="91" xr:uid="{4067F58C-28E2-44CB-8FA2-A8EFFD878FFB}">
  <cacheSource type="worksheet">
    <worksheetSource ref="A3:BA94" sheet="Progress"/>
  </cacheSource>
  <cacheFields count="53">
    <cacheField name="TT" numFmtId="0">
      <sharedItems containsMixedTypes="1" containsNumber="1" containsInteger="1" minValue="1" maxValue="69"/>
    </cacheField>
    <cacheField name="Số Dự Án" numFmtId="0">
      <sharedItems containsBlank="1" count="2">
        <s v="V314"/>
        <m/>
      </sharedItems>
    </cacheField>
    <cacheField name="Group ID" numFmtId="0">
      <sharedItems/>
    </cacheField>
    <cacheField name="Group/Shipment" numFmtId="0">
      <sharedItems containsBlank="1" count="3">
        <s v="Shipment 1"/>
        <s v="Shipment 2"/>
        <m/>
      </sharedItems>
    </cacheField>
    <cacheField name="Hạng mục" numFmtId="0">
      <sharedItems containsBlank="1" count="3">
        <s v="Casing U1"/>
        <s v="Casing U2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6-06-30T00:00:00" maxDate="2026-07-31T00:00:00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1"/>
    </cacheField>
    <cacheField name="U.Weight" numFmtId="43">
      <sharedItems containsString="0" containsBlank="1" containsNumber="1" minValue="1589.9799999999998" maxValue="23721.187999999995"/>
    </cacheField>
    <cacheField name="T.Weight" numFmtId="43">
      <sharedItems containsString="0" containsBlank="1" containsNumber="1" minValue="1589.9799999999998" maxValue="23721.187999999995"/>
    </cacheField>
    <cacheField name="Profile" numFmtId="0">
      <sharedItems containsNonDate="0" containsString="0"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23721.187999999998"/>
    </cacheField>
    <cacheField name="Còn lại" numFmtId="43">
      <sharedItems containsSemiMixedTypes="0" containsString="0" containsNumber="1" minValue="0" maxValue="23721.187999999995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minValue="0.05" maxValue="0.3"/>
    </cacheField>
    <cacheField name="Khối lượng" numFmtId="164">
      <sharedItems containsSemiMixedTypes="0" containsString="0" containsNumber="1" minValue="0" maxValue="7116.3563999999978"/>
    </cacheField>
    <cacheField name="Ngày Gá" numFmtId="14">
      <sharedItems containsNonDate="0" containsDate="1" containsString="0" containsBlank="1" minDate="2026-06-03T00:00:00" maxDate="2026-10-17T00:00:00"/>
    </cacheField>
    <cacheField name="SL Gá" numFmtId="0">
      <sharedItems containsString="0" containsBlank="1" containsNumber="1" containsInteger="1" minValue="1" maxValue="1"/>
    </cacheField>
    <cacheField name="KL Gá" numFmtId="43">
      <sharedItems containsSemiMixedTypes="0" containsString="0" containsNumber="1" minValue="0" maxValue="23721.187999999995"/>
    </cacheField>
    <cacheField name="Ngày Hàn" numFmtId="14">
      <sharedItems containsNonDate="0" containsDate="1" containsString="0" containsBlank="1" minDate="2026-06-14T00:00:00" maxDate="2026-10-17T00:00:00"/>
    </cacheField>
    <cacheField name="SL Hàn" numFmtId="0">
      <sharedItems containsString="0" containsBlank="1" containsNumber="1" containsInteger="1" minValue="1" maxValue="1"/>
    </cacheField>
    <cacheField name="KL Hàn" numFmtId="43">
      <sharedItems containsSemiMixedTypes="0" containsString="0" containsNumber="1" minValue="0" maxValue="23721.187999999995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43">
      <sharedItems containsSemiMixedTypes="0" containsString="0" containsNumber="1" containsInteger="1" minValue="0" maxValue="0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8-07T00:00:00" maxDate="2026-09-21T00:00:00"/>
    </cacheField>
    <cacheField name="SL NT" numFmtId="0">
      <sharedItems containsString="0" containsBlank="1" containsNumber="1" containsInteger="1" minValue="1" maxValue="1"/>
    </cacheField>
    <cacheField name="KL NT" numFmtId="43">
      <sharedItems containsSemiMixedTypes="0" containsString="0" containsNumber="1" minValue="0" maxValue="23721.187999999995"/>
    </cacheField>
    <cacheField name="Ngày BG" numFmtId="14">
      <sharedItems containsNonDate="0" containsDate="1" containsString="0" containsBlank="1" minDate="2026-08-14T00:00:00" maxDate="2026-09-26T00:00:00"/>
    </cacheField>
    <cacheField name="SL BG" numFmtId="0">
      <sharedItems containsString="0" containsBlank="1" containsNumber="1" containsInteger="1" minValue="1" maxValue="1"/>
    </cacheField>
    <cacheField name="KL BG" numFmtId="43">
      <sharedItems containsSemiMixedTypes="0" containsString="0" containsNumber="1" minValue="0" maxValue="23721.187999999995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1"/>
    <x v="0"/>
    <s v="Shipment 1 Casing U1"/>
    <x v="0"/>
    <x v="0"/>
    <m/>
    <d v="2026-06-30T00:00:00"/>
    <s v="HRSG"/>
    <m/>
    <s v="S3"/>
    <s v="25HG015-DDO-0C137"/>
    <s v="CS02L"/>
    <s v="(716x1562.5x15245)"/>
    <n v="1"/>
    <n v="3286.3700000000003"/>
    <n v="3286.3700000000003"/>
    <m/>
    <m/>
    <m/>
    <m/>
    <m/>
    <m/>
    <m/>
    <m/>
    <m/>
    <m/>
    <m/>
    <m/>
    <m/>
    <m/>
    <n v="2957.7330000000002"/>
    <n v="328.63700000000017"/>
    <m/>
    <n v="0.3"/>
    <n v="985.91100000000006"/>
    <d v="2026-06-06T00:00:00"/>
    <n v="1"/>
    <n v="3286.3700000000003"/>
    <d v="2026-07-04T00:00:00"/>
    <n v="1"/>
    <n v="3286.3700000000003"/>
    <m/>
    <m/>
    <n v="0"/>
    <m/>
    <m/>
    <m/>
    <n v="0"/>
    <m/>
    <m/>
    <n v="0"/>
    <s v="PAC"/>
    <m/>
  </r>
  <r>
    <n v="2"/>
    <x v="0"/>
    <s v="Shipment 1 Casing U1"/>
    <x v="0"/>
    <x v="0"/>
    <m/>
    <d v="2026-06-30T00:00:00"/>
    <s v="HRSG"/>
    <m/>
    <s v="S3"/>
    <s v="25HG015-DDO-0C142"/>
    <s v="CS03L"/>
    <s v="(716x1562.5x14977.5)"/>
    <n v="1"/>
    <n v="2892.2239999999997"/>
    <n v="2892.2239999999997"/>
    <m/>
    <m/>
    <m/>
    <m/>
    <m/>
    <m/>
    <m/>
    <m/>
    <m/>
    <m/>
    <m/>
    <m/>
    <m/>
    <m/>
    <n v="2603.0015999999996"/>
    <n v="289.22240000000011"/>
    <m/>
    <n v="0.3"/>
    <n v="867.66719999999987"/>
    <d v="2026-07-24T00:00:00"/>
    <n v="1"/>
    <n v="2892.2239999999997"/>
    <d v="2026-07-29T00:00:00"/>
    <n v="1"/>
    <n v="2892.2239999999997"/>
    <m/>
    <m/>
    <n v="0"/>
    <m/>
    <m/>
    <m/>
    <n v="0"/>
    <m/>
    <m/>
    <n v="0"/>
    <s v="PAC"/>
    <m/>
  </r>
  <r>
    <n v="3"/>
    <x v="0"/>
    <s v="Shipment 1 Casing U1"/>
    <x v="0"/>
    <x v="0"/>
    <m/>
    <d v="2026-06-30T00:00:00"/>
    <s v="HRSG"/>
    <m/>
    <s v="S3"/>
    <s v="25HG015-DDO-0C146"/>
    <s v="CS04L"/>
    <s v="(1359.6 x 1532 x 34080)"/>
    <n v="1"/>
    <n v="22755.43"/>
    <n v="22755.43"/>
    <m/>
    <m/>
    <m/>
    <m/>
    <m/>
    <m/>
    <m/>
    <m/>
    <m/>
    <m/>
    <m/>
    <m/>
    <m/>
    <m/>
    <n v="22755.430000000004"/>
    <n v="0"/>
    <m/>
    <n v="0.3"/>
    <n v="6826.6289999999999"/>
    <d v="2026-07-20T00:00:00"/>
    <n v="1"/>
    <n v="22755.43"/>
    <d v="2026-07-27T00:00:00"/>
    <n v="1"/>
    <n v="22755.43"/>
    <m/>
    <m/>
    <n v="0"/>
    <s v="V314-CS-U1-007"/>
    <d v="2026-09-20T00:00:00"/>
    <n v="1"/>
    <n v="22755.43"/>
    <d v="2026-09-25T00:00:00"/>
    <n v="1"/>
    <n v="22755.43"/>
    <s v="PAC"/>
    <s v="V314-005"/>
  </r>
  <r>
    <n v="4"/>
    <x v="0"/>
    <s v="Shipment 1 Casing U1"/>
    <x v="0"/>
    <x v="0"/>
    <m/>
    <d v="2026-06-30T00:00:00"/>
    <s v="HRSG"/>
    <m/>
    <s v="S3"/>
    <s v="25HG015-DDO-0C151"/>
    <s v="CS05L"/>
    <s v="(614 x 2762.5 x 15245)"/>
    <n v="1"/>
    <n v="4314.6929999999993"/>
    <n v="4314.6929999999993"/>
    <m/>
    <m/>
    <m/>
    <m/>
    <m/>
    <m/>
    <m/>
    <m/>
    <m/>
    <m/>
    <m/>
    <m/>
    <m/>
    <m/>
    <n v="3883.2236999999996"/>
    <n v="431.46929999999975"/>
    <m/>
    <n v="0.3"/>
    <n v="1294.4078999999997"/>
    <d v="2026-06-03T00:00:00"/>
    <n v="1"/>
    <n v="4314.6929999999993"/>
    <d v="2026-06-14T00:00:00"/>
    <n v="1"/>
    <n v="4314.6929999999993"/>
    <m/>
    <m/>
    <n v="0"/>
    <m/>
    <m/>
    <m/>
    <n v="0"/>
    <m/>
    <m/>
    <n v="0"/>
    <s v="PAC"/>
    <m/>
  </r>
  <r>
    <n v="5"/>
    <x v="0"/>
    <s v="Shipment 1 Casing U1"/>
    <x v="0"/>
    <x v="0"/>
    <m/>
    <d v="2026-06-30T00:00:00"/>
    <s v="HRSG"/>
    <m/>
    <s v="S3"/>
    <s v="25HG015-DDO-0C155"/>
    <s v="CS06L"/>
    <s v="(614 x 2762.5 x 13265.5)"/>
    <n v="1"/>
    <n v="3630.0800000000004"/>
    <n v="3630.0800000000004"/>
    <m/>
    <m/>
    <m/>
    <m/>
    <m/>
    <m/>
    <m/>
    <m/>
    <m/>
    <m/>
    <m/>
    <m/>
    <m/>
    <m/>
    <n v="3267.0720000000001"/>
    <n v="363.00800000000027"/>
    <m/>
    <n v="0.3"/>
    <n v="1089.0240000000001"/>
    <d v="2026-07-29T00:00:00"/>
    <n v="1"/>
    <n v="3630.0800000000004"/>
    <d v="2026-08-05T00:00:00"/>
    <n v="1"/>
    <n v="3630.0800000000004"/>
    <m/>
    <m/>
    <n v="0"/>
    <m/>
    <m/>
    <m/>
    <n v="0"/>
    <m/>
    <m/>
    <n v="0"/>
    <s v="PAC"/>
    <m/>
  </r>
  <r>
    <n v="6"/>
    <x v="0"/>
    <s v="Shipment 1 Casing U1"/>
    <x v="0"/>
    <x v="0"/>
    <m/>
    <d v="2026-06-30T00:00:00"/>
    <s v="HRSG"/>
    <m/>
    <s v="S3"/>
    <s v="25HG015-DDO-0C171"/>
    <s v="CS08L"/>
    <s v="(532 x 2062.5 x 15245)"/>
    <n v="1"/>
    <n v="3688.4110000000014"/>
    <n v="3688.4110000000014"/>
    <m/>
    <m/>
    <m/>
    <m/>
    <m/>
    <m/>
    <m/>
    <m/>
    <m/>
    <m/>
    <m/>
    <m/>
    <m/>
    <m/>
    <n v="3319.5699000000013"/>
    <n v="368.8411000000001"/>
    <m/>
    <n v="0.3"/>
    <n v="1106.5233000000003"/>
    <d v="2026-06-06T00:00:00"/>
    <n v="1"/>
    <n v="3688.4110000000014"/>
    <d v="2026-06-22T00:00:00"/>
    <n v="1"/>
    <n v="3688.4110000000014"/>
    <m/>
    <m/>
    <n v="0"/>
    <m/>
    <m/>
    <m/>
    <n v="0"/>
    <m/>
    <m/>
    <n v="0"/>
    <s v="PAC"/>
    <m/>
  </r>
  <r>
    <n v="7"/>
    <x v="0"/>
    <s v="Shipment 1 Casing U1"/>
    <x v="0"/>
    <x v="0"/>
    <m/>
    <d v="2026-06-30T00:00:00"/>
    <s v="HRSG"/>
    <m/>
    <s v="S3"/>
    <s v="25HG015-DDO-0C176"/>
    <s v="CS09L"/>
    <s v="(532 x 2062.5 x 14977.5)"/>
    <n v="1"/>
    <n v="3513.49"/>
    <n v="3513.49"/>
    <m/>
    <m/>
    <m/>
    <m/>
    <m/>
    <m/>
    <m/>
    <m/>
    <m/>
    <m/>
    <m/>
    <m/>
    <m/>
    <m/>
    <n v="3162.1409999999996"/>
    <n v="351.34900000000016"/>
    <m/>
    <n v="0.3"/>
    <n v="1054.0469999999998"/>
    <d v="2026-06-03T00:00:00"/>
    <n v="1"/>
    <n v="3513.49"/>
    <d v="2026-06-15T00:00:00"/>
    <n v="1"/>
    <n v="3513.49"/>
    <m/>
    <m/>
    <n v="0"/>
    <m/>
    <m/>
    <m/>
    <n v="0"/>
    <m/>
    <m/>
    <n v="0"/>
    <s v="PAC"/>
    <m/>
  </r>
  <r>
    <n v="8"/>
    <x v="0"/>
    <s v="Shipment 1 Casing U1"/>
    <x v="0"/>
    <x v="0"/>
    <m/>
    <d v="2026-06-30T00:00:00"/>
    <s v="HRSG"/>
    <m/>
    <s v="S3"/>
    <s v="25HG015-DDO-0C191"/>
    <s v="CS11L"/>
    <s v="(507 x 1645 x 15235)"/>
    <n v="1"/>
    <n v="3030.188000000001"/>
    <n v="3030.188000000001"/>
    <m/>
    <m/>
    <m/>
    <m/>
    <m/>
    <m/>
    <m/>
    <m/>
    <m/>
    <m/>
    <m/>
    <m/>
    <m/>
    <m/>
    <n v="2727.1692000000012"/>
    <n v="303.01879999999983"/>
    <m/>
    <n v="0.3"/>
    <n v="909.05640000000028"/>
    <d v="2026-08-05T00:00:00"/>
    <n v="1"/>
    <n v="3030.188000000001"/>
    <d v="2026-08-08T00:00:00"/>
    <n v="1"/>
    <n v="3030.188000000001"/>
    <m/>
    <m/>
    <n v="0"/>
    <m/>
    <m/>
    <m/>
    <n v="0"/>
    <m/>
    <m/>
    <n v="0"/>
    <s v="PAC"/>
    <m/>
  </r>
  <r>
    <n v="9"/>
    <x v="0"/>
    <s v="Shipment 1 Casing U1"/>
    <x v="0"/>
    <x v="0"/>
    <m/>
    <d v="2026-06-30T00:00:00"/>
    <s v="HRSG"/>
    <m/>
    <s v="S3"/>
    <s v="25HG015-DDO-0C196"/>
    <s v="CS12L"/>
    <s v="(507 x 1645 x 14977.5)"/>
    <n v="1"/>
    <n v="2941.9620000000009"/>
    <n v="2941.9620000000009"/>
    <m/>
    <m/>
    <m/>
    <m/>
    <m/>
    <m/>
    <m/>
    <m/>
    <m/>
    <m/>
    <m/>
    <m/>
    <m/>
    <m/>
    <n v="2647.765800000001"/>
    <n v="294.19619999999986"/>
    <m/>
    <n v="0.3"/>
    <n v="882.58860000000027"/>
    <d v="2026-06-07T00:00:00"/>
    <n v="1"/>
    <n v="2941.9620000000009"/>
    <d v="2026-06-23T00:00:00"/>
    <n v="1"/>
    <n v="2941.9620000000009"/>
    <m/>
    <m/>
    <n v="0"/>
    <m/>
    <m/>
    <m/>
    <n v="0"/>
    <m/>
    <m/>
    <n v="0"/>
    <s v="PAC"/>
    <m/>
  </r>
  <r>
    <n v="10"/>
    <x v="0"/>
    <s v="Shipment 1 Casing U1"/>
    <x v="0"/>
    <x v="0"/>
    <m/>
    <d v="2026-06-30T00:00:00"/>
    <s v="HRSG"/>
    <m/>
    <s v="S3"/>
    <s v="25HG015-DDO-0C212"/>
    <s v="CS14L"/>
    <s v="(497 x 1995 x 15235)"/>
    <n v="1"/>
    <n v="3490.5760000000014"/>
    <n v="3490.5760000000014"/>
    <m/>
    <m/>
    <m/>
    <m/>
    <m/>
    <m/>
    <m/>
    <m/>
    <m/>
    <m/>
    <m/>
    <m/>
    <m/>
    <m/>
    <n v="3141.5184000000013"/>
    <n v="349.05760000000009"/>
    <m/>
    <n v="0.3"/>
    <n v="1047.1728000000003"/>
    <d v="2026-07-29T00:00:00"/>
    <n v="1"/>
    <n v="3490.5760000000014"/>
    <d v="2026-07-31T00:00:00"/>
    <n v="1"/>
    <n v="3490.5760000000014"/>
    <m/>
    <m/>
    <n v="0"/>
    <m/>
    <m/>
    <m/>
    <n v="0"/>
    <m/>
    <m/>
    <n v="0"/>
    <s v="PAC"/>
    <m/>
  </r>
  <r>
    <n v="11"/>
    <x v="0"/>
    <s v="Shipment 1 Casing U1"/>
    <x v="0"/>
    <x v="0"/>
    <m/>
    <d v="2026-06-30T00:00:00"/>
    <s v="HRSG"/>
    <m/>
    <s v="S3"/>
    <s v="25HG015-DDO-0C217"/>
    <s v="CS15L"/>
    <s v="(497 x 1995 x 14977.5)"/>
    <n v="1"/>
    <n v="3397.0479999999998"/>
    <n v="3397.0479999999998"/>
    <m/>
    <m/>
    <m/>
    <m/>
    <m/>
    <m/>
    <m/>
    <m/>
    <m/>
    <m/>
    <m/>
    <m/>
    <m/>
    <m/>
    <n v="3057.3431999999998"/>
    <n v="339.70479999999998"/>
    <m/>
    <n v="0.3"/>
    <n v="1019.1143999999999"/>
    <d v="2026-07-24T00:00:00"/>
    <n v="1"/>
    <n v="3397.0479999999998"/>
    <d v="2026-07-29T00:00:00"/>
    <n v="1"/>
    <n v="3397.0479999999998"/>
    <m/>
    <m/>
    <n v="0"/>
    <m/>
    <m/>
    <m/>
    <n v="0"/>
    <m/>
    <m/>
    <n v="0"/>
    <s v="PAC"/>
    <m/>
  </r>
  <r>
    <n v="12"/>
    <x v="0"/>
    <s v="Shipment 1 Casing U1"/>
    <x v="0"/>
    <x v="0"/>
    <m/>
    <d v="2026-06-30T00:00:00"/>
    <s v="HRSG"/>
    <m/>
    <s v="S3"/>
    <s v="25HG015-DDO-0C222"/>
    <s v="CS16L"/>
    <s v="(1075 x 1307 x 34080)"/>
    <n v="1"/>
    <n v="23721.187999999995"/>
    <n v="23721.187999999995"/>
    <m/>
    <m/>
    <m/>
    <m/>
    <m/>
    <m/>
    <m/>
    <m/>
    <m/>
    <m/>
    <m/>
    <m/>
    <m/>
    <m/>
    <n v="23721.187999999998"/>
    <n v="0"/>
    <m/>
    <n v="0.3"/>
    <n v="7116.3563999999978"/>
    <d v="2026-07-25T00:00:00"/>
    <n v="1"/>
    <n v="23721.187999999995"/>
    <d v="2026-07-31T00:00:00"/>
    <n v="1"/>
    <n v="23721.187999999995"/>
    <m/>
    <m/>
    <n v="0"/>
    <s v="V314-CS-U1-006"/>
    <d v="2026-09-18T00:00:00"/>
    <n v="1"/>
    <n v="23721.187999999995"/>
    <d v="2026-09-25T00:00:00"/>
    <n v="1"/>
    <n v="23721.187999999995"/>
    <s v="PAC"/>
    <s v="V314-004"/>
  </r>
  <r>
    <n v="13"/>
    <x v="0"/>
    <s v="Shipment 1 Casing U1"/>
    <x v="0"/>
    <x v="0"/>
    <m/>
    <d v="2026-06-30T00:00:00"/>
    <s v="HRSG"/>
    <m/>
    <s v="S1"/>
    <s v="25HG015-DDO-0C231"/>
    <s v="CS21T"/>
    <s v="(675 x 2005 x 14641)"/>
    <n v="1"/>
    <n v="10211.131999999998"/>
    <n v="10211.131999999998"/>
    <m/>
    <m/>
    <m/>
    <m/>
    <m/>
    <m/>
    <m/>
    <m/>
    <m/>
    <m/>
    <m/>
    <m/>
    <m/>
    <m/>
    <n v="9190.018799999998"/>
    <n v="1021.1131999999998"/>
    <m/>
    <n v="0.3"/>
    <n v="3063.3395999999993"/>
    <d v="2026-07-17T00:00:00"/>
    <n v="1"/>
    <n v="10211.131999999998"/>
    <d v="2026-07-24T00:00:00"/>
    <n v="1"/>
    <n v="10211.131999999998"/>
    <m/>
    <m/>
    <n v="0"/>
    <m/>
    <m/>
    <m/>
    <n v="0"/>
    <m/>
    <m/>
    <n v="0"/>
    <s v="PAC"/>
    <m/>
  </r>
  <r>
    <n v="14"/>
    <x v="0"/>
    <s v="Shipment 1 Casing U1"/>
    <x v="0"/>
    <x v="0"/>
    <m/>
    <d v="2026-06-30T00:00:00"/>
    <s v="HRSG"/>
    <m/>
    <s v="S1"/>
    <s v="25HG015-DDO-0C233"/>
    <s v="CS22T"/>
    <s v="(900 x 2241 x 14641)"/>
    <n v="1"/>
    <n v="12004.24"/>
    <n v="12004.24"/>
    <m/>
    <m/>
    <m/>
    <m/>
    <m/>
    <m/>
    <m/>
    <m/>
    <m/>
    <m/>
    <m/>
    <m/>
    <m/>
    <m/>
    <n v="10803.815999999999"/>
    <n v="1200.4240000000009"/>
    <m/>
    <n v="0.3"/>
    <n v="3601.2719999999999"/>
    <d v="2026-07-23T00:00:00"/>
    <n v="1"/>
    <n v="12004.24"/>
    <d v="2026-07-29T00:00:00"/>
    <n v="1"/>
    <n v="12004.24"/>
    <m/>
    <m/>
    <n v="0"/>
    <m/>
    <m/>
    <m/>
    <n v="0"/>
    <m/>
    <m/>
    <n v="0"/>
    <s v="PAC"/>
    <m/>
  </r>
  <r>
    <n v="15"/>
    <x v="0"/>
    <s v="Shipment 1 Casing U1"/>
    <x v="0"/>
    <x v="0"/>
    <m/>
    <d v="2026-06-30T00:00:00"/>
    <s v="HRSG"/>
    <m/>
    <s v="S1"/>
    <s v="25HG015-DDO-0C237"/>
    <s v="CS23T"/>
    <s v="(900 x 2005 x 14291)"/>
    <n v="1"/>
    <n v="10489.214999999998"/>
    <n v="10489.214999999998"/>
    <m/>
    <m/>
    <m/>
    <m/>
    <m/>
    <m/>
    <m/>
    <m/>
    <m/>
    <m/>
    <m/>
    <m/>
    <m/>
    <m/>
    <n v="9440.2934999999998"/>
    <n v="1048.9214999999986"/>
    <m/>
    <n v="0.3"/>
    <n v="3146.7644999999993"/>
    <d v="2026-07-23T00:00:00"/>
    <n v="1"/>
    <n v="10489.214999999998"/>
    <d v="2026-07-28T00:00:00"/>
    <n v="1"/>
    <n v="10489.214999999998"/>
    <m/>
    <m/>
    <n v="0"/>
    <m/>
    <m/>
    <m/>
    <n v="0"/>
    <m/>
    <m/>
    <n v="0"/>
    <s v="PAC"/>
    <m/>
  </r>
  <r>
    <n v="16"/>
    <x v="0"/>
    <s v="Shipment 1 Casing U1"/>
    <x v="0"/>
    <x v="0"/>
    <m/>
    <d v="2026-06-30T00:00:00"/>
    <s v="HRSG"/>
    <m/>
    <s v="S1"/>
    <s v="25HG015-DDO-0C239"/>
    <s v="CS24T"/>
    <s v="(900 x 2005 x 14141)"/>
    <n v="1"/>
    <n v="11555.94"/>
    <n v="11555.94"/>
    <m/>
    <m/>
    <m/>
    <m/>
    <m/>
    <m/>
    <m/>
    <m/>
    <m/>
    <m/>
    <m/>
    <m/>
    <m/>
    <m/>
    <n v="10400.346000000001"/>
    <n v="1155.5939999999991"/>
    <m/>
    <n v="0.3"/>
    <n v="3466.7820000000002"/>
    <d v="2026-07-15T00:00:00"/>
    <n v="1"/>
    <n v="11555.94"/>
    <d v="2026-07-20T00:00:00"/>
    <n v="1"/>
    <n v="11555.94"/>
    <m/>
    <m/>
    <n v="0"/>
    <m/>
    <m/>
    <m/>
    <n v="0"/>
    <m/>
    <m/>
    <n v="0"/>
    <s v="PAC"/>
    <m/>
  </r>
  <r>
    <n v="17"/>
    <x v="0"/>
    <s v="Shipment 1 Casing U1"/>
    <x v="0"/>
    <x v="0"/>
    <m/>
    <d v="2026-06-30T00:00:00"/>
    <s v="HRSG"/>
    <m/>
    <s v="S2"/>
    <s v="25HG015-DDO-0C241"/>
    <s v="CS25T"/>
    <s v="(900 x 2045 x 14141)"/>
    <n v="1"/>
    <n v="10684.420000000002"/>
    <n v="10684.420000000002"/>
    <m/>
    <m/>
    <m/>
    <m/>
    <m/>
    <m/>
    <m/>
    <m/>
    <m/>
    <m/>
    <m/>
    <m/>
    <m/>
    <m/>
    <n v="10684.420000000004"/>
    <n v="0"/>
    <m/>
    <n v="0.3"/>
    <n v="3205.3260000000005"/>
    <d v="2026-07-03T00:00:00"/>
    <n v="1"/>
    <n v="10684.420000000002"/>
    <d v="2026-07-19T00:00:00"/>
    <n v="1"/>
    <n v="10684.420000000002"/>
    <m/>
    <m/>
    <n v="0"/>
    <s v="V314-CS-U1-005"/>
    <d v="2026-08-11T00:00:00"/>
    <n v="1"/>
    <n v="10684.420000000002"/>
    <d v="2026-08-14T00:00:00"/>
    <n v="1"/>
    <n v="10684.420000000002"/>
    <s v="PAC"/>
    <s v="V314-002"/>
  </r>
  <r>
    <n v="18"/>
    <x v="0"/>
    <s v="Shipment 1 Casing U1"/>
    <x v="0"/>
    <x v="0"/>
    <m/>
    <d v="2026-06-30T00:00:00"/>
    <s v="HRSG"/>
    <m/>
    <s v="S2"/>
    <s v="25HG015-DDO-0C245"/>
    <s v="CS26T"/>
    <s v="(900 x 2045 x 14091)"/>
    <n v="1"/>
    <n v="11756.467999999999"/>
    <n v="11756.467999999999"/>
    <m/>
    <m/>
    <m/>
    <m/>
    <m/>
    <m/>
    <m/>
    <m/>
    <m/>
    <m/>
    <m/>
    <m/>
    <m/>
    <m/>
    <n v="11756.467999999999"/>
    <n v="0"/>
    <m/>
    <n v="0.3"/>
    <n v="3526.9403999999995"/>
    <d v="2026-06-13T00:00:00"/>
    <n v="1"/>
    <n v="11756.467999999999"/>
    <d v="2026-06-28T00:00:00"/>
    <n v="1"/>
    <n v="11756.467999999999"/>
    <m/>
    <m/>
    <n v="0"/>
    <s v="V314-CS-U1-004"/>
    <d v="2026-08-11T00:00:00"/>
    <n v="1"/>
    <n v="11756.467999999999"/>
    <d v="2026-08-14T00:00:00"/>
    <n v="1"/>
    <n v="11756.467999999999"/>
    <s v="PAC"/>
    <s v="V314-003"/>
  </r>
  <r>
    <n v="19"/>
    <x v="0"/>
    <s v="Shipment 1 Casing U1"/>
    <x v="0"/>
    <x v="0"/>
    <m/>
    <d v="2026-06-30T00:00:00"/>
    <s v="HRSG"/>
    <m/>
    <s v="S2"/>
    <s v="25HG015-DDO-0C249"/>
    <s v="CS27T"/>
    <s v="(900 x 2045 x 14041)"/>
    <n v="1"/>
    <n v="10674.704"/>
    <n v="10674.704"/>
    <m/>
    <m/>
    <m/>
    <m/>
    <m/>
    <m/>
    <m/>
    <m/>
    <m/>
    <m/>
    <m/>
    <m/>
    <m/>
    <m/>
    <n v="10674.704"/>
    <n v="0"/>
    <m/>
    <n v="0.3"/>
    <n v="3202.4112"/>
    <d v="2026-07-21T00:00:00"/>
    <n v="1"/>
    <n v="10674.704"/>
    <d v="2026-07-27T00:00:00"/>
    <n v="1"/>
    <n v="10674.704"/>
    <m/>
    <m/>
    <n v="0"/>
    <s v="V314-CS-U1-004"/>
    <d v="2026-08-11T00:00:00"/>
    <n v="1"/>
    <n v="10674.704"/>
    <d v="2026-08-14T00:00:00"/>
    <n v="1"/>
    <n v="10674.704"/>
    <s v="PAC"/>
    <s v="V314-003"/>
  </r>
  <r>
    <n v="20"/>
    <x v="0"/>
    <s v="Shipment 1 Casing U1"/>
    <x v="0"/>
    <x v="0"/>
    <m/>
    <d v="2026-06-30T00:00:00"/>
    <s v="HRSG"/>
    <m/>
    <s v="S2"/>
    <s v="25HG015-DDO-0C253"/>
    <s v="CS28T"/>
    <s v="(900 x 2045 x 14041)"/>
    <n v="1"/>
    <n v="10674.576000000001"/>
    <n v="10674.576000000001"/>
    <m/>
    <m/>
    <m/>
    <m/>
    <m/>
    <m/>
    <m/>
    <m/>
    <m/>
    <m/>
    <m/>
    <m/>
    <m/>
    <m/>
    <n v="10674.576000000001"/>
    <n v="0"/>
    <m/>
    <n v="0.3"/>
    <n v="3202.3728000000001"/>
    <d v="2026-07-18T00:00:00"/>
    <n v="1"/>
    <n v="10674.576000000001"/>
    <d v="2026-07-22T00:00:00"/>
    <n v="1"/>
    <n v="10674.576000000001"/>
    <m/>
    <m/>
    <n v="0"/>
    <s v="V314-CS-U1-005"/>
    <d v="2026-08-11T00:00:00"/>
    <n v="1"/>
    <n v="10674.576000000001"/>
    <d v="2026-08-14T00:00:00"/>
    <n v="1"/>
    <n v="10674.576000000001"/>
    <s v="PAC"/>
    <s v="V314-002"/>
  </r>
  <r>
    <n v="21"/>
    <x v="0"/>
    <s v="Shipment 1 Casing U1"/>
    <x v="0"/>
    <x v="0"/>
    <m/>
    <d v="2026-06-30T00:00:00"/>
    <s v="HRSG"/>
    <m/>
    <s v="S2"/>
    <s v="25HG015-DDO-0C257"/>
    <s v="CS29T"/>
    <s v="(900 x 2045 x 14041)"/>
    <n v="1"/>
    <n v="10612.276"/>
    <n v="10612.276"/>
    <m/>
    <m/>
    <m/>
    <m/>
    <m/>
    <m/>
    <m/>
    <m/>
    <m/>
    <m/>
    <m/>
    <m/>
    <m/>
    <m/>
    <n v="10612.276"/>
    <n v="0"/>
    <m/>
    <n v="0.3"/>
    <n v="3183.6828"/>
    <d v="2026-07-16T00:00:00"/>
    <n v="1"/>
    <n v="10612.276"/>
    <d v="2026-07-25T00:00:00"/>
    <n v="1"/>
    <n v="10612.276"/>
    <m/>
    <m/>
    <n v="0"/>
    <s v="V314-CS-U1-003"/>
    <d v="2026-08-07T00:00:00"/>
    <n v="1"/>
    <n v="10612.276"/>
    <d v="2026-08-14T00:00:00"/>
    <n v="1"/>
    <n v="10612.276"/>
    <s v="PAC"/>
    <s v="V314-001"/>
  </r>
  <r>
    <n v="22"/>
    <x v="0"/>
    <s v="Shipment 1 Casing U1"/>
    <x v="0"/>
    <x v="0"/>
    <m/>
    <d v="2026-06-30T00:00:00"/>
    <s v="HRSG"/>
    <m/>
    <s v="S2"/>
    <s v="25HG015-DDO-0C261"/>
    <s v="CS30T"/>
    <s v="(675 x 2005 x 14041)"/>
    <n v="1"/>
    <n v="10439.779999999997"/>
    <n v="10439.779999999997"/>
    <m/>
    <m/>
    <m/>
    <m/>
    <m/>
    <m/>
    <m/>
    <m/>
    <m/>
    <m/>
    <m/>
    <m/>
    <m/>
    <m/>
    <n v="10439.779999999997"/>
    <n v="0"/>
    <m/>
    <n v="0.3"/>
    <n v="3131.9339999999988"/>
    <d v="2026-07-15T00:00:00"/>
    <n v="1"/>
    <n v="10439.779999999997"/>
    <d v="2026-07-24T00:00:00"/>
    <n v="1"/>
    <n v="10439.779999999997"/>
    <m/>
    <m/>
    <n v="0"/>
    <s v="V314-CS-U1-003"/>
    <d v="2026-08-07T00:00:00"/>
    <n v="1"/>
    <n v="10439.779999999997"/>
    <d v="2026-08-14T00:00:00"/>
    <n v="1"/>
    <n v="10439.779999999997"/>
    <s v="PAC"/>
    <s v="V314-001"/>
  </r>
  <r>
    <n v="23"/>
    <x v="0"/>
    <s v="Shipment 1 Casing U1"/>
    <x v="0"/>
    <x v="0"/>
    <m/>
    <d v="2026-06-30T00:00:00"/>
    <s v="HRSG"/>
    <m/>
    <s v="S1"/>
    <s v="25HG015-DDO-0C263"/>
    <s v="CS31T"/>
    <m/>
    <n v="1"/>
    <n v="5316.6400000000012"/>
    <n v="5316.6400000000012"/>
    <m/>
    <m/>
    <m/>
    <m/>
    <m/>
    <m/>
    <m/>
    <m/>
    <m/>
    <m/>
    <m/>
    <m/>
    <m/>
    <m/>
    <n v="2658.3200000000006"/>
    <n v="2658.3200000000006"/>
    <m/>
    <n v="0.3"/>
    <n v="1594.9920000000004"/>
    <d v="2026-10-16T00:00:00"/>
    <n v="1"/>
    <n v="5316.6400000000012"/>
    <m/>
    <m/>
    <n v="0"/>
    <m/>
    <m/>
    <n v="0"/>
    <m/>
    <m/>
    <m/>
    <n v="0"/>
    <m/>
    <m/>
    <n v="0"/>
    <s v="PAC"/>
    <m/>
  </r>
  <r>
    <n v="24"/>
    <x v="0"/>
    <s v="Shipment 1 Casing U1"/>
    <x v="0"/>
    <x v="0"/>
    <m/>
    <d v="2026-06-30T00:00:00"/>
    <s v="HRSG"/>
    <m/>
    <s v="S4"/>
    <s v="25HG015-DDO-OC270"/>
    <s v="CS31B"/>
    <s v="(1491 x 4691 x 12191)"/>
    <n v="1"/>
    <n v="11863.376999999997"/>
    <n v="11863.376999999997"/>
    <m/>
    <m/>
    <m/>
    <m/>
    <m/>
    <m/>
    <m/>
    <m/>
    <m/>
    <m/>
    <m/>
    <m/>
    <m/>
    <m/>
    <n v="0"/>
    <n v="11863.376999999997"/>
    <m/>
    <n v="0.3"/>
    <n v="3559.0130999999988"/>
    <m/>
    <m/>
    <n v="0"/>
    <m/>
    <m/>
    <n v="0"/>
    <m/>
    <m/>
    <n v="0"/>
    <m/>
    <m/>
    <m/>
    <n v="0"/>
    <m/>
    <m/>
    <n v="0"/>
    <s v="Truong An"/>
    <m/>
  </r>
  <r>
    <n v="25"/>
    <x v="0"/>
    <s v="Shipment 1 Casing U1"/>
    <x v="0"/>
    <x v="0"/>
    <m/>
    <d v="2026-06-30T00:00:00"/>
    <s v="HRSG"/>
    <m/>
    <s v="S4"/>
    <s v="25HG015-DDO-OC279"/>
    <s v="CS32B"/>
    <s v="(382 x 1595 x 11829)"/>
    <n v="1"/>
    <n v="1589.9799999999998"/>
    <n v="1589.9799999999998"/>
    <m/>
    <m/>
    <m/>
    <m/>
    <m/>
    <m/>
    <m/>
    <m/>
    <m/>
    <m/>
    <m/>
    <m/>
    <m/>
    <m/>
    <n v="0"/>
    <n v="1589.9799999999998"/>
    <m/>
    <n v="0.3"/>
    <n v="476.99399999999991"/>
    <m/>
    <m/>
    <n v="0"/>
    <m/>
    <m/>
    <n v="0"/>
    <m/>
    <m/>
    <n v="0"/>
    <m/>
    <m/>
    <m/>
    <n v="0"/>
    <m/>
    <m/>
    <n v="0"/>
    <s v="Truong An"/>
    <m/>
  </r>
  <r>
    <n v="26"/>
    <x v="0"/>
    <s v="Shipment 1 Casing U1"/>
    <x v="0"/>
    <x v="0"/>
    <m/>
    <d v="2026-06-30T00:00:00"/>
    <s v="HRSG"/>
    <m/>
    <s v="S4"/>
    <s v="25HG015-DDO-OC283"/>
    <s v="CS33B"/>
    <s v="(767 x 1157 x 11841)"/>
    <n v="1"/>
    <n v="3605.1880000000001"/>
    <n v="3605.1880000000001"/>
    <m/>
    <m/>
    <m/>
    <m/>
    <m/>
    <m/>
    <m/>
    <m/>
    <m/>
    <m/>
    <m/>
    <m/>
    <m/>
    <m/>
    <n v="0"/>
    <n v="3605.1880000000001"/>
    <m/>
    <n v="0.3"/>
    <n v="1081.5563999999999"/>
    <m/>
    <m/>
    <n v="0"/>
    <m/>
    <m/>
    <n v="0"/>
    <m/>
    <m/>
    <n v="0"/>
    <m/>
    <m/>
    <m/>
    <n v="0"/>
    <m/>
    <m/>
    <n v="0"/>
    <s v="Truong An"/>
    <m/>
  </r>
  <r>
    <n v="27"/>
    <x v="0"/>
    <s v="Shipment 1 Casing U1"/>
    <x v="0"/>
    <x v="0"/>
    <m/>
    <d v="2026-06-30T00:00:00"/>
    <s v="HRSG"/>
    <m/>
    <s v="S4"/>
    <s v="25HG015-DDO-OC286"/>
    <s v="CS34B"/>
    <s v="(779 x 2795 x 11841)"/>
    <n v="1"/>
    <n v="4682.1599999999989"/>
    <n v="4682.1599999999989"/>
    <m/>
    <m/>
    <m/>
    <m/>
    <m/>
    <m/>
    <m/>
    <m/>
    <m/>
    <m/>
    <m/>
    <m/>
    <m/>
    <m/>
    <n v="0"/>
    <n v="4682.1599999999989"/>
    <m/>
    <n v="0.3"/>
    <n v="1404.6479999999997"/>
    <m/>
    <m/>
    <n v="0"/>
    <m/>
    <m/>
    <n v="0"/>
    <m/>
    <m/>
    <n v="0"/>
    <m/>
    <m/>
    <m/>
    <n v="0"/>
    <m/>
    <m/>
    <n v="0"/>
    <s v="Truong An"/>
    <m/>
  </r>
  <r>
    <n v="28"/>
    <x v="0"/>
    <s v="Shipment 1 Casing U1"/>
    <x v="0"/>
    <x v="0"/>
    <m/>
    <d v="2026-06-30T00:00:00"/>
    <s v="HRSG"/>
    <m/>
    <s v="S4"/>
    <s v="25HG015-DD0-0C289"/>
    <s v="CS35B"/>
    <s v="(1345 x 3468.5 x 11691)"/>
    <n v="1"/>
    <n v="8604.2280000000046"/>
    <n v="8604.2280000000046"/>
    <m/>
    <m/>
    <m/>
    <m/>
    <m/>
    <m/>
    <m/>
    <m/>
    <m/>
    <m/>
    <m/>
    <m/>
    <m/>
    <m/>
    <n v="0"/>
    <n v="8604.2280000000046"/>
    <m/>
    <n v="0.3"/>
    <n v="2581.2684000000013"/>
    <m/>
    <m/>
    <n v="0"/>
    <m/>
    <m/>
    <n v="0"/>
    <m/>
    <m/>
    <n v="0"/>
    <m/>
    <m/>
    <m/>
    <n v="0"/>
    <m/>
    <m/>
    <n v="0"/>
    <s v="Truong An"/>
    <m/>
  </r>
  <r>
    <n v="29"/>
    <x v="0"/>
    <s v="Shipment 1 Casing U1"/>
    <x v="0"/>
    <x v="0"/>
    <m/>
    <d v="2026-06-30T00:00:00"/>
    <s v="HRSG"/>
    <m/>
    <s v="S4"/>
    <s v="25HG015-DD0-0C294"/>
    <s v="CS36B"/>
    <s v="(541 x 2095 x 11691)"/>
    <n v="1"/>
    <n v="1991.74"/>
    <n v="1991.74"/>
    <m/>
    <m/>
    <m/>
    <m/>
    <m/>
    <m/>
    <m/>
    <m/>
    <m/>
    <m/>
    <m/>
    <m/>
    <m/>
    <m/>
    <n v="0"/>
    <n v="1991.74"/>
    <m/>
    <n v="0.3"/>
    <n v="597.52199999999993"/>
    <m/>
    <m/>
    <n v="0"/>
    <m/>
    <m/>
    <n v="0"/>
    <m/>
    <m/>
    <n v="0"/>
    <m/>
    <m/>
    <m/>
    <n v="0"/>
    <m/>
    <m/>
    <n v="0"/>
    <s v="Truong An"/>
    <m/>
  </r>
  <r>
    <n v="30"/>
    <x v="0"/>
    <s v="Shipment 1 Casing U1"/>
    <x v="0"/>
    <x v="0"/>
    <m/>
    <d v="2026-06-30T00:00:00"/>
    <s v="HRSG"/>
    <m/>
    <s v="S4"/>
    <s v="25HG015-DD0-0C298"/>
    <s v="CS37B"/>
    <s v="(1345 x 3367 x 11641)"/>
    <n v="1"/>
    <n v="8206.6280000000006"/>
    <n v="8206.6280000000006"/>
    <m/>
    <m/>
    <m/>
    <m/>
    <m/>
    <m/>
    <m/>
    <m/>
    <m/>
    <m/>
    <m/>
    <m/>
    <m/>
    <m/>
    <n v="0"/>
    <n v="8206.6280000000006"/>
    <m/>
    <n v="0.3"/>
    <n v="2461.9884000000002"/>
    <m/>
    <m/>
    <n v="0"/>
    <m/>
    <m/>
    <n v="0"/>
    <m/>
    <m/>
    <n v="0"/>
    <m/>
    <m/>
    <m/>
    <n v="0"/>
    <m/>
    <m/>
    <n v="0"/>
    <s v="Truong An"/>
    <m/>
  </r>
  <r>
    <n v="31"/>
    <x v="0"/>
    <s v="Shipment 1 Casing U1"/>
    <x v="0"/>
    <x v="0"/>
    <m/>
    <d v="2026-06-30T00:00:00"/>
    <s v="HRSG"/>
    <m/>
    <s v="S4"/>
    <s v="25HG015-DDO-OC303"/>
    <s v="CS38B"/>
    <s v="(366 x 1645 x 11579)"/>
    <n v="1"/>
    <n v="1663.6479999999997"/>
    <n v="1663.6479999999997"/>
    <m/>
    <m/>
    <m/>
    <m/>
    <m/>
    <m/>
    <m/>
    <m/>
    <m/>
    <m/>
    <m/>
    <m/>
    <m/>
    <m/>
    <n v="0"/>
    <n v="1663.6479999999997"/>
    <m/>
    <n v="0.3"/>
    <n v="499.09439999999989"/>
    <m/>
    <m/>
    <n v="0"/>
    <m/>
    <m/>
    <n v="0"/>
    <m/>
    <m/>
    <n v="0"/>
    <m/>
    <m/>
    <m/>
    <n v="0"/>
    <m/>
    <m/>
    <n v="0"/>
    <s v="Truong An"/>
    <m/>
  </r>
  <r>
    <n v="32"/>
    <x v="0"/>
    <s v="Shipment 1 Casing U1"/>
    <x v="0"/>
    <x v="0"/>
    <m/>
    <d v="2026-06-30T00:00:00"/>
    <s v="HRSG"/>
    <m/>
    <s v="S4"/>
    <s v="25HG015-DD0-0C307"/>
    <s v="CS39B"/>
    <s v="(1295 x 3267 x 11591)"/>
    <n v="1"/>
    <n v="8077.7600000000011"/>
    <n v="8077.7600000000011"/>
    <m/>
    <m/>
    <m/>
    <m/>
    <m/>
    <m/>
    <m/>
    <m/>
    <m/>
    <m/>
    <m/>
    <m/>
    <m/>
    <m/>
    <n v="0"/>
    <n v="8077.7600000000011"/>
    <m/>
    <n v="0.3"/>
    <n v="2423.3280000000004"/>
    <m/>
    <m/>
    <n v="0"/>
    <m/>
    <m/>
    <n v="0"/>
    <m/>
    <m/>
    <n v="0"/>
    <m/>
    <m/>
    <m/>
    <n v="0"/>
    <m/>
    <m/>
    <n v="0"/>
    <s v="Truong An"/>
    <m/>
  </r>
  <r>
    <n v="33"/>
    <x v="0"/>
    <s v="Shipment 1 Casing U1"/>
    <x v="0"/>
    <x v="0"/>
    <m/>
    <d v="2026-06-30T00:00:00"/>
    <s v="HRSG"/>
    <m/>
    <s v="S4"/>
    <s v="25HG015-DD0-0C312"/>
    <s v="CS40B"/>
    <s v="(491 x 2061 x 11579)"/>
    <n v="1"/>
    <n v="1823.3639999999996"/>
    <n v="1823.3639999999996"/>
    <m/>
    <m/>
    <m/>
    <m/>
    <m/>
    <m/>
    <m/>
    <m/>
    <m/>
    <m/>
    <m/>
    <m/>
    <m/>
    <m/>
    <n v="0"/>
    <n v="1823.3639999999996"/>
    <m/>
    <n v="0.3"/>
    <n v="547.00919999999985"/>
    <m/>
    <m/>
    <n v="0"/>
    <m/>
    <m/>
    <n v="0"/>
    <m/>
    <m/>
    <n v="0"/>
    <m/>
    <m/>
    <m/>
    <n v="0"/>
    <m/>
    <m/>
    <n v="0"/>
    <s v="Truong An"/>
    <m/>
  </r>
  <r>
    <n v="34"/>
    <x v="0"/>
    <s v="Shipment 1 Casing U1"/>
    <x v="0"/>
    <x v="0"/>
    <m/>
    <d v="2026-06-30T00:00:00"/>
    <s v="HRSG"/>
    <m/>
    <s v="S4"/>
    <s v="25HG015-DDO-OC315"/>
    <s v="CS41B"/>
    <s v="(525 x 1141 x 11591)"/>
    <n v="1"/>
    <n v="3145.0880000000002"/>
    <n v="3145.0880000000002"/>
    <m/>
    <m/>
    <m/>
    <m/>
    <m/>
    <m/>
    <m/>
    <m/>
    <m/>
    <m/>
    <m/>
    <m/>
    <m/>
    <m/>
    <n v="0"/>
    <n v="3145.0880000000002"/>
    <m/>
    <n v="0.3"/>
    <n v="943.52639999999997"/>
    <m/>
    <m/>
    <n v="0"/>
    <m/>
    <m/>
    <n v="0"/>
    <m/>
    <m/>
    <n v="0"/>
    <m/>
    <m/>
    <m/>
    <n v="0"/>
    <m/>
    <m/>
    <n v="0"/>
    <s v="Truong An"/>
    <m/>
  </r>
  <r>
    <n v="35"/>
    <x v="0"/>
    <s v="Shipment 1 Casing U1"/>
    <x v="0"/>
    <x v="0"/>
    <m/>
    <d v="2026-06-30T00:00:00"/>
    <s v="HRSG"/>
    <m/>
    <s v="S1"/>
    <s v="25HG015-DDO-OC321"/>
    <s v="CS41F"/>
    <s v="(882 x 2092 x 12119)"/>
    <n v="1"/>
    <n v="3326.8940000000002"/>
    <n v="3326.8940000000002"/>
    <m/>
    <m/>
    <m/>
    <m/>
    <m/>
    <m/>
    <m/>
    <m/>
    <m/>
    <m/>
    <m/>
    <m/>
    <m/>
    <m/>
    <n v="0"/>
    <n v="3326.8940000000002"/>
    <m/>
    <n v="0.3"/>
    <n v="998.06820000000005"/>
    <m/>
    <m/>
    <n v="0"/>
    <m/>
    <m/>
    <n v="0"/>
    <m/>
    <m/>
    <n v="0"/>
    <m/>
    <m/>
    <m/>
    <n v="0"/>
    <m/>
    <m/>
    <n v="0"/>
    <s v="Truong An"/>
    <m/>
  </r>
  <r>
    <n v="36"/>
    <x v="0"/>
    <s v="Shipment 1 Casing U1"/>
    <x v="0"/>
    <x v="0"/>
    <m/>
    <d v="2026-06-30T00:00:00"/>
    <s v="HRSG"/>
    <m/>
    <s v="S1"/>
    <s v="25HG015-DDO-OC327"/>
    <s v="CS42F"/>
    <s v="(982.6 x 2488 x 12179)"/>
    <n v="1"/>
    <n v="3892.7239999999997"/>
    <n v="3892.7239999999997"/>
    <m/>
    <m/>
    <m/>
    <m/>
    <m/>
    <m/>
    <m/>
    <m/>
    <m/>
    <m/>
    <m/>
    <m/>
    <m/>
    <m/>
    <n v="1946.3619999999999"/>
    <n v="1946.3619999999999"/>
    <m/>
    <n v="0.3"/>
    <n v="1167.8172"/>
    <d v="2026-10-16T00:00:00"/>
    <n v="1"/>
    <n v="3892.7239999999997"/>
    <m/>
    <m/>
    <n v="0"/>
    <m/>
    <m/>
    <n v="0"/>
    <m/>
    <m/>
    <m/>
    <n v="0"/>
    <m/>
    <m/>
    <n v="0"/>
    <s v="Truong An"/>
    <m/>
  </r>
  <r>
    <n v="37"/>
    <x v="0"/>
    <s v="Shipment 1 Casing U1"/>
    <x v="0"/>
    <x v="0"/>
    <m/>
    <d v="2026-06-30T00:00:00"/>
    <s v="HRSG"/>
    <m/>
    <s v="S1"/>
    <s v="25HG015-DD0-0C332"/>
    <s v="CS43F"/>
    <s v="(816 x 2088 x 11829)"/>
    <n v="1"/>
    <n v="3309.712"/>
    <n v="3309.712"/>
    <m/>
    <m/>
    <m/>
    <m/>
    <m/>
    <m/>
    <m/>
    <m/>
    <m/>
    <m/>
    <m/>
    <m/>
    <m/>
    <m/>
    <n v="1654.856"/>
    <n v="1654.856"/>
    <m/>
    <n v="0.3"/>
    <n v="992.91359999999997"/>
    <d v="2026-10-16T00:00:00"/>
    <n v="1"/>
    <n v="3309.712"/>
    <m/>
    <m/>
    <n v="0"/>
    <m/>
    <m/>
    <n v="0"/>
    <m/>
    <m/>
    <m/>
    <n v="0"/>
    <m/>
    <m/>
    <n v="0"/>
    <s v="Truong An"/>
    <m/>
  </r>
  <r>
    <n v="38"/>
    <x v="0"/>
    <s v="Shipment 1 Casing U1"/>
    <x v="0"/>
    <x v="0"/>
    <m/>
    <d v="2026-06-30T00:00:00"/>
    <s v="HRSG"/>
    <m/>
    <s v="S2"/>
    <s v="25HG015-DD0-0C336"/>
    <s v="CS44F"/>
    <s v="(786 x 2088 x 11679)"/>
    <n v="1"/>
    <n v="3280.2600000000007"/>
    <n v="3280.2600000000007"/>
    <m/>
    <m/>
    <m/>
    <m/>
    <m/>
    <m/>
    <m/>
    <m/>
    <m/>
    <m/>
    <m/>
    <m/>
    <m/>
    <m/>
    <n v="2952.2340000000004"/>
    <n v="328.02600000000029"/>
    <m/>
    <n v="0.3"/>
    <n v="984.0780000000002"/>
    <d v="2026-10-12T00:00:00"/>
    <n v="1"/>
    <n v="3280.2600000000007"/>
    <d v="2026-10-15T00:00:00"/>
    <n v="1"/>
    <n v="3280.2600000000007"/>
    <m/>
    <m/>
    <n v="0"/>
    <m/>
    <m/>
    <m/>
    <n v="0"/>
    <m/>
    <m/>
    <n v="0"/>
    <s v="Truong An"/>
    <m/>
  </r>
  <r>
    <n v="39"/>
    <x v="0"/>
    <s v="Shipment 1 Casing U1"/>
    <x v="0"/>
    <x v="0"/>
    <m/>
    <d v="2026-06-30T00:00:00"/>
    <s v="HRSG"/>
    <m/>
    <s v="S2"/>
    <s v="25HG015-DDO-OC340"/>
    <s v="CS45F"/>
    <s v="(1090 x 2088 x 11579)"/>
    <n v="1"/>
    <n v="3970.6840000000002"/>
    <n v="3970.6840000000002"/>
    <m/>
    <m/>
    <m/>
    <m/>
    <m/>
    <m/>
    <m/>
    <m/>
    <m/>
    <m/>
    <m/>
    <m/>
    <m/>
    <m/>
    <n v="1985.3420000000001"/>
    <n v="1985.3420000000001"/>
    <m/>
    <n v="0.3"/>
    <n v="1191.2052000000001"/>
    <d v="2026-10-13T00:00:00"/>
    <n v="1"/>
    <n v="3970.6840000000002"/>
    <m/>
    <m/>
    <n v="0"/>
    <m/>
    <m/>
    <n v="0"/>
    <m/>
    <m/>
    <m/>
    <n v="0"/>
    <m/>
    <m/>
    <n v="0"/>
    <s v="Truong An"/>
    <m/>
  </r>
  <r>
    <n v="40"/>
    <x v="0"/>
    <s v="Shipment 1 Casing U1"/>
    <x v="0"/>
    <x v="0"/>
    <m/>
    <d v="2026-06-30T00:00:00"/>
    <s v="HRSG"/>
    <m/>
    <s v="S2"/>
    <s v="25HG015-DD0-0C344"/>
    <s v="CS46F"/>
    <s v="(1090 x 2488 x 11579)"/>
    <n v="1"/>
    <n v="4347.7700000000004"/>
    <n v="4347.7700000000004"/>
    <m/>
    <m/>
    <m/>
    <m/>
    <m/>
    <m/>
    <m/>
    <m/>
    <m/>
    <m/>
    <m/>
    <m/>
    <m/>
    <m/>
    <n v="3912.9930000000004"/>
    <n v="434.77700000000004"/>
    <m/>
    <n v="0.3"/>
    <n v="1304.3310000000001"/>
    <d v="2026-10-12T00:00:00"/>
    <n v="1"/>
    <n v="4347.7700000000004"/>
    <d v="2026-10-16T00:00:00"/>
    <n v="1"/>
    <n v="4347.7700000000004"/>
    <m/>
    <m/>
    <n v="0"/>
    <m/>
    <m/>
    <m/>
    <n v="0"/>
    <m/>
    <m/>
    <n v="0"/>
    <s v="Truong An"/>
    <m/>
  </r>
  <r>
    <n v="41"/>
    <x v="0"/>
    <s v="Shipment 2 Casing U2"/>
    <x v="1"/>
    <x v="1"/>
    <m/>
    <d v="2026-07-30T00:00:00"/>
    <s v="HRSG"/>
    <m/>
    <s v="S3"/>
    <s v="25HG015-DDO-0C137"/>
    <s v="CS02L"/>
    <s v="(716x1562.5x15245)"/>
    <n v="1"/>
    <n v="3286.3700000000003"/>
    <n v="3286.3700000000003"/>
    <m/>
    <m/>
    <m/>
    <m/>
    <m/>
    <m/>
    <m/>
    <m/>
    <m/>
    <m/>
    <m/>
    <m/>
    <m/>
    <m/>
    <n v="0"/>
    <n v="3286.3700000000003"/>
    <m/>
    <n v="0.05"/>
    <n v="164.31850000000003"/>
    <m/>
    <m/>
    <n v="0"/>
    <m/>
    <m/>
    <n v="0"/>
    <m/>
    <m/>
    <n v="0"/>
    <m/>
    <m/>
    <m/>
    <n v="0"/>
    <m/>
    <m/>
    <n v="0"/>
    <s v="PAC"/>
    <m/>
  </r>
  <r>
    <n v="42"/>
    <x v="0"/>
    <s v="Shipment 2 Casing U2"/>
    <x v="1"/>
    <x v="1"/>
    <m/>
    <d v="2026-07-30T00:00:00"/>
    <s v="HRSG"/>
    <m/>
    <s v="S3"/>
    <s v="25HG015-DDO-0C142"/>
    <s v="CS03L"/>
    <s v="(716x1562.5x14977.5)"/>
    <n v="1"/>
    <n v="2892.2239999999997"/>
    <n v="2892.2239999999997"/>
    <m/>
    <m/>
    <m/>
    <m/>
    <m/>
    <m/>
    <m/>
    <m/>
    <m/>
    <m/>
    <m/>
    <m/>
    <m/>
    <m/>
    <n v="0"/>
    <n v="2892.2239999999997"/>
    <m/>
    <n v="0.05"/>
    <n v="144.6112"/>
    <m/>
    <m/>
    <n v="0"/>
    <m/>
    <m/>
    <n v="0"/>
    <m/>
    <m/>
    <n v="0"/>
    <m/>
    <m/>
    <m/>
    <n v="0"/>
    <m/>
    <m/>
    <n v="0"/>
    <s v="PAC"/>
    <m/>
  </r>
  <r>
    <n v="43"/>
    <x v="0"/>
    <s v="Shipment 2 Casing U2"/>
    <x v="1"/>
    <x v="1"/>
    <m/>
    <d v="2026-07-30T00:00:00"/>
    <s v="HRSG"/>
    <m/>
    <s v="S3"/>
    <s v="25HG015-DDO-0C146"/>
    <s v="CS04L"/>
    <s v="(1359.6 x 1532 x 34080)"/>
    <n v="1"/>
    <n v="22755.43"/>
    <n v="22755.43"/>
    <m/>
    <m/>
    <m/>
    <m/>
    <m/>
    <m/>
    <m/>
    <m/>
    <m/>
    <m/>
    <m/>
    <m/>
    <m/>
    <m/>
    <n v="0"/>
    <n v="22755.43"/>
    <m/>
    <n v="0.05"/>
    <n v="1137.7715000000001"/>
    <m/>
    <m/>
    <n v="0"/>
    <m/>
    <m/>
    <n v="0"/>
    <m/>
    <m/>
    <n v="0"/>
    <m/>
    <m/>
    <m/>
    <n v="0"/>
    <m/>
    <m/>
    <n v="0"/>
    <s v="PAC"/>
    <m/>
  </r>
  <r>
    <n v="44"/>
    <x v="0"/>
    <s v="Shipment 2 Casing U2"/>
    <x v="1"/>
    <x v="1"/>
    <m/>
    <d v="2026-07-30T00:00:00"/>
    <s v="HRSG"/>
    <m/>
    <s v="S3"/>
    <s v="25HG015-DDO-0C151"/>
    <s v="CS05L"/>
    <s v="(614 x 2762.5 x 15245)"/>
    <n v="1"/>
    <n v="4314.6929999999993"/>
    <n v="4314.6929999999993"/>
    <m/>
    <m/>
    <m/>
    <m/>
    <m/>
    <m/>
    <m/>
    <m/>
    <m/>
    <m/>
    <m/>
    <m/>
    <m/>
    <m/>
    <n v="0"/>
    <n v="4314.6929999999993"/>
    <m/>
    <n v="0.05"/>
    <n v="215.73464999999999"/>
    <m/>
    <m/>
    <n v="0"/>
    <m/>
    <m/>
    <n v="0"/>
    <m/>
    <m/>
    <n v="0"/>
    <m/>
    <m/>
    <m/>
    <n v="0"/>
    <m/>
    <m/>
    <n v="0"/>
    <s v="PAC"/>
    <m/>
  </r>
  <r>
    <n v="45"/>
    <x v="0"/>
    <s v="Shipment 2 Casing U2"/>
    <x v="1"/>
    <x v="1"/>
    <m/>
    <d v="2026-07-30T00:00:00"/>
    <s v="HRSG"/>
    <m/>
    <s v="S3"/>
    <s v="25HG015-DDO-0C155"/>
    <s v="CS06L"/>
    <s v="(614 x 2762.5 x 13265.5)"/>
    <n v="1"/>
    <n v="3630.0800000000004"/>
    <n v="3630.0800000000004"/>
    <m/>
    <m/>
    <m/>
    <m/>
    <m/>
    <m/>
    <m/>
    <m/>
    <m/>
    <m/>
    <m/>
    <m/>
    <m/>
    <m/>
    <n v="0"/>
    <n v="3630.0800000000004"/>
    <m/>
    <n v="0.05"/>
    <n v="181.50400000000002"/>
    <m/>
    <m/>
    <n v="0"/>
    <m/>
    <m/>
    <n v="0"/>
    <m/>
    <m/>
    <n v="0"/>
    <m/>
    <m/>
    <m/>
    <n v="0"/>
    <m/>
    <m/>
    <n v="0"/>
    <s v="PAC"/>
    <m/>
  </r>
  <r>
    <n v="46"/>
    <x v="0"/>
    <s v="Shipment 2 Casing U2"/>
    <x v="1"/>
    <x v="1"/>
    <m/>
    <d v="2026-07-30T00:00:00"/>
    <s v="HRSG"/>
    <m/>
    <s v="S3"/>
    <s v="25HG015-DDO-0C171"/>
    <s v="CS08L"/>
    <s v="(532 x 2062.5 x 15245)"/>
    <n v="1"/>
    <n v="3688.4110000000014"/>
    <n v="3688.4110000000014"/>
    <m/>
    <m/>
    <m/>
    <m/>
    <m/>
    <m/>
    <m/>
    <m/>
    <m/>
    <m/>
    <m/>
    <m/>
    <m/>
    <m/>
    <n v="0"/>
    <n v="3688.4110000000014"/>
    <m/>
    <n v="0.05"/>
    <n v="184.42055000000008"/>
    <m/>
    <m/>
    <n v="0"/>
    <m/>
    <m/>
    <n v="0"/>
    <m/>
    <m/>
    <n v="0"/>
    <m/>
    <m/>
    <m/>
    <n v="0"/>
    <m/>
    <m/>
    <n v="0"/>
    <s v="PAC"/>
    <m/>
  </r>
  <r>
    <n v="47"/>
    <x v="0"/>
    <s v="Shipment 2 Casing U2"/>
    <x v="1"/>
    <x v="1"/>
    <m/>
    <d v="2026-07-30T00:00:00"/>
    <s v="HRSG"/>
    <m/>
    <s v="S3"/>
    <s v="25HG015-DDO-0C176"/>
    <s v="CS09L"/>
    <s v="(532 x 2062.5 x 14977.5)"/>
    <n v="1"/>
    <n v="3513.49"/>
    <n v="3513.49"/>
    <m/>
    <m/>
    <m/>
    <m/>
    <m/>
    <m/>
    <m/>
    <m/>
    <m/>
    <m/>
    <m/>
    <m/>
    <m/>
    <m/>
    <n v="0"/>
    <n v="3513.49"/>
    <m/>
    <n v="0.05"/>
    <n v="175.67449999999999"/>
    <m/>
    <m/>
    <n v="0"/>
    <m/>
    <m/>
    <n v="0"/>
    <m/>
    <m/>
    <n v="0"/>
    <m/>
    <m/>
    <m/>
    <n v="0"/>
    <m/>
    <m/>
    <n v="0"/>
    <s v="PAC"/>
    <m/>
  </r>
  <r>
    <n v="48"/>
    <x v="0"/>
    <s v="Shipment 2 Casing U2"/>
    <x v="1"/>
    <x v="1"/>
    <m/>
    <d v="2026-07-30T00:00:00"/>
    <s v="HRSG"/>
    <m/>
    <s v="S3"/>
    <s v="25HG015-DDO-0C191"/>
    <s v="CS11L"/>
    <s v="(507 x 1645 x 15235)"/>
    <n v="1"/>
    <n v="3030.188000000001"/>
    <n v="3030.188000000001"/>
    <m/>
    <m/>
    <m/>
    <m/>
    <m/>
    <m/>
    <m/>
    <m/>
    <m/>
    <m/>
    <m/>
    <m/>
    <m/>
    <m/>
    <n v="0"/>
    <n v="3030.188000000001"/>
    <m/>
    <n v="0.05"/>
    <n v="151.50940000000006"/>
    <m/>
    <m/>
    <n v="0"/>
    <m/>
    <m/>
    <n v="0"/>
    <m/>
    <m/>
    <n v="0"/>
    <m/>
    <m/>
    <m/>
    <n v="0"/>
    <m/>
    <m/>
    <n v="0"/>
    <s v="PAC"/>
    <m/>
  </r>
  <r>
    <n v="49"/>
    <x v="0"/>
    <s v="Shipment 2 Casing U2"/>
    <x v="1"/>
    <x v="1"/>
    <m/>
    <d v="2026-07-30T00:00:00"/>
    <s v="HRSG"/>
    <m/>
    <s v="S3"/>
    <s v="25HG015-DDO-0C196"/>
    <s v="CS12L"/>
    <s v="(507 x 1645 x 14977.5)"/>
    <n v="1"/>
    <n v="2941.9620000000009"/>
    <n v="2941.9620000000009"/>
    <m/>
    <m/>
    <m/>
    <m/>
    <m/>
    <m/>
    <m/>
    <m/>
    <m/>
    <m/>
    <m/>
    <m/>
    <m/>
    <m/>
    <n v="0"/>
    <n v="2941.9620000000009"/>
    <m/>
    <n v="0.05"/>
    <n v="147.09810000000004"/>
    <m/>
    <m/>
    <n v="0"/>
    <m/>
    <m/>
    <n v="0"/>
    <m/>
    <m/>
    <n v="0"/>
    <m/>
    <m/>
    <m/>
    <n v="0"/>
    <m/>
    <m/>
    <n v="0"/>
    <s v="PAC"/>
    <m/>
  </r>
  <r>
    <n v="50"/>
    <x v="0"/>
    <s v="Shipment 2 Casing U2"/>
    <x v="1"/>
    <x v="1"/>
    <m/>
    <d v="2026-07-30T00:00:00"/>
    <s v="HRSG"/>
    <m/>
    <s v="S3"/>
    <s v="25HG015-DDO-0C212"/>
    <s v="CS14L"/>
    <s v="(497 x 1995 x 15235)"/>
    <n v="1"/>
    <n v="3490.5760000000014"/>
    <n v="3490.5760000000014"/>
    <m/>
    <m/>
    <m/>
    <m/>
    <m/>
    <m/>
    <m/>
    <m/>
    <m/>
    <m/>
    <m/>
    <m/>
    <m/>
    <m/>
    <n v="0"/>
    <n v="3490.5760000000014"/>
    <m/>
    <n v="0.05"/>
    <n v="174.52880000000007"/>
    <m/>
    <m/>
    <n v="0"/>
    <m/>
    <m/>
    <n v="0"/>
    <m/>
    <m/>
    <n v="0"/>
    <m/>
    <m/>
    <m/>
    <n v="0"/>
    <m/>
    <m/>
    <n v="0"/>
    <s v="PAC"/>
    <m/>
  </r>
  <r>
    <n v="51"/>
    <x v="0"/>
    <s v="Shipment 2 Casing U2"/>
    <x v="1"/>
    <x v="1"/>
    <m/>
    <d v="2026-07-30T00:00:00"/>
    <s v="HRSG"/>
    <m/>
    <s v="S3"/>
    <s v="25HG015-DDO-0C217"/>
    <s v="CS15L"/>
    <s v="(497 x 1995 x 14977.5)"/>
    <n v="1"/>
    <n v="3397.0479999999998"/>
    <n v="3397.0479999999998"/>
    <m/>
    <m/>
    <m/>
    <m/>
    <m/>
    <m/>
    <m/>
    <m/>
    <m/>
    <m/>
    <m/>
    <m/>
    <m/>
    <m/>
    <n v="0"/>
    <n v="3397.0479999999998"/>
    <m/>
    <n v="0.05"/>
    <n v="169.85239999999999"/>
    <m/>
    <m/>
    <n v="0"/>
    <m/>
    <m/>
    <n v="0"/>
    <m/>
    <m/>
    <n v="0"/>
    <m/>
    <m/>
    <m/>
    <n v="0"/>
    <m/>
    <m/>
    <n v="0"/>
    <s v="PAC"/>
    <m/>
  </r>
  <r>
    <n v="52"/>
    <x v="0"/>
    <s v="Shipment 2 Casing U2"/>
    <x v="1"/>
    <x v="1"/>
    <m/>
    <d v="2026-07-30T00:00:00"/>
    <s v="HRSG"/>
    <m/>
    <s v="S3"/>
    <s v="25HG015-DDO-0C222"/>
    <s v="CS16L"/>
    <s v="(1075 x 1307 x 34080)"/>
    <n v="1"/>
    <n v="23721.187999999995"/>
    <n v="23721.187999999995"/>
    <m/>
    <m/>
    <m/>
    <m/>
    <m/>
    <m/>
    <m/>
    <m/>
    <m/>
    <m/>
    <m/>
    <m/>
    <m/>
    <m/>
    <n v="0"/>
    <n v="23721.187999999995"/>
    <m/>
    <n v="0.05"/>
    <n v="1186.0593999999999"/>
    <m/>
    <m/>
    <n v="0"/>
    <m/>
    <m/>
    <n v="0"/>
    <m/>
    <m/>
    <n v="0"/>
    <m/>
    <m/>
    <m/>
    <n v="0"/>
    <m/>
    <m/>
    <n v="0"/>
    <s v="PAC"/>
    <m/>
  </r>
  <r>
    <n v="53"/>
    <x v="0"/>
    <s v="Shipment 2 Casing U2"/>
    <x v="1"/>
    <x v="1"/>
    <m/>
    <d v="2026-07-30T00:00:00"/>
    <s v="HRSG"/>
    <m/>
    <s v="S1"/>
    <s v="25HG015-DDO-0C231"/>
    <s v="CS21T"/>
    <s v="(675 x 2005 x 14641)"/>
    <n v="1"/>
    <n v="10211.131999999998"/>
    <n v="10211.131999999998"/>
    <m/>
    <m/>
    <m/>
    <m/>
    <m/>
    <m/>
    <m/>
    <m/>
    <m/>
    <m/>
    <m/>
    <m/>
    <m/>
    <m/>
    <n v="0"/>
    <n v="10211.131999999998"/>
    <m/>
    <n v="0.05"/>
    <n v="510.55659999999989"/>
    <m/>
    <m/>
    <n v="0"/>
    <m/>
    <m/>
    <n v="0"/>
    <m/>
    <m/>
    <n v="0"/>
    <m/>
    <m/>
    <m/>
    <n v="0"/>
    <m/>
    <m/>
    <n v="0"/>
    <s v="PAC"/>
    <m/>
  </r>
  <r>
    <n v="54"/>
    <x v="0"/>
    <s v="Shipment 2 Casing U2"/>
    <x v="1"/>
    <x v="1"/>
    <m/>
    <d v="2026-07-30T00:00:00"/>
    <s v="HRSG"/>
    <m/>
    <s v="S1"/>
    <s v="25HG015-DDO-0C233"/>
    <s v="CS22T"/>
    <s v="(900 x 2241 x 14641)"/>
    <n v="1"/>
    <n v="12004.24"/>
    <n v="12004.24"/>
    <m/>
    <m/>
    <m/>
    <m/>
    <m/>
    <m/>
    <m/>
    <m/>
    <m/>
    <m/>
    <m/>
    <m/>
    <m/>
    <m/>
    <n v="0"/>
    <n v="12004.24"/>
    <m/>
    <n v="0.05"/>
    <n v="600.21199999999999"/>
    <m/>
    <m/>
    <n v="0"/>
    <m/>
    <m/>
    <n v="0"/>
    <m/>
    <m/>
    <n v="0"/>
    <m/>
    <m/>
    <m/>
    <n v="0"/>
    <m/>
    <m/>
    <n v="0"/>
    <s v="PAC"/>
    <m/>
  </r>
  <r>
    <n v="55"/>
    <x v="0"/>
    <s v="Shipment 2 Casing U2"/>
    <x v="1"/>
    <x v="1"/>
    <m/>
    <d v="2026-07-30T00:00:00"/>
    <s v="HRSG"/>
    <m/>
    <s v="S1"/>
    <s v="25HG015-DDO-0C237"/>
    <s v="CS23T"/>
    <s v="(900 x 2005 x 14291)"/>
    <n v="1"/>
    <n v="10489.214999999998"/>
    <n v="10489.214999999998"/>
    <m/>
    <m/>
    <m/>
    <m/>
    <m/>
    <m/>
    <m/>
    <m/>
    <m/>
    <m/>
    <m/>
    <m/>
    <m/>
    <m/>
    <n v="0"/>
    <n v="10489.214999999998"/>
    <m/>
    <n v="0.05"/>
    <n v="524.46074999999996"/>
    <m/>
    <m/>
    <n v="0"/>
    <m/>
    <m/>
    <n v="0"/>
    <m/>
    <m/>
    <n v="0"/>
    <m/>
    <m/>
    <m/>
    <n v="0"/>
    <m/>
    <m/>
    <n v="0"/>
    <s v="PAC"/>
    <m/>
  </r>
  <r>
    <n v="56"/>
    <x v="0"/>
    <s v="Shipment 2 Casing U2"/>
    <x v="1"/>
    <x v="1"/>
    <m/>
    <d v="2026-07-30T00:00:00"/>
    <s v="HRSG"/>
    <m/>
    <s v="S1"/>
    <s v="25HG015-DDO-0C239"/>
    <s v="CS24T"/>
    <s v="(900 x 2005 x 14141)"/>
    <n v="1"/>
    <n v="11555.94"/>
    <n v="11555.94"/>
    <m/>
    <m/>
    <m/>
    <m/>
    <m/>
    <m/>
    <m/>
    <m/>
    <m/>
    <m/>
    <m/>
    <m/>
    <m/>
    <m/>
    <n v="0"/>
    <n v="11555.94"/>
    <m/>
    <n v="0.05"/>
    <n v="577.79700000000003"/>
    <m/>
    <m/>
    <n v="0"/>
    <m/>
    <m/>
    <n v="0"/>
    <m/>
    <m/>
    <n v="0"/>
    <m/>
    <m/>
    <m/>
    <n v="0"/>
    <m/>
    <m/>
    <n v="0"/>
    <s v="PAC"/>
    <m/>
  </r>
  <r>
    <n v="57"/>
    <x v="0"/>
    <s v="Shipment 2 Casing U2"/>
    <x v="1"/>
    <x v="1"/>
    <m/>
    <d v="2026-07-30T00:00:00"/>
    <s v="HRSG"/>
    <m/>
    <s v="S2"/>
    <s v="25HG015-DDO-0C241"/>
    <s v="CS25T"/>
    <s v="(900 x 2045 x 14141)"/>
    <n v="1"/>
    <n v="10684.420000000002"/>
    <n v="10684.420000000002"/>
    <m/>
    <m/>
    <m/>
    <m/>
    <m/>
    <m/>
    <m/>
    <m/>
    <m/>
    <m/>
    <m/>
    <m/>
    <m/>
    <m/>
    <n v="0"/>
    <n v="10684.420000000002"/>
    <m/>
    <n v="0.05"/>
    <n v="534.22100000000012"/>
    <m/>
    <m/>
    <n v="0"/>
    <m/>
    <m/>
    <n v="0"/>
    <m/>
    <m/>
    <n v="0"/>
    <m/>
    <m/>
    <m/>
    <n v="0"/>
    <m/>
    <m/>
    <n v="0"/>
    <s v="PAC"/>
    <m/>
  </r>
  <r>
    <n v="58"/>
    <x v="0"/>
    <s v="Shipment 2 Casing U2"/>
    <x v="1"/>
    <x v="1"/>
    <m/>
    <d v="2026-07-30T00:00:00"/>
    <s v="HRSG"/>
    <m/>
    <s v="S2"/>
    <s v="25HG015-DDO-0C245"/>
    <s v="CS26T"/>
    <s v="(900 x 2045 x 14091)"/>
    <n v="1"/>
    <n v="11756.467999999999"/>
    <n v="11756.467999999999"/>
    <m/>
    <m/>
    <m/>
    <m/>
    <m/>
    <m/>
    <m/>
    <m/>
    <m/>
    <m/>
    <m/>
    <m/>
    <m/>
    <m/>
    <n v="0"/>
    <n v="11756.467999999999"/>
    <m/>
    <n v="0.05"/>
    <n v="587.82339999999999"/>
    <m/>
    <m/>
    <n v="0"/>
    <m/>
    <m/>
    <n v="0"/>
    <m/>
    <m/>
    <n v="0"/>
    <m/>
    <m/>
    <m/>
    <n v="0"/>
    <m/>
    <m/>
    <n v="0"/>
    <s v="PAC"/>
    <m/>
  </r>
  <r>
    <n v="59"/>
    <x v="0"/>
    <s v="Shipment 2 Casing U2"/>
    <x v="1"/>
    <x v="1"/>
    <m/>
    <d v="2026-07-30T00:00:00"/>
    <s v="HRSG"/>
    <m/>
    <s v="S2"/>
    <s v="25HG015-DDO-0C249"/>
    <s v="CS27T"/>
    <s v="(900 x 2045 x 14041)"/>
    <n v="1"/>
    <n v="10674.704"/>
    <n v="10674.704"/>
    <m/>
    <m/>
    <m/>
    <m/>
    <m/>
    <m/>
    <m/>
    <m/>
    <m/>
    <m/>
    <m/>
    <m/>
    <m/>
    <m/>
    <n v="0"/>
    <n v="10674.704"/>
    <m/>
    <n v="0.05"/>
    <n v="533.73519999999996"/>
    <m/>
    <m/>
    <n v="0"/>
    <m/>
    <m/>
    <n v="0"/>
    <m/>
    <m/>
    <n v="0"/>
    <m/>
    <m/>
    <m/>
    <n v="0"/>
    <m/>
    <m/>
    <n v="0"/>
    <s v="PAC"/>
    <m/>
  </r>
  <r>
    <n v="60"/>
    <x v="0"/>
    <s v="Shipment 2 Casing U2"/>
    <x v="1"/>
    <x v="1"/>
    <m/>
    <d v="2026-07-30T00:00:00"/>
    <s v="HRSG"/>
    <m/>
    <s v="S2"/>
    <s v="25HG015-DDO-0C253"/>
    <s v="CS28T"/>
    <s v="(900 x 2045 x 14041)"/>
    <n v="1"/>
    <n v="10674.576000000001"/>
    <n v="10674.576000000001"/>
    <m/>
    <m/>
    <m/>
    <m/>
    <m/>
    <m/>
    <m/>
    <m/>
    <m/>
    <m/>
    <m/>
    <m/>
    <m/>
    <m/>
    <n v="0"/>
    <n v="10674.576000000001"/>
    <m/>
    <n v="0.05"/>
    <n v="533.72880000000009"/>
    <m/>
    <m/>
    <n v="0"/>
    <m/>
    <m/>
    <n v="0"/>
    <m/>
    <m/>
    <n v="0"/>
    <m/>
    <m/>
    <m/>
    <n v="0"/>
    <m/>
    <m/>
    <n v="0"/>
    <s v="PAC"/>
    <m/>
  </r>
  <r>
    <n v="61"/>
    <x v="0"/>
    <s v="Shipment 2 Casing U2"/>
    <x v="1"/>
    <x v="1"/>
    <m/>
    <d v="2026-07-30T00:00:00"/>
    <s v="HRSG"/>
    <m/>
    <s v="S2"/>
    <s v="25HG015-DDO-0C257"/>
    <s v="CS29T"/>
    <s v="(900 x 2045 x 14041)"/>
    <n v="1"/>
    <n v="10612.276"/>
    <n v="10612.276"/>
    <m/>
    <m/>
    <m/>
    <m/>
    <m/>
    <m/>
    <m/>
    <m/>
    <m/>
    <m/>
    <m/>
    <m/>
    <m/>
    <m/>
    <n v="0"/>
    <n v="10612.276"/>
    <m/>
    <n v="0.05"/>
    <n v="530.61379999999997"/>
    <m/>
    <m/>
    <n v="0"/>
    <m/>
    <m/>
    <n v="0"/>
    <m/>
    <m/>
    <n v="0"/>
    <m/>
    <m/>
    <m/>
    <n v="0"/>
    <m/>
    <m/>
    <n v="0"/>
    <s v="PAC"/>
    <m/>
  </r>
  <r>
    <n v="62"/>
    <x v="0"/>
    <s v="Shipment 2 Casing U2"/>
    <x v="1"/>
    <x v="1"/>
    <m/>
    <d v="2026-07-30T00:00:00"/>
    <s v="HRSG"/>
    <m/>
    <s v="S2"/>
    <s v="25HG015-DDO-0C261"/>
    <s v="CS30T"/>
    <s v="(675 x 2005 x 14041)"/>
    <n v="1"/>
    <n v="10439.779999999997"/>
    <n v="10439.779999999997"/>
    <m/>
    <m/>
    <m/>
    <m/>
    <m/>
    <m/>
    <m/>
    <m/>
    <m/>
    <m/>
    <m/>
    <m/>
    <m/>
    <m/>
    <n v="0"/>
    <n v="10439.779999999997"/>
    <m/>
    <n v="0.05"/>
    <n v="521.98899999999992"/>
    <m/>
    <m/>
    <n v="0"/>
    <m/>
    <m/>
    <n v="0"/>
    <m/>
    <m/>
    <n v="0"/>
    <m/>
    <m/>
    <m/>
    <n v="0"/>
    <m/>
    <m/>
    <n v="0"/>
    <s v="PAC"/>
    <m/>
  </r>
  <r>
    <n v="63"/>
    <x v="0"/>
    <s v="Shipment 2 Casing U2"/>
    <x v="1"/>
    <x v="1"/>
    <m/>
    <d v="2026-07-30T00:00:00"/>
    <s v="HRSG"/>
    <m/>
    <s v="S1"/>
    <s v="25HG015-DDO-0C263"/>
    <s v="CS31T"/>
    <m/>
    <n v="1"/>
    <n v="5316.6400000000012"/>
    <n v="5316.6400000000012"/>
    <m/>
    <m/>
    <m/>
    <m/>
    <m/>
    <m/>
    <m/>
    <m/>
    <m/>
    <m/>
    <m/>
    <m/>
    <m/>
    <m/>
    <n v="0"/>
    <n v="5316.6400000000012"/>
    <m/>
    <n v="0.05"/>
    <n v="265.83200000000005"/>
    <m/>
    <m/>
    <n v="0"/>
    <m/>
    <m/>
    <n v="0"/>
    <m/>
    <m/>
    <n v="0"/>
    <m/>
    <m/>
    <m/>
    <n v="0"/>
    <m/>
    <m/>
    <n v="0"/>
    <s v="PAC"/>
    <m/>
  </r>
  <r>
    <n v="64"/>
    <x v="0"/>
    <s v="Shipment 2 Casing U2"/>
    <x v="1"/>
    <x v="1"/>
    <m/>
    <d v="2026-07-30T00:00:00"/>
    <s v="HRSG"/>
    <m/>
    <s v="S1"/>
    <s v="25HG015-DDO-OC321"/>
    <s v="CS41F"/>
    <s v="(882 x 2092 x 12119)"/>
    <n v="1"/>
    <n v="3326.8940000000002"/>
    <n v="3326.8940000000002"/>
    <m/>
    <m/>
    <m/>
    <m/>
    <m/>
    <m/>
    <m/>
    <m/>
    <m/>
    <m/>
    <m/>
    <m/>
    <m/>
    <m/>
    <n v="0"/>
    <n v="3326.8940000000002"/>
    <m/>
    <n v="0.05"/>
    <n v="166.34470000000002"/>
    <m/>
    <m/>
    <n v="0"/>
    <m/>
    <m/>
    <n v="0"/>
    <m/>
    <m/>
    <n v="0"/>
    <m/>
    <m/>
    <m/>
    <n v="0"/>
    <m/>
    <m/>
    <n v="0"/>
    <s v="Truong An"/>
    <m/>
  </r>
  <r>
    <n v="65"/>
    <x v="0"/>
    <s v="Shipment 2 Casing U2"/>
    <x v="1"/>
    <x v="1"/>
    <m/>
    <d v="2026-07-30T00:00:00"/>
    <s v="HRSG"/>
    <m/>
    <s v="S1"/>
    <s v="25HG015-DDO-OC327"/>
    <s v="CS42F"/>
    <s v="(982.6 x 2488 x 12179)"/>
    <n v="1"/>
    <n v="3892.7239999999997"/>
    <n v="3892.7239999999997"/>
    <m/>
    <m/>
    <m/>
    <m/>
    <m/>
    <m/>
    <m/>
    <m/>
    <m/>
    <m/>
    <m/>
    <m/>
    <m/>
    <m/>
    <n v="0"/>
    <n v="3892.7239999999997"/>
    <m/>
    <n v="0.05"/>
    <n v="194.6362"/>
    <m/>
    <m/>
    <n v="0"/>
    <m/>
    <m/>
    <n v="0"/>
    <m/>
    <m/>
    <n v="0"/>
    <m/>
    <m/>
    <m/>
    <n v="0"/>
    <m/>
    <m/>
    <n v="0"/>
    <s v="Truong An"/>
    <m/>
  </r>
  <r>
    <n v="66"/>
    <x v="0"/>
    <s v="Shipment 2 Casing U2"/>
    <x v="1"/>
    <x v="1"/>
    <m/>
    <d v="2026-07-30T00:00:00"/>
    <s v="HRSG"/>
    <m/>
    <s v="S1"/>
    <s v="25HG015-DD0-0C332"/>
    <s v="CS43F"/>
    <s v="(816 x 2088 x 11829)"/>
    <n v="1"/>
    <n v="3309.712"/>
    <n v="3309.712"/>
    <m/>
    <m/>
    <m/>
    <m/>
    <m/>
    <m/>
    <m/>
    <m/>
    <m/>
    <m/>
    <m/>
    <m/>
    <m/>
    <m/>
    <n v="0"/>
    <n v="3309.712"/>
    <m/>
    <n v="0.05"/>
    <n v="165.48560000000001"/>
    <m/>
    <m/>
    <n v="0"/>
    <m/>
    <m/>
    <n v="0"/>
    <m/>
    <m/>
    <n v="0"/>
    <m/>
    <m/>
    <m/>
    <n v="0"/>
    <m/>
    <m/>
    <n v="0"/>
    <s v="Truong An"/>
    <m/>
  </r>
  <r>
    <n v="67"/>
    <x v="0"/>
    <s v="Shipment 2 Casing U2"/>
    <x v="1"/>
    <x v="1"/>
    <m/>
    <d v="2026-07-30T00:00:00"/>
    <s v="HRSG"/>
    <m/>
    <s v="S2"/>
    <s v="25HG015-DD0-0C336"/>
    <s v="CS44F"/>
    <s v="(786 x 2088 x 11679)"/>
    <n v="1"/>
    <n v="3280.2600000000007"/>
    <n v="3280.2600000000007"/>
    <m/>
    <m/>
    <m/>
    <m/>
    <m/>
    <m/>
    <m/>
    <m/>
    <m/>
    <m/>
    <m/>
    <m/>
    <m/>
    <m/>
    <n v="0"/>
    <n v="3280.2600000000007"/>
    <m/>
    <n v="0.05"/>
    <n v="164.01300000000003"/>
    <m/>
    <m/>
    <n v="0"/>
    <m/>
    <m/>
    <n v="0"/>
    <m/>
    <m/>
    <n v="0"/>
    <m/>
    <m/>
    <m/>
    <n v="0"/>
    <m/>
    <m/>
    <n v="0"/>
    <s v="Truong An"/>
    <m/>
  </r>
  <r>
    <n v="68"/>
    <x v="0"/>
    <s v="Shipment 2 Casing U2"/>
    <x v="1"/>
    <x v="1"/>
    <m/>
    <d v="2026-07-30T00:00:00"/>
    <s v="HRSG"/>
    <m/>
    <s v="S2"/>
    <s v="25HG015-DDO-OC340"/>
    <s v="CS45F"/>
    <s v="(1090 x 2088 x 11579)"/>
    <n v="1"/>
    <n v="3970.6840000000002"/>
    <n v="3970.6840000000002"/>
    <m/>
    <m/>
    <m/>
    <m/>
    <m/>
    <m/>
    <m/>
    <m/>
    <m/>
    <m/>
    <m/>
    <m/>
    <m/>
    <m/>
    <n v="0"/>
    <n v="3970.6840000000002"/>
    <m/>
    <n v="0.05"/>
    <n v="198.53420000000003"/>
    <m/>
    <m/>
    <n v="0"/>
    <m/>
    <m/>
    <n v="0"/>
    <m/>
    <m/>
    <n v="0"/>
    <m/>
    <m/>
    <m/>
    <n v="0"/>
    <m/>
    <m/>
    <n v="0"/>
    <s v="Truong An"/>
    <m/>
  </r>
  <r>
    <n v="69"/>
    <x v="0"/>
    <s v="Shipment 2 Casing U2"/>
    <x v="1"/>
    <x v="1"/>
    <m/>
    <d v="2026-07-30T00:00:00"/>
    <s v="HRSG"/>
    <m/>
    <s v="S2"/>
    <s v="25HG015-DD0-0C344"/>
    <s v="CS46F"/>
    <s v="(1090 x 2488 x 11579)"/>
    <n v="1"/>
    <n v="4347.7700000000004"/>
    <n v="4347.7700000000004"/>
    <m/>
    <m/>
    <m/>
    <m/>
    <m/>
    <m/>
    <m/>
    <m/>
    <m/>
    <m/>
    <m/>
    <m/>
    <m/>
    <m/>
    <n v="0"/>
    <n v="4347.7700000000004"/>
    <m/>
    <n v="0.05"/>
    <n v="217.38850000000002"/>
    <m/>
    <m/>
    <n v="0"/>
    <m/>
    <m/>
    <n v="0"/>
    <m/>
    <m/>
    <n v="0"/>
    <m/>
    <m/>
    <m/>
    <n v="0"/>
    <m/>
    <m/>
    <n v="0"/>
    <s v="Truong An"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9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6">
    <i>
      <x v="1"/>
    </i>
    <i r="1">
      <x v="1"/>
    </i>
    <i r="2">
      <x v="1"/>
    </i>
    <i r="1">
      <x v="2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/>
  <dimension ref="A1:BH95"/>
  <sheetViews>
    <sheetView tabSelected="1" zoomScale="70" zoomScaleNormal="70" workbookViewId="0">
      <pane xSplit="18" ySplit="3" topLeftCell="S4" activePane="bottomRight" state="frozen"/>
      <selection pane="topRight" activeCell="S1" sqref="S1"/>
      <selection pane="bottomLeft" activeCell="A4" sqref="A4"/>
      <selection pane="bottomRight" activeCell="AL38" sqref="AL38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4.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15.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ÁN:V314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46312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SUBTOTAL(9,AK4:AK94)</f>
        <v>29</v>
      </c>
      <c r="AL2" s="68">
        <f>SUBTOTAL(9,AL4:AL94)</f>
        <v>217209.09500000003</v>
      </c>
      <c r="AM2" s="15"/>
      <c r="AN2" s="67">
        <f>SUBTOTAL(9,AN4:AN94)</f>
        <v>24</v>
      </c>
      <c r="AO2" s="68">
        <f>SUBTOTAL(9,AO4:AO94)</f>
        <v>197392.44100000002</v>
      </c>
      <c r="AP2" s="15"/>
      <c r="AQ2" s="67">
        <f>SUBTOTAL(9,AQ4:AQ94)</f>
        <v>0</v>
      </c>
      <c r="AR2" s="68">
        <f>SUBTOTAL(9,AR4:AR94)</f>
        <v>0</v>
      </c>
      <c r="AS2" s="16" t="str">
        <f>SUBSTITUTE(A1,"DỰ ÁN:","")&amp;"-"</f>
        <v>V314-</v>
      </c>
      <c r="AT2" s="17"/>
      <c r="AU2" s="67">
        <f>SUBTOTAL(9,AU4:AU94)</f>
        <v>8</v>
      </c>
      <c r="AV2" s="68">
        <f>SUBTOTAL(9,AV4:AV94)</f>
        <v>111318.84199999999</v>
      </c>
      <c r="AW2" s="16"/>
      <c r="AX2" s="67">
        <f>SUBTOTAL(9,AX4:AX94)</f>
        <v>8</v>
      </c>
      <c r="AY2" s="67">
        <f>SUBTOTAL(9,AY4:AY94)</f>
        <v>111318.84199999999</v>
      </c>
      <c r="AZ2" s="17"/>
      <c r="BA2" s="18" t="str">
        <f>SUBSTITUTE(A1,"DỰ ÁN:","")&amp;"-"</f>
        <v>V314-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190</v>
      </c>
      <c r="C4" s="25" t="str">
        <f>D4&amp;" "&amp;E4</f>
        <v>Shipment 1 Casing U1</v>
      </c>
      <c r="D4" s="25" t="s">
        <v>188</v>
      </c>
      <c r="E4" s="25" t="s">
        <v>186</v>
      </c>
      <c r="F4" s="25"/>
      <c r="G4" s="65">
        <v>46203</v>
      </c>
      <c r="H4" s="25" t="s">
        <v>191</v>
      </c>
      <c r="I4" s="25"/>
      <c r="J4" s="26" t="s">
        <v>195</v>
      </c>
      <c r="K4" s="27" t="s">
        <v>69</v>
      </c>
      <c r="L4" s="28" t="s">
        <v>70</v>
      </c>
      <c r="M4" s="28" t="s">
        <v>149</v>
      </c>
      <c r="N4" s="25">
        <v>1</v>
      </c>
      <c r="O4" s="29">
        <v>3286.3700000000003</v>
      </c>
      <c r="P4" s="29">
        <v>3286.3700000000003</v>
      </c>
      <c r="Q4" s="25"/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2957.7330000000002</v>
      </c>
      <c r="AF4" s="32">
        <f>+P4-AE4</f>
        <v>328.63700000000017</v>
      </c>
      <c r="AG4" s="30"/>
      <c r="AH4" s="33">
        <v>0.3</v>
      </c>
      <c r="AI4" s="34">
        <f>+AH4*P4</f>
        <v>985.91100000000006</v>
      </c>
      <c r="AJ4" s="35">
        <v>46179</v>
      </c>
      <c r="AK4" s="30">
        <v>1</v>
      </c>
      <c r="AL4" s="36">
        <f>IFERROR(AK4*$P4/$N4,0)</f>
        <v>3286.3700000000003</v>
      </c>
      <c r="AM4" s="35">
        <v>46207</v>
      </c>
      <c r="AN4" s="30">
        <v>1</v>
      </c>
      <c r="AO4" s="36">
        <f>IFERROR(AN4*$P4/$N4,0)</f>
        <v>3286.3700000000003</v>
      </c>
      <c r="AP4" s="35"/>
      <c r="AQ4" s="30"/>
      <c r="AR4" s="36">
        <f>IFERROR(AQ4*$P4/$N4,0)</f>
        <v>0</v>
      </c>
      <c r="AS4" s="27"/>
      <c r="AT4" s="37"/>
      <c r="AU4" s="30"/>
      <c r="AV4" s="36">
        <f>IFERROR(AU4*$P4/$N4,0)</f>
        <v>0</v>
      </c>
      <c r="AW4" s="35"/>
      <c r="AX4" s="30"/>
      <c r="AY4" s="32">
        <f>IFERROR(AX4*$P4/$N4,0)</f>
        <v>0</v>
      </c>
      <c r="AZ4" s="30" t="s">
        <v>193</v>
      </c>
      <c r="BA4" s="63"/>
      <c r="BB4" s="71"/>
      <c r="BC4" s="71"/>
      <c r="BD4" s="71"/>
      <c r="BF4" s="59" t="s">
        <v>190</v>
      </c>
      <c r="BG4" s="72">
        <v>489671.35100000008</v>
      </c>
      <c r="BH4" s="70">
        <v>213882.20100000003</v>
      </c>
    </row>
    <row r="5" spans="1:60" x14ac:dyDescent="0.25">
      <c r="A5" s="24">
        <f>IF(B5="","",SUBTOTAL(3,$B$4:B5))</f>
        <v>2</v>
      </c>
      <c r="B5" s="25" t="s">
        <v>190</v>
      </c>
      <c r="C5" s="25" t="str">
        <f t="shared" ref="C5:C94" si="0">D5&amp;" "&amp;E5</f>
        <v>Shipment 1 Casing U1</v>
      </c>
      <c r="D5" s="25" t="s">
        <v>188</v>
      </c>
      <c r="E5" s="25" t="s">
        <v>186</v>
      </c>
      <c r="F5" s="25"/>
      <c r="G5" s="65">
        <v>46203</v>
      </c>
      <c r="H5" s="25" t="s">
        <v>191</v>
      </c>
      <c r="I5" s="25"/>
      <c r="J5" s="26" t="s">
        <v>195</v>
      </c>
      <c r="K5" s="27" t="s">
        <v>71</v>
      </c>
      <c r="L5" s="28" t="s">
        <v>72</v>
      </c>
      <c r="M5" s="28" t="s">
        <v>150</v>
      </c>
      <c r="N5" s="25">
        <v>1</v>
      </c>
      <c r="O5" s="29">
        <v>2892.2239999999997</v>
      </c>
      <c r="P5" s="29">
        <v>2892.2239999999997</v>
      </c>
      <c r="Q5" s="25"/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94" si="1">+AL5*0.5+AO5*0.4+AV5*0.1</f>
        <v>2603.0015999999996</v>
      </c>
      <c r="AF5" s="32">
        <f t="shared" ref="AF5:AF94" si="2">+P5-AE5</f>
        <v>289.22240000000011</v>
      </c>
      <c r="AG5" s="30"/>
      <c r="AH5" s="33">
        <v>0.3</v>
      </c>
      <c r="AI5" s="34">
        <f t="shared" ref="AI5:AI94" si="3">+AH5*P5</f>
        <v>867.66719999999987</v>
      </c>
      <c r="AJ5" s="35">
        <v>46227</v>
      </c>
      <c r="AK5" s="30">
        <v>1</v>
      </c>
      <c r="AL5" s="36">
        <f t="shared" ref="AL5:AL94" si="4">IFERROR(AK5*$P5/$N5,0)</f>
        <v>2892.2239999999997</v>
      </c>
      <c r="AM5" s="35">
        <v>46232</v>
      </c>
      <c r="AN5" s="30">
        <v>1</v>
      </c>
      <c r="AO5" s="36">
        <f t="shared" ref="AO5:AO94" si="5">IFERROR(AN5*$P5/$N5,0)</f>
        <v>2892.2239999999997</v>
      </c>
      <c r="AP5" s="35"/>
      <c r="AQ5" s="30"/>
      <c r="AR5" s="36">
        <f t="shared" ref="AR5:AR94" si="6">IFERROR(AQ5*$P5/$N5,0)</f>
        <v>0</v>
      </c>
      <c r="AS5" s="27"/>
      <c r="AT5" s="37"/>
      <c r="AU5" s="30"/>
      <c r="AV5" s="36">
        <f t="shared" ref="AV5:AV94" si="7">IFERROR(AU5*$P5/$N5,0)</f>
        <v>0</v>
      </c>
      <c r="AW5" s="35"/>
      <c r="AX5" s="30"/>
      <c r="AY5" s="32">
        <f t="shared" ref="AY5:AY94" si="8">IFERROR(AX5*$P5/$N5,0)</f>
        <v>0</v>
      </c>
      <c r="AZ5" s="30" t="s">
        <v>193</v>
      </c>
      <c r="BA5" s="63"/>
      <c r="BB5" s="71"/>
      <c r="BC5" s="71"/>
      <c r="BD5" s="71"/>
      <c r="BF5" s="60" t="s">
        <v>188</v>
      </c>
      <c r="BG5" s="72">
        <v>272462.25600000005</v>
      </c>
      <c r="BH5" s="70">
        <v>213882.20100000003</v>
      </c>
    </row>
    <row r="6" spans="1:60" x14ac:dyDescent="0.25">
      <c r="A6" s="24">
        <f>IF(B6="","",SUBTOTAL(3,$B$4:B6))</f>
        <v>3</v>
      </c>
      <c r="B6" s="25" t="s">
        <v>190</v>
      </c>
      <c r="C6" s="25" t="str">
        <f t="shared" si="0"/>
        <v>Shipment 1 Casing U1</v>
      </c>
      <c r="D6" s="25" t="s">
        <v>188</v>
      </c>
      <c r="E6" s="25" t="s">
        <v>186</v>
      </c>
      <c r="F6" s="25"/>
      <c r="G6" s="65">
        <v>46203</v>
      </c>
      <c r="H6" s="25" t="s">
        <v>191</v>
      </c>
      <c r="I6" s="25"/>
      <c r="J6" s="26" t="s">
        <v>195</v>
      </c>
      <c r="K6" s="27" t="s">
        <v>73</v>
      </c>
      <c r="L6" s="28" t="s">
        <v>74</v>
      </c>
      <c r="M6" s="28" t="s">
        <v>151</v>
      </c>
      <c r="N6" s="25">
        <v>1</v>
      </c>
      <c r="O6" s="29">
        <v>22755.43</v>
      </c>
      <c r="P6" s="29">
        <v>22755.43</v>
      </c>
      <c r="Q6" s="25"/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22755.430000000004</v>
      </c>
      <c r="AF6" s="32">
        <f t="shared" si="2"/>
        <v>0</v>
      </c>
      <c r="AG6" s="30"/>
      <c r="AH6" s="33">
        <v>0.3</v>
      </c>
      <c r="AI6" s="34">
        <f t="shared" si="3"/>
        <v>6826.6289999999999</v>
      </c>
      <c r="AJ6" s="35">
        <v>46223</v>
      </c>
      <c r="AK6" s="30">
        <v>1</v>
      </c>
      <c r="AL6" s="36">
        <f t="shared" si="4"/>
        <v>22755.43</v>
      </c>
      <c r="AM6" s="35">
        <v>46230</v>
      </c>
      <c r="AN6" s="30">
        <v>1</v>
      </c>
      <c r="AO6" s="36">
        <f t="shared" si="5"/>
        <v>22755.43</v>
      </c>
      <c r="AP6" s="35"/>
      <c r="AQ6" s="30"/>
      <c r="AR6" s="36">
        <f t="shared" si="6"/>
        <v>0</v>
      </c>
      <c r="AS6" s="27" t="s">
        <v>204</v>
      </c>
      <c r="AT6" s="37">
        <v>46285</v>
      </c>
      <c r="AU6" s="30">
        <v>1</v>
      </c>
      <c r="AV6" s="36">
        <f t="shared" si="7"/>
        <v>22755.43</v>
      </c>
      <c r="AW6" s="35">
        <v>46290</v>
      </c>
      <c r="AX6" s="30">
        <v>1</v>
      </c>
      <c r="AY6" s="32">
        <f t="shared" si="8"/>
        <v>22755.43</v>
      </c>
      <c r="AZ6" s="30" t="s">
        <v>193</v>
      </c>
      <c r="BA6" s="63" t="s">
        <v>205</v>
      </c>
      <c r="BB6" s="71"/>
      <c r="BC6" s="71"/>
      <c r="BD6" s="71"/>
      <c r="BF6" s="61" t="s">
        <v>186</v>
      </c>
      <c r="BG6" s="72">
        <v>272462.25600000005</v>
      </c>
      <c r="BH6" s="70">
        <v>213882.20100000003</v>
      </c>
    </row>
    <row r="7" spans="1:60" x14ac:dyDescent="0.25">
      <c r="A7" s="24">
        <f>IF(B7="","",SUBTOTAL(3,$B$4:B7))</f>
        <v>4</v>
      </c>
      <c r="B7" s="25" t="s">
        <v>190</v>
      </c>
      <c r="C7" s="25" t="str">
        <f t="shared" si="0"/>
        <v>Shipment 1 Casing U1</v>
      </c>
      <c r="D7" s="25" t="s">
        <v>188</v>
      </c>
      <c r="E7" s="25" t="s">
        <v>186</v>
      </c>
      <c r="F7" s="25"/>
      <c r="G7" s="65">
        <v>46203</v>
      </c>
      <c r="H7" s="25" t="s">
        <v>191</v>
      </c>
      <c r="I7" s="25"/>
      <c r="J7" s="26" t="s">
        <v>195</v>
      </c>
      <c r="K7" s="27" t="s">
        <v>75</v>
      </c>
      <c r="L7" s="28" t="s">
        <v>76</v>
      </c>
      <c r="M7" s="28" t="s">
        <v>152</v>
      </c>
      <c r="N7" s="25">
        <v>1</v>
      </c>
      <c r="O7" s="29">
        <v>4314.6929999999993</v>
      </c>
      <c r="P7" s="29">
        <v>4314.6929999999993</v>
      </c>
      <c r="Q7" s="25"/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3883.2236999999996</v>
      </c>
      <c r="AF7" s="32">
        <f t="shared" si="2"/>
        <v>431.46929999999975</v>
      </c>
      <c r="AG7" s="30"/>
      <c r="AH7" s="33">
        <v>0.3</v>
      </c>
      <c r="AI7" s="34">
        <f t="shared" si="3"/>
        <v>1294.4078999999997</v>
      </c>
      <c r="AJ7" s="35">
        <v>46176</v>
      </c>
      <c r="AK7" s="30">
        <v>1</v>
      </c>
      <c r="AL7" s="36">
        <f t="shared" si="4"/>
        <v>4314.6929999999993</v>
      </c>
      <c r="AM7" s="35">
        <v>46187</v>
      </c>
      <c r="AN7" s="30">
        <v>1</v>
      </c>
      <c r="AO7" s="36">
        <f t="shared" si="5"/>
        <v>4314.6929999999993</v>
      </c>
      <c r="AP7" s="35"/>
      <c r="AQ7" s="30"/>
      <c r="AR7" s="36">
        <f t="shared" si="6"/>
        <v>0</v>
      </c>
      <c r="AS7" s="27"/>
      <c r="AT7" s="37"/>
      <c r="AU7" s="30"/>
      <c r="AV7" s="36">
        <f t="shared" si="7"/>
        <v>0</v>
      </c>
      <c r="AW7" s="35"/>
      <c r="AX7" s="30"/>
      <c r="AY7" s="32">
        <f t="shared" si="8"/>
        <v>0</v>
      </c>
      <c r="AZ7" s="30" t="s">
        <v>193</v>
      </c>
      <c r="BA7" s="63"/>
      <c r="BB7" s="71"/>
      <c r="BC7" s="71"/>
      <c r="BD7" s="71"/>
      <c r="BF7" s="60" t="s">
        <v>189</v>
      </c>
      <c r="BG7" s="72">
        <v>217209.09500000003</v>
      </c>
      <c r="BH7" s="70">
        <v>0</v>
      </c>
    </row>
    <row r="8" spans="1:60" x14ac:dyDescent="0.25">
      <c r="A8" s="24">
        <f>IF(B8="","",SUBTOTAL(3,$B$4:B8))</f>
        <v>5</v>
      </c>
      <c r="B8" s="25" t="s">
        <v>190</v>
      </c>
      <c r="C8" s="25" t="str">
        <f t="shared" si="0"/>
        <v>Shipment 1 Casing U1</v>
      </c>
      <c r="D8" s="25" t="s">
        <v>188</v>
      </c>
      <c r="E8" s="25" t="s">
        <v>186</v>
      </c>
      <c r="F8" s="25"/>
      <c r="G8" s="65">
        <v>46203</v>
      </c>
      <c r="H8" s="25" t="s">
        <v>191</v>
      </c>
      <c r="I8" s="25"/>
      <c r="J8" s="26" t="s">
        <v>195</v>
      </c>
      <c r="K8" s="27" t="s">
        <v>77</v>
      </c>
      <c r="L8" s="28" t="s">
        <v>78</v>
      </c>
      <c r="M8" s="28" t="s">
        <v>153</v>
      </c>
      <c r="N8" s="25">
        <v>1</v>
      </c>
      <c r="O8" s="29">
        <v>3630.0800000000004</v>
      </c>
      <c r="P8" s="29">
        <v>3630.0800000000004</v>
      </c>
      <c r="Q8" s="25"/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3267.0720000000001</v>
      </c>
      <c r="AF8" s="32">
        <f t="shared" si="2"/>
        <v>363.00800000000027</v>
      </c>
      <c r="AG8" s="30"/>
      <c r="AH8" s="33">
        <v>0.3</v>
      </c>
      <c r="AI8" s="34">
        <f t="shared" si="3"/>
        <v>1089.0240000000001</v>
      </c>
      <c r="AJ8" s="35">
        <v>46232</v>
      </c>
      <c r="AK8" s="30">
        <v>1</v>
      </c>
      <c r="AL8" s="36">
        <f t="shared" si="4"/>
        <v>3630.0800000000004</v>
      </c>
      <c r="AM8" s="35">
        <v>46239</v>
      </c>
      <c r="AN8" s="30">
        <v>1</v>
      </c>
      <c r="AO8" s="36">
        <f t="shared" si="5"/>
        <v>3630.0800000000004</v>
      </c>
      <c r="AP8" s="35"/>
      <c r="AQ8" s="30"/>
      <c r="AR8" s="36">
        <f t="shared" si="6"/>
        <v>0</v>
      </c>
      <c r="AS8" s="27"/>
      <c r="AT8" s="37"/>
      <c r="AU8" s="30"/>
      <c r="AV8" s="36">
        <f t="shared" si="7"/>
        <v>0</v>
      </c>
      <c r="AW8" s="35"/>
      <c r="AX8" s="30"/>
      <c r="AY8" s="32">
        <f t="shared" si="8"/>
        <v>0</v>
      </c>
      <c r="AZ8" s="30" t="s">
        <v>193</v>
      </c>
      <c r="BA8" s="63"/>
      <c r="BB8" s="71"/>
      <c r="BC8" s="71"/>
      <c r="BD8" s="71"/>
      <c r="BF8" s="61" t="s">
        <v>187</v>
      </c>
      <c r="BG8" s="72">
        <v>217209.09500000003</v>
      </c>
      <c r="BH8" s="70">
        <v>0</v>
      </c>
    </row>
    <row r="9" spans="1:60" x14ac:dyDescent="0.25">
      <c r="A9" s="24">
        <f>IF(B9="","",SUBTOTAL(3,$B$4:B9))</f>
        <v>6</v>
      </c>
      <c r="B9" s="25" t="s">
        <v>190</v>
      </c>
      <c r="C9" s="25" t="str">
        <f t="shared" si="0"/>
        <v>Shipment 1 Casing U1</v>
      </c>
      <c r="D9" s="25" t="s">
        <v>188</v>
      </c>
      <c r="E9" s="25" t="s">
        <v>186</v>
      </c>
      <c r="F9" s="25"/>
      <c r="G9" s="65">
        <v>46203</v>
      </c>
      <c r="H9" s="25" t="s">
        <v>191</v>
      </c>
      <c r="I9" s="25"/>
      <c r="J9" s="26" t="s">
        <v>195</v>
      </c>
      <c r="K9" s="27" t="s">
        <v>79</v>
      </c>
      <c r="L9" s="28" t="s">
        <v>80</v>
      </c>
      <c r="M9" s="28" t="s">
        <v>154</v>
      </c>
      <c r="N9" s="25">
        <v>1</v>
      </c>
      <c r="O9" s="29">
        <v>3688.4110000000014</v>
      </c>
      <c r="P9" s="29">
        <v>3688.4110000000014</v>
      </c>
      <c r="Q9" s="25"/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3319.5699000000013</v>
      </c>
      <c r="AF9" s="32">
        <f t="shared" si="2"/>
        <v>368.8411000000001</v>
      </c>
      <c r="AG9" s="30"/>
      <c r="AH9" s="33">
        <v>0.3</v>
      </c>
      <c r="AI9" s="34">
        <f t="shared" si="3"/>
        <v>1106.5233000000003</v>
      </c>
      <c r="AJ9" s="35">
        <v>46179</v>
      </c>
      <c r="AK9" s="30">
        <v>1</v>
      </c>
      <c r="AL9" s="36">
        <f t="shared" si="4"/>
        <v>3688.4110000000014</v>
      </c>
      <c r="AM9" s="35">
        <v>46195</v>
      </c>
      <c r="AN9" s="30">
        <v>1</v>
      </c>
      <c r="AO9" s="36">
        <f t="shared" si="5"/>
        <v>3688.4110000000014</v>
      </c>
      <c r="AP9" s="35"/>
      <c r="AQ9" s="30"/>
      <c r="AR9" s="36">
        <f t="shared" si="6"/>
        <v>0</v>
      </c>
      <c r="AS9" s="27"/>
      <c r="AT9" s="37"/>
      <c r="AU9" s="30"/>
      <c r="AV9" s="36">
        <f t="shared" si="7"/>
        <v>0</v>
      </c>
      <c r="AW9" s="35"/>
      <c r="AX9" s="30"/>
      <c r="AY9" s="32">
        <f t="shared" si="8"/>
        <v>0</v>
      </c>
      <c r="AZ9" s="30" t="s">
        <v>193</v>
      </c>
      <c r="BA9" s="63"/>
      <c r="BB9" s="71"/>
      <c r="BC9" s="71"/>
      <c r="BD9" s="71"/>
      <c r="BF9" s="59" t="s">
        <v>50</v>
      </c>
      <c r="BG9" s="72">
        <v>489671.35100000008</v>
      </c>
      <c r="BH9" s="70">
        <v>213882.20100000003</v>
      </c>
    </row>
    <row r="10" spans="1:60" x14ac:dyDescent="0.25">
      <c r="A10" s="24">
        <f>IF(B10="","",SUBTOTAL(3,$B$4:B10))</f>
        <v>7</v>
      </c>
      <c r="B10" s="25" t="s">
        <v>190</v>
      </c>
      <c r="C10" s="25" t="str">
        <f t="shared" si="0"/>
        <v>Shipment 1 Casing U1</v>
      </c>
      <c r="D10" s="25" t="s">
        <v>188</v>
      </c>
      <c r="E10" s="25" t="s">
        <v>186</v>
      </c>
      <c r="F10" s="25"/>
      <c r="G10" s="65">
        <v>46203</v>
      </c>
      <c r="H10" s="25" t="s">
        <v>191</v>
      </c>
      <c r="I10" s="25"/>
      <c r="J10" s="26" t="s">
        <v>195</v>
      </c>
      <c r="K10" s="27" t="s">
        <v>81</v>
      </c>
      <c r="L10" s="28" t="s">
        <v>82</v>
      </c>
      <c r="M10" s="28" t="s">
        <v>155</v>
      </c>
      <c r="N10" s="25">
        <v>1</v>
      </c>
      <c r="O10" s="29">
        <v>3513.49</v>
      </c>
      <c r="P10" s="29">
        <v>3513.49</v>
      </c>
      <c r="Q10" s="25"/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3162.1409999999996</v>
      </c>
      <c r="AF10" s="32">
        <f t="shared" si="2"/>
        <v>351.34900000000016</v>
      </c>
      <c r="AG10" s="30"/>
      <c r="AH10" s="33">
        <v>0.3</v>
      </c>
      <c r="AI10" s="34">
        <f t="shared" si="3"/>
        <v>1054.0469999999998</v>
      </c>
      <c r="AJ10" s="35">
        <v>46176</v>
      </c>
      <c r="AK10" s="30">
        <v>1</v>
      </c>
      <c r="AL10" s="36">
        <f t="shared" si="4"/>
        <v>3513.49</v>
      </c>
      <c r="AM10" s="35">
        <v>46188</v>
      </c>
      <c r="AN10" s="30">
        <v>1</v>
      </c>
      <c r="AO10" s="36">
        <f t="shared" si="5"/>
        <v>3513.49</v>
      </c>
      <c r="AP10" s="35"/>
      <c r="AQ10" s="30"/>
      <c r="AR10" s="36">
        <f t="shared" si="6"/>
        <v>0</v>
      </c>
      <c r="AS10" s="27"/>
      <c r="AT10" s="37"/>
      <c r="AU10" s="30"/>
      <c r="AV10" s="36">
        <f t="shared" si="7"/>
        <v>0</v>
      </c>
      <c r="AW10" s="35"/>
      <c r="AX10" s="30"/>
      <c r="AY10" s="32">
        <f t="shared" si="8"/>
        <v>0</v>
      </c>
      <c r="AZ10" s="30" t="s">
        <v>193</v>
      </c>
      <c r="BA10" s="63"/>
      <c r="BB10" s="71"/>
      <c r="BC10" s="71"/>
      <c r="BD10" s="71"/>
    </row>
    <row r="11" spans="1:60" x14ac:dyDescent="0.25">
      <c r="A11" s="24">
        <f>IF(B11="","",SUBTOTAL(3,$B$4:B11))</f>
        <v>8</v>
      </c>
      <c r="B11" s="25" t="s">
        <v>190</v>
      </c>
      <c r="C11" s="25" t="str">
        <f t="shared" ref="C11:C74" si="9">D11&amp;" "&amp;E11</f>
        <v>Shipment 1 Casing U1</v>
      </c>
      <c r="D11" s="25" t="s">
        <v>188</v>
      </c>
      <c r="E11" s="25" t="s">
        <v>186</v>
      </c>
      <c r="F11" s="25"/>
      <c r="G11" s="65">
        <v>46203</v>
      </c>
      <c r="H11" s="25" t="s">
        <v>191</v>
      </c>
      <c r="I11" s="25"/>
      <c r="J11" s="26" t="s">
        <v>195</v>
      </c>
      <c r="K11" s="27" t="s">
        <v>83</v>
      </c>
      <c r="L11" s="28" t="s">
        <v>84</v>
      </c>
      <c r="M11" s="28" t="s">
        <v>156</v>
      </c>
      <c r="N11" s="25">
        <v>1</v>
      </c>
      <c r="O11" s="29">
        <v>3030.188000000001</v>
      </c>
      <c r="P11" s="29">
        <v>3030.188000000001</v>
      </c>
      <c r="Q11" s="25"/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ref="AE11:AE74" si="10">+AL11*0.5+AO11*0.4+AV11*0.1</f>
        <v>2727.1692000000012</v>
      </c>
      <c r="AF11" s="32">
        <f t="shared" ref="AF11:AF74" si="11">+P11-AE11</f>
        <v>303.01879999999983</v>
      </c>
      <c r="AG11" s="30"/>
      <c r="AH11" s="33">
        <v>0.3</v>
      </c>
      <c r="AI11" s="34">
        <f t="shared" ref="AI11:AI74" si="12">+AH11*P11</f>
        <v>909.05640000000028</v>
      </c>
      <c r="AJ11" s="35">
        <v>46239</v>
      </c>
      <c r="AK11" s="30">
        <v>1</v>
      </c>
      <c r="AL11" s="36">
        <f t="shared" ref="AL11:AL74" si="13">IFERROR(AK11*$P11/$N11,0)</f>
        <v>3030.188000000001</v>
      </c>
      <c r="AM11" s="35">
        <v>46242</v>
      </c>
      <c r="AN11" s="30">
        <v>1</v>
      </c>
      <c r="AO11" s="36">
        <f t="shared" ref="AO11:AO74" si="14">IFERROR(AN11*$P11/$N11,0)</f>
        <v>3030.188000000001</v>
      </c>
      <c r="AP11" s="35"/>
      <c r="AQ11" s="30"/>
      <c r="AR11" s="36">
        <f t="shared" ref="AR11:AR74" si="15">IFERROR(AQ11*$P11/$N11,0)</f>
        <v>0</v>
      </c>
      <c r="AS11" s="27"/>
      <c r="AT11" s="37"/>
      <c r="AU11" s="30"/>
      <c r="AV11" s="36">
        <f t="shared" ref="AV11:AV74" si="16">IFERROR(AU11*$P11/$N11,0)</f>
        <v>0</v>
      </c>
      <c r="AW11" s="35"/>
      <c r="AX11" s="30"/>
      <c r="AY11" s="32">
        <f t="shared" ref="AY11:AY74" si="17">IFERROR(AX11*$P11/$N11,0)</f>
        <v>0</v>
      </c>
      <c r="AZ11" s="30" t="s">
        <v>193</v>
      </c>
      <c r="BA11" s="63"/>
      <c r="BB11" s="71"/>
      <c r="BC11" s="71"/>
      <c r="BD11" s="71"/>
    </row>
    <row r="12" spans="1:60" x14ac:dyDescent="0.25">
      <c r="A12" s="24">
        <f>IF(B12="","",SUBTOTAL(3,$B$4:B12))</f>
        <v>9</v>
      </c>
      <c r="B12" s="25" t="s">
        <v>190</v>
      </c>
      <c r="C12" s="25" t="str">
        <f t="shared" si="9"/>
        <v>Shipment 1 Casing U1</v>
      </c>
      <c r="D12" s="25" t="s">
        <v>188</v>
      </c>
      <c r="E12" s="25" t="s">
        <v>186</v>
      </c>
      <c r="F12" s="25"/>
      <c r="G12" s="65">
        <v>46203</v>
      </c>
      <c r="H12" s="25" t="s">
        <v>191</v>
      </c>
      <c r="I12" s="25"/>
      <c r="J12" s="26" t="s">
        <v>195</v>
      </c>
      <c r="K12" s="27" t="s">
        <v>85</v>
      </c>
      <c r="L12" s="28" t="s">
        <v>86</v>
      </c>
      <c r="M12" s="28" t="s">
        <v>157</v>
      </c>
      <c r="N12" s="25">
        <v>1</v>
      </c>
      <c r="O12" s="29">
        <v>2941.9620000000009</v>
      </c>
      <c r="P12" s="29">
        <v>2941.9620000000009</v>
      </c>
      <c r="Q12" s="25"/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0"/>
        <v>2647.765800000001</v>
      </c>
      <c r="AF12" s="32">
        <f t="shared" si="11"/>
        <v>294.19619999999986</v>
      </c>
      <c r="AG12" s="30"/>
      <c r="AH12" s="33">
        <v>0.3</v>
      </c>
      <c r="AI12" s="34">
        <f t="shared" si="12"/>
        <v>882.58860000000027</v>
      </c>
      <c r="AJ12" s="35">
        <v>46180</v>
      </c>
      <c r="AK12" s="30">
        <v>1</v>
      </c>
      <c r="AL12" s="36">
        <f t="shared" si="13"/>
        <v>2941.9620000000009</v>
      </c>
      <c r="AM12" s="35">
        <v>46196</v>
      </c>
      <c r="AN12" s="30">
        <v>1</v>
      </c>
      <c r="AO12" s="36">
        <f t="shared" si="14"/>
        <v>2941.9620000000009</v>
      </c>
      <c r="AP12" s="35"/>
      <c r="AQ12" s="30"/>
      <c r="AR12" s="36">
        <f t="shared" si="15"/>
        <v>0</v>
      </c>
      <c r="AS12" s="27"/>
      <c r="AT12" s="37"/>
      <c r="AU12" s="30"/>
      <c r="AV12" s="36">
        <f t="shared" si="16"/>
        <v>0</v>
      </c>
      <c r="AW12" s="35"/>
      <c r="AX12" s="30"/>
      <c r="AY12" s="32">
        <f t="shared" si="17"/>
        <v>0</v>
      </c>
      <c r="AZ12" s="30" t="s">
        <v>193</v>
      </c>
      <c r="BA12" s="63"/>
      <c r="BB12" s="71"/>
      <c r="BC12" s="71"/>
      <c r="BD12" s="71"/>
    </row>
    <row r="13" spans="1:60" x14ac:dyDescent="0.25">
      <c r="A13" s="24">
        <f>IF(B13="","",SUBTOTAL(3,$B$4:B13))</f>
        <v>10</v>
      </c>
      <c r="B13" s="25" t="s">
        <v>190</v>
      </c>
      <c r="C13" s="25" t="str">
        <f t="shared" si="9"/>
        <v>Shipment 1 Casing U1</v>
      </c>
      <c r="D13" s="25" t="s">
        <v>188</v>
      </c>
      <c r="E13" s="25" t="s">
        <v>186</v>
      </c>
      <c r="F13" s="25"/>
      <c r="G13" s="65">
        <v>46203</v>
      </c>
      <c r="H13" s="25" t="s">
        <v>191</v>
      </c>
      <c r="I13" s="25"/>
      <c r="J13" s="26" t="s">
        <v>195</v>
      </c>
      <c r="K13" s="27" t="s">
        <v>87</v>
      </c>
      <c r="L13" s="28" t="s">
        <v>88</v>
      </c>
      <c r="M13" s="28" t="s">
        <v>158</v>
      </c>
      <c r="N13" s="25">
        <v>1</v>
      </c>
      <c r="O13" s="29">
        <v>3490.5760000000014</v>
      </c>
      <c r="P13" s="29">
        <v>3490.5760000000014</v>
      </c>
      <c r="Q13" s="25"/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0"/>
        <v>3141.5184000000013</v>
      </c>
      <c r="AF13" s="32">
        <f t="shared" si="11"/>
        <v>349.05760000000009</v>
      </c>
      <c r="AG13" s="30"/>
      <c r="AH13" s="33">
        <v>0.3</v>
      </c>
      <c r="AI13" s="34">
        <f t="shared" si="12"/>
        <v>1047.1728000000003</v>
      </c>
      <c r="AJ13" s="35">
        <v>46232</v>
      </c>
      <c r="AK13" s="30">
        <v>1</v>
      </c>
      <c r="AL13" s="36">
        <f t="shared" si="13"/>
        <v>3490.5760000000014</v>
      </c>
      <c r="AM13" s="35">
        <v>46234</v>
      </c>
      <c r="AN13" s="30">
        <v>1</v>
      </c>
      <c r="AO13" s="36">
        <f t="shared" si="14"/>
        <v>3490.5760000000014</v>
      </c>
      <c r="AP13" s="35"/>
      <c r="AQ13" s="30"/>
      <c r="AR13" s="36">
        <f t="shared" si="15"/>
        <v>0</v>
      </c>
      <c r="AS13" s="27"/>
      <c r="AT13" s="37"/>
      <c r="AU13" s="30"/>
      <c r="AV13" s="36">
        <f t="shared" si="16"/>
        <v>0</v>
      </c>
      <c r="AW13" s="35"/>
      <c r="AX13" s="30"/>
      <c r="AY13" s="32">
        <f t="shared" si="17"/>
        <v>0</v>
      </c>
      <c r="AZ13" s="30" t="s">
        <v>193</v>
      </c>
      <c r="BA13" s="63"/>
      <c r="BB13" s="71"/>
      <c r="BC13" s="71"/>
      <c r="BD13" s="71"/>
    </row>
    <row r="14" spans="1:60" x14ac:dyDescent="0.25">
      <c r="A14" s="24">
        <f>IF(B14="","",SUBTOTAL(3,$B$4:B14))</f>
        <v>11</v>
      </c>
      <c r="B14" s="25" t="s">
        <v>190</v>
      </c>
      <c r="C14" s="25" t="str">
        <f t="shared" si="9"/>
        <v>Shipment 1 Casing U1</v>
      </c>
      <c r="D14" s="25" t="s">
        <v>188</v>
      </c>
      <c r="E14" s="25" t="s">
        <v>186</v>
      </c>
      <c r="F14" s="25"/>
      <c r="G14" s="65">
        <v>46203</v>
      </c>
      <c r="H14" s="25" t="s">
        <v>191</v>
      </c>
      <c r="I14" s="25"/>
      <c r="J14" s="26" t="s">
        <v>195</v>
      </c>
      <c r="K14" s="27" t="s">
        <v>89</v>
      </c>
      <c r="L14" s="28" t="s">
        <v>90</v>
      </c>
      <c r="M14" s="28" t="s">
        <v>159</v>
      </c>
      <c r="N14" s="25">
        <v>1</v>
      </c>
      <c r="O14" s="29">
        <v>3397.0479999999998</v>
      </c>
      <c r="P14" s="29">
        <v>3397.0479999999998</v>
      </c>
      <c r="Q14" s="25"/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0"/>
        <v>3057.3431999999998</v>
      </c>
      <c r="AF14" s="32">
        <f t="shared" si="11"/>
        <v>339.70479999999998</v>
      </c>
      <c r="AG14" s="30"/>
      <c r="AH14" s="33">
        <v>0.3</v>
      </c>
      <c r="AI14" s="34">
        <f t="shared" si="12"/>
        <v>1019.1143999999999</v>
      </c>
      <c r="AJ14" s="35">
        <v>46227</v>
      </c>
      <c r="AK14" s="30">
        <v>1</v>
      </c>
      <c r="AL14" s="36">
        <f t="shared" si="13"/>
        <v>3397.0479999999998</v>
      </c>
      <c r="AM14" s="35">
        <v>46232</v>
      </c>
      <c r="AN14" s="30">
        <v>1</v>
      </c>
      <c r="AO14" s="36">
        <f t="shared" si="14"/>
        <v>3397.0479999999998</v>
      </c>
      <c r="AP14" s="35"/>
      <c r="AQ14" s="30"/>
      <c r="AR14" s="36">
        <f t="shared" si="15"/>
        <v>0</v>
      </c>
      <c r="AS14" s="27"/>
      <c r="AT14" s="37"/>
      <c r="AU14" s="30"/>
      <c r="AV14" s="36">
        <f t="shared" si="16"/>
        <v>0</v>
      </c>
      <c r="AW14" s="35"/>
      <c r="AX14" s="30"/>
      <c r="AY14" s="32">
        <f t="shared" si="17"/>
        <v>0</v>
      </c>
      <c r="AZ14" s="30" t="s">
        <v>193</v>
      </c>
      <c r="BA14" s="63"/>
      <c r="BB14" s="71"/>
      <c r="BC14" s="71"/>
      <c r="BD14" s="71"/>
    </row>
    <row r="15" spans="1:60" x14ac:dyDescent="0.25">
      <c r="A15" s="24">
        <f>IF(B15="","",SUBTOTAL(3,$B$4:B15))</f>
        <v>12</v>
      </c>
      <c r="B15" s="25" t="s">
        <v>190</v>
      </c>
      <c r="C15" s="25" t="str">
        <f t="shared" si="9"/>
        <v>Shipment 1 Casing U1</v>
      </c>
      <c r="D15" s="25" t="s">
        <v>188</v>
      </c>
      <c r="E15" s="25" t="s">
        <v>186</v>
      </c>
      <c r="F15" s="25"/>
      <c r="G15" s="65">
        <v>46203</v>
      </c>
      <c r="H15" s="25" t="s">
        <v>191</v>
      </c>
      <c r="I15" s="25"/>
      <c r="J15" s="26" t="s">
        <v>195</v>
      </c>
      <c r="K15" s="27" t="s">
        <v>91</v>
      </c>
      <c r="L15" s="28" t="s">
        <v>92</v>
      </c>
      <c r="M15" s="28" t="s">
        <v>160</v>
      </c>
      <c r="N15" s="25">
        <v>1</v>
      </c>
      <c r="O15" s="29">
        <v>23721.187999999995</v>
      </c>
      <c r="P15" s="29">
        <v>23721.187999999995</v>
      </c>
      <c r="Q15" s="25"/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0"/>
        <v>23721.187999999998</v>
      </c>
      <c r="AF15" s="32">
        <f t="shared" si="11"/>
        <v>0</v>
      </c>
      <c r="AG15" s="30"/>
      <c r="AH15" s="33">
        <v>0.3</v>
      </c>
      <c r="AI15" s="34">
        <f t="shared" si="12"/>
        <v>7116.3563999999978</v>
      </c>
      <c r="AJ15" s="35">
        <v>46228</v>
      </c>
      <c r="AK15" s="30">
        <v>1</v>
      </c>
      <c r="AL15" s="36">
        <f t="shared" si="13"/>
        <v>23721.187999999995</v>
      </c>
      <c r="AM15" s="35">
        <v>46234</v>
      </c>
      <c r="AN15" s="30">
        <v>1</v>
      </c>
      <c r="AO15" s="36">
        <f t="shared" si="14"/>
        <v>23721.187999999995</v>
      </c>
      <c r="AP15" s="35"/>
      <c r="AQ15" s="30"/>
      <c r="AR15" s="36">
        <f t="shared" si="15"/>
        <v>0</v>
      </c>
      <c r="AS15" s="27" t="s">
        <v>203</v>
      </c>
      <c r="AT15" s="37">
        <v>46283</v>
      </c>
      <c r="AU15" s="30">
        <v>1</v>
      </c>
      <c r="AV15" s="36">
        <f t="shared" si="16"/>
        <v>23721.187999999995</v>
      </c>
      <c r="AW15" s="35">
        <v>46290</v>
      </c>
      <c r="AX15" s="30">
        <v>1</v>
      </c>
      <c r="AY15" s="32">
        <f t="shared" si="17"/>
        <v>23721.187999999995</v>
      </c>
      <c r="AZ15" s="30" t="s">
        <v>193</v>
      </c>
      <c r="BA15" s="63" t="s">
        <v>206</v>
      </c>
      <c r="BB15" s="71"/>
      <c r="BC15" s="71"/>
      <c r="BD15" s="71"/>
    </row>
    <row r="16" spans="1:60" x14ac:dyDescent="0.25">
      <c r="A16" s="24">
        <f>IF(B16="","",SUBTOTAL(3,$B$4:B16))</f>
        <v>13</v>
      </c>
      <c r="B16" s="25" t="s">
        <v>190</v>
      </c>
      <c r="C16" s="25" t="str">
        <f t="shared" si="9"/>
        <v>Shipment 1 Casing U1</v>
      </c>
      <c r="D16" s="25" t="s">
        <v>188</v>
      </c>
      <c r="E16" s="25" t="s">
        <v>186</v>
      </c>
      <c r="F16" s="25"/>
      <c r="G16" s="65">
        <v>46203</v>
      </c>
      <c r="H16" s="25" t="s">
        <v>191</v>
      </c>
      <c r="I16" s="25"/>
      <c r="J16" s="26" t="s">
        <v>194</v>
      </c>
      <c r="K16" s="27" t="s">
        <v>93</v>
      </c>
      <c r="L16" s="28" t="s">
        <v>94</v>
      </c>
      <c r="M16" s="28" t="s">
        <v>161</v>
      </c>
      <c r="N16" s="25">
        <v>1</v>
      </c>
      <c r="O16" s="29">
        <v>10211.131999999998</v>
      </c>
      <c r="P16" s="29">
        <v>10211.131999999998</v>
      </c>
      <c r="Q16" s="25"/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0"/>
        <v>9190.018799999998</v>
      </c>
      <c r="AF16" s="32">
        <f t="shared" si="11"/>
        <v>1021.1131999999998</v>
      </c>
      <c r="AG16" s="30"/>
      <c r="AH16" s="33">
        <v>0.3</v>
      </c>
      <c r="AI16" s="34">
        <f t="shared" si="12"/>
        <v>3063.3395999999993</v>
      </c>
      <c r="AJ16" s="35">
        <v>46220</v>
      </c>
      <c r="AK16" s="30">
        <v>1</v>
      </c>
      <c r="AL16" s="36">
        <f t="shared" si="13"/>
        <v>10211.131999999998</v>
      </c>
      <c r="AM16" s="35">
        <v>46227</v>
      </c>
      <c r="AN16" s="30">
        <v>1</v>
      </c>
      <c r="AO16" s="36">
        <f t="shared" si="14"/>
        <v>10211.131999999998</v>
      </c>
      <c r="AP16" s="35"/>
      <c r="AQ16" s="30"/>
      <c r="AR16" s="36">
        <f t="shared" si="15"/>
        <v>0</v>
      </c>
      <c r="AS16" s="27"/>
      <c r="AT16" s="37"/>
      <c r="AU16" s="30"/>
      <c r="AV16" s="36">
        <f t="shared" si="16"/>
        <v>0</v>
      </c>
      <c r="AW16" s="35"/>
      <c r="AX16" s="30"/>
      <c r="AY16" s="32">
        <f t="shared" si="17"/>
        <v>0</v>
      </c>
      <c r="AZ16" s="30" t="s">
        <v>193</v>
      </c>
      <c r="BA16" s="63"/>
      <c r="BB16" s="71"/>
      <c r="BC16" s="71"/>
      <c r="BD16" s="71"/>
    </row>
    <row r="17" spans="1:56" x14ac:dyDescent="0.25">
      <c r="A17" s="24">
        <f>IF(B17="","",SUBTOTAL(3,$B$4:B17))</f>
        <v>14</v>
      </c>
      <c r="B17" s="25" t="s">
        <v>190</v>
      </c>
      <c r="C17" s="25" t="str">
        <f t="shared" si="9"/>
        <v>Shipment 1 Casing U1</v>
      </c>
      <c r="D17" s="25" t="s">
        <v>188</v>
      </c>
      <c r="E17" s="25" t="s">
        <v>186</v>
      </c>
      <c r="F17" s="25"/>
      <c r="G17" s="65">
        <v>46203</v>
      </c>
      <c r="H17" s="25" t="s">
        <v>191</v>
      </c>
      <c r="I17" s="25"/>
      <c r="J17" s="26" t="s">
        <v>194</v>
      </c>
      <c r="K17" s="27" t="s">
        <v>95</v>
      </c>
      <c r="L17" s="28" t="s">
        <v>96</v>
      </c>
      <c r="M17" s="28" t="s">
        <v>162</v>
      </c>
      <c r="N17" s="25">
        <v>1</v>
      </c>
      <c r="O17" s="29">
        <v>12004.24</v>
      </c>
      <c r="P17" s="29">
        <v>12004.24</v>
      </c>
      <c r="Q17" s="25"/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0"/>
        <v>10803.815999999999</v>
      </c>
      <c r="AF17" s="32">
        <f t="shared" si="11"/>
        <v>1200.4240000000009</v>
      </c>
      <c r="AG17" s="30"/>
      <c r="AH17" s="33">
        <v>0.3</v>
      </c>
      <c r="AI17" s="34">
        <f t="shared" si="12"/>
        <v>3601.2719999999999</v>
      </c>
      <c r="AJ17" s="35">
        <v>46226</v>
      </c>
      <c r="AK17" s="30">
        <v>1</v>
      </c>
      <c r="AL17" s="36">
        <f t="shared" si="13"/>
        <v>12004.24</v>
      </c>
      <c r="AM17" s="35">
        <v>46232</v>
      </c>
      <c r="AN17" s="30">
        <v>1</v>
      </c>
      <c r="AO17" s="36">
        <f t="shared" si="14"/>
        <v>12004.24</v>
      </c>
      <c r="AP17" s="35"/>
      <c r="AQ17" s="30"/>
      <c r="AR17" s="36">
        <f t="shared" si="15"/>
        <v>0</v>
      </c>
      <c r="AS17" s="27"/>
      <c r="AT17" s="37"/>
      <c r="AU17" s="30"/>
      <c r="AV17" s="36">
        <f t="shared" si="16"/>
        <v>0</v>
      </c>
      <c r="AW17" s="35"/>
      <c r="AX17" s="30"/>
      <c r="AY17" s="32">
        <f t="shared" si="17"/>
        <v>0</v>
      </c>
      <c r="AZ17" s="30" t="s">
        <v>193</v>
      </c>
      <c r="BA17" s="63"/>
      <c r="BB17" s="71"/>
      <c r="BC17" s="71"/>
      <c r="BD17" s="71"/>
    </row>
    <row r="18" spans="1:56" x14ac:dyDescent="0.25">
      <c r="A18" s="24">
        <f>IF(B18="","",SUBTOTAL(3,$B$4:B18))</f>
        <v>15</v>
      </c>
      <c r="B18" s="25" t="s">
        <v>190</v>
      </c>
      <c r="C18" s="25" t="str">
        <f t="shared" si="9"/>
        <v>Shipment 1 Casing U1</v>
      </c>
      <c r="D18" s="25" t="s">
        <v>188</v>
      </c>
      <c r="E18" s="25" t="s">
        <v>186</v>
      </c>
      <c r="F18" s="25"/>
      <c r="G18" s="65">
        <v>46203</v>
      </c>
      <c r="H18" s="25" t="s">
        <v>191</v>
      </c>
      <c r="I18" s="25"/>
      <c r="J18" s="26" t="s">
        <v>194</v>
      </c>
      <c r="K18" s="27" t="s">
        <v>97</v>
      </c>
      <c r="L18" s="28" t="s">
        <v>98</v>
      </c>
      <c r="M18" s="28" t="s">
        <v>163</v>
      </c>
      <c r="N18" s="25">
        <v>1</v>
      </c>
      <c r="O18" s="29">
        <v>10489.214999999998</v>
      </c>
      <c r="P18" s="29">
        <v>10489.214999999998</v>
      </c>
      <c r="Q18" s="25"/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0"/>
        <v>9440.2934999999998</v>
      </c>
      <c r="AF18" s="32">
        <f t="shared" si="11"/>
        <v>1048.9214999999986</v>
      </c>
      <c r="AG18" s="30"/>
      <c r="AH18" s="33">
        <v>0.3</v>
      </c>
      <c r="AI18" s="34">
        <f t="shared" si="12"/>
        <v>3146.7644999999993</v>
      </c>
      <c r="AJ18" s="35">
        <v>46226</v>
      </c>
      <c r="AK18" s="30">
        <v>1</v>
      </c>
      <c r="AL18" s="36">
        <f t="shared" si="13"/>
        <v>10489.214999999998</v>
      </c>
      <c r="AM18" s="35">
        <v>46231</v>
      </c>
      <c r="AN18" s="30">
        <v>1</v>
      </c>
      <c r="AO18" s="36">
        <f t="shared" si="14"/>
        <v>10489.214999999998</v>
      </c>
      <c r="AP18" s="35"/>
      <c r="AQ18" s="30"/>
      <c r="AR18" s="36">
        <f t="shared" si="15"/>
        <v>0</v>
      </c>
      <c r="AS18" s="27"/>
      <c r="AT18" s="37"/>
      <c r="AU18" s="30"/>
      <c r="AV18" s="36">
        <f t="shared" si="16"/>
        <v>0</v>
      </c>
      <c r="AW18" s="35"/>
      <c r="AX18" s="30"/>
      <c r="AY18" s="32">
        <f t="shared" si="17"/>
        <v>0</v>
      </c>
      <c r="AZ18" s="30" t="s">
        <v>193</v>
      </c>
      <c r="BA18" s="63"/>
      <c r="BB18" s="71"/>
      <c r="BC18" s="71"/>
      <c r="BD18" s="71"/>
    </row>
    <row r="19" spans="1:56" x14ac:dyDescent="0.25">
      <c r="A19" s="24">
        <f>IF(B19="","",SUBTOTAL(3,$B$4:B19))</f>
        <v>16</v>
      </c>
      <c r="B19" s="25" t="s">
        <v>190</v>
      </c>
      <c r="C19" s="25" t="str">
        <f t="shared" si="9"/>
        <v>Shipment 1 Casing U1</v>
      </c>
      <c r="D19" s="25" t="s">
        <v>188</v>
      </c>
      <c r="E19" s="25" t="s">
        <v>186</v>
      </c>
      <c r="F19" s="25"/>
      <c r="G19" s="65">
        <v>46203</v>
      </c>
      <c r="H19" s="25" t="s">
        <v>191</v>
      </c>
      <c r="I19" s="25"/>
      <c r="J19" s="26" t="s">
        <v>194</v>
      </c>
      <c r="K19" s="27" t="s">
        <v>99</v>
      </c>
      <c r="L19" s="28" t="s">
        <v>100</v>
      </c>
      <c r="M19" s="28" t="s">
        <v>164</v>
      </c>
      <c r="N19" s="25">
        <v>1</v>
      </c>
      <c r="O19" s="29">
        <v>11555.94</v>
      </c>
      <c r="P19" s="29">
        <v>11555.94</v>
      </c>
      <c r="Q19" s="25"/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0"/>
        <v>10400.346000000001</v>
      </c>
      <c r="AF19" s="32">
        <f t="shared" si="11"/>
        <v>1155.5939999999991</v>
      </c>
      <c r="AG19" s="30"/>
      <c r="AH19" s="33">
        <v>0.3</v>
      </c>
      <c r="AI19" s="34">
        <f t="shared" si="12"/>
        <v>3466.7820000000002</v>
      </c>
      <c r="AJ19" s="35">
        <v>46218</v>
      </c>
      <c r="AK19" s="30">
        <v>1</v>
      </c>
      <c r="AL19" s="36">
        <f t="shared" si="13"/>
        <v>11555.94</v>
      </c>
      <c r="AM19" s="35">
        <v>46223</v>
      </c>
      <c r="AN19" s="30">
        <v>1</v>
      </c>
      <c r="AO19" s="36">
        <f t="shared" si="14"/>
        <v>11555.94</v>
      </c>
      <c r="AP19" s="35"/>
      <c r="AQ19" s="30"/>
      <c r="AR19" s="36">
        <f t="shared" si="15"/>
        <v>0</v>
      </c>
      <c r="AS19" s="27"/>
      <c r="AT19" s="37"/>
      <c r="AU19" s="30"/>
      <c r="AV19" s="36">
        <f t="shared" si="16"/>
        <v>0</v>
      </c>
      <c r="AW19" s="35"/>
      <c r="AX19" s="30"/>
      <c r="AY19" s="32">
        <f t="shared" si="17"/>
        <v>0</v>
      </c>
      <c r="AZ19" s="30" t="s">
        <v>193</v>
      </c>
      <c r="BA19" s="63"/>
      <c r="BB19" s="71"/>
      <c r="BC19" s="71"/>
      <c r="BD19" s="71"/>
    </row>
    <row r="20" spans="1:56" x14ac:dyDescent="0.25">
      <c r="A20" s="24">
        <f>IF(B20="","",SUBTOTAL(3,$B$4:B20))</f>
        <v>17</v>
      </c>
      <c r="B20" s="25" t="s">
        <v>190</v>
      </c>
      <c r="C20" s="25" t="str">
        <f t="shared" si="9"/>
        <v>Shipment 1 Casing U1</v>
      </c>
      <c r="D20" s="25" t="s">
        <v>188</v>
      </c>
      <c r="E20" s="25" t="s">
        <v>186</v>
      </c>
      <c r="F20" s="25"/>
      <c r="G20" s="65">
        <v>46203</v>
      </c>
      <c r="H20" s="25" t="s">
        <v>191</v>
      </c>
      <c r="I20" s="25"/>
      <c r="J20" s="26" t="s">
        <v>196</v>
      </c>
      <c r="K20" s="27" t="s">
        <v>101</v>
      </c>
      <c r="L20" s="28" t="s">
        <v>102</v>
      </c>
      <c r="M20" s="28" t="s">
        <v>165</v>
      </c>
      <c r="N20" s="25">
        <v>1</v>
      </c>
      <c r="O20" s="29">
        <v>10684.420000000002</v>
      </c>
      <c r="P20" s="29">
        <v>10684.420000000002</v>
      </c>
      <c r="Q20" s="25"/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0"/>
        <v>10684.420000000004</v>
      </c>
      <c r="AF20" s="32">
        <f t="shared" si="11"/>
        <v>0</v>
      </c>
      <c r="AG20" s="30"/>
      <c r="AH20" s="33">
        <v>0.3</v>
      </c>
      <c r="AI20" s="34">
        <f t="shared" si="12"/>
        <v>3205.3260000000005</v>
      </c>
      <c r="AJ20" s="35">
        <v>46206</v>
      </c>
      <c r="AK20" s="30">
        <v>1</v>
      </c>
      <c r="AL20" s="36">
        <f t="shared" si="13"/>
        <v>10684.420000000002</v>
      </c>
      <c r="AM20" s="35">
        <v>46222</v>
      </c>
      <c r="AN20" s="30">
        <v>1</v>
      </c>
      <c r="AO20" s="36">
        <f t="shared" si="14"/>
        <v>10684.420000000002</v>
      </c>
      <c r="AP20" s="35"/>
      <c r="AQ20" s="30"/>
      <c r="AR20" s="36">
        <f t="shared" si="15"/>
        <v>0</v>
      </c>
      <c r="AS20" s="27" t="s">
        <v>198</v>
      </c>
      <c r="AT20" s="37">
        <v>46245</v>
      </c>
      <c r="AU20" s="30">
        <v>1</v>
      </c>
      <c r="AV20" s="36">
        <f t="shared" si="16"/>
        <v>10684.420000000002</v>
      </c>
      <c r="AW20" s="35">
        <v>46248</v>
      </c>
      <c r="AX20" s="30">
        <v>1</v>
      </c>
      <c r="AY20" s="32">
        <f t="shared" si="17"/>
        <v>10684.420000000002</v>
      </c>
      <c r="AZ20" s="30" t="s">
        <v>193</v>
      </c>
      <c r="BA20" s="63" t="s">
        <v>201</v>
      </c>
      <c r="BB20" s="71"/>
      <c r="BC20" s="71"/>
      <c r="BD20" s="71"/>
    </row>
    <row r="21" spans="1:56" x14ac:dyDescent="0.25">
      <c r="A21" s="24">
        <f>IF(B21="","",SUBTOTAL(3,$B$4:B21))</f>
        <v>18</v>
      </c>
      <c r="B21" s="25" t="s">
        <v>190</v>
      </c>
      <c r="C21" s="25" t="str">
        <f t="shared" si="9"/>
        <v>Shipment 1 Casing U1</v>
      </c>
      <c r="D21" s="25" t="s">
        <v>188</v>
      </c>
      <c r="E21" s="25" t="s">
        <v>186</v>
      </c>
      <c r="F21" s="25"/>
      <c r="G21" s="65">
        <v>46203</v>
      </c>
      <c r="H21" s="25" t="s">
        <v>191</v>
      </c>
      <c r="I21" s="25"/>
      <c r="J21" s="26" t="s">
        <v>196</v>
      </c>
      <c r="K21" s="27" t="s">
        <v>103</v>
      </c>
      <c r="L21" s="28" t="s">
        <v>104</v>
      </c>
      <c r="M21" s="28" t="s">
        <v>166</v>
      </c>
      <c r="N21" s="25">
        <v>1</v>
      </c>
      <c r="O21" s="29">
        <v>11756.467999999999</v>
      </c>
      <c r="P21" s="29">
        <v>11756.467999999999</v>
      </c>
      <c r="Q21" s="25"/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0"/>
        <v>11756.467999999999</v>
      </c>
      <c r="AF21" s="32">
        <f t="shared" si="11"/>
        <v>0</v>
      </c>
      <c r="AG21" s="30"/>
      <c r="AH21" s="33">
        <v>0.3</v>
      </c>
      <c r="AI21" s="34">
        <f t="shared" si="12"/>
        <v>3526.9403999999995</v>
      </c>
      <c r="AJ21" s="35">
        <v>46186</v>
      </c>
      <c r="AK21" s="30">
        <v>1</v>
      </c>
      <c r="AL21" s="36">
        <f t="shared" si="13"/>
        <v>11756.467999999999</v>
      </c>
      <c r="AM21" s="35">
        <v>46201</v>
      </c>
      <c r="AN21" s="30">
        <v>1</v>
      </c>
      <c r="AO21" s="36">
        <f t="shared" si="14"/>
        <v>11756.467999999999</v>
      </c>
      <c r="AP21" s="35"/>
      <c r="AQ21" s="30"/>
      <c r="AR21" s="36">
        <f t="shared" si="15"/>
        <v>0</v>
      </c>
      <c r="AS21" s="27" t="s">
        <v>199</v>
      </c>
      <c r="AT21" s="37">
        <v>46245</v>
      </c>
      <c r="AU21" s="30">
        <v>1</v>
      </c>
      <c r="AV21" s="36">
        <f t="shared" si="16"/>
        <v>11756.467999999999</v>
      </c>
      <c r="AW21" s="35">
        <v>46248</v>
      </c>
      <c r="AX21" s="30">
        <v>1</v>
      </c>
      <c r="AY21" s="32">
        <f t="shared" si="17"/>
        <v>11756.467999999999</v>
      </c>
      <c r="AZ21" s="30" t="s">
        <v>193</v>
      </c>
      <c r="BA21" s="63" t="s">
        <v>200</v>
      </c>
      <c r="BB21" s="71"/>
      <c r="BC21" s="71"/>
      <c r="BD21" s="71"/>
    </row>
    <row r="22" spans="1:56" x14ac:dyDescent="0.25">
      <c r="A22" s="24">
        <f>IF(B22="","",SUBTOTAL(3,$B$4:B22))</f>
        <v>19</v>
      </c>
      <c r="B22" s="25" t="s">
        <v>190</v>
      </c>
      <c r="C22" s="25" t="str">
        <f t="shared" si="9"/>
        <v>Shipment 1 Casing U1</v>
      </c>
      <c r="D22" s="25" t="s">
        <v>188</v>
      </c>
      <c r="E22" s="25" t="s">
        <v>186</v>
      </c>
      <c r="F22" s="25"/>
      <c r="G22" s="65">
        <v>46203</v>
      </c>
      <c r="H22" s="25" t="s">
        <v>191</v>
      </c>
      <c r="I22" s="25"/>
      <c r="J22" s="26" t="s">
        <v>196</v>
      </c>
      <c r="K22" s="27" t="s">
        <v>105</v>
      </c>
      <c r="L22" s="28" t="s">
        <v>106</v>
      </c>
      <c r="M22" s="28" t="s">
        <v>167</v>
      </c>
      <c r="N22" s="25">
        <v>1</v>
      </c>
      <c r="O22" s="29">
        <v>10674.704</v>
      </c>
      <c r="P22" s="29">
        <v>10674.704</v>
      </c>
      <c r="Q22" s="25"/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0"/>
        <v>10674.704</v>
      </c>
      <c r="AF22" s="32">
        <f t="shared" si="11"/>
        <v>0</v>
      </c>
      <c r="AG22" s="30"/>
      <c r="AH22" s="33">
        <v>0.3</v>
      </c>
      <c r="AI22" s="34">
        <f t="shared" si="12"/>
        <v>3202.4112</v>
      </c>
      <c r="AJ22" s="35">
        <v>46224</v>
      </c>
      <c r="AK22" s="30">
        <v>1</v>
      </c>
      <c r="AL22" s="36">
        <f t="shared" si="13"/>
        <v>10674.704</v>
      </c>
      <c r="AM22" s="35">
        <v>46230</v>
      </c>
      <c r="AN22" s="30">
        <v>1</v>
      </c>
      <c r="AO22" s="36">
        <f t="shared" si="14"/>
        <v>10674.704</v>
      </c>
      <c r="AP22" s="35"/>
      <c r="AQ22" s="30"/>
      <c r="AR22" s="36">
        <f t="shared" si="15"/>
        <v>0</v>
      </c>
      <c r="AS22" s="27" t="s">
        <v>199</v>
      </c>
      <c r="AT22" s="37">
        <v>46245</v>
      </c>
      <c r="AU22" s="30">
        <v>1</v>
      </c>
      <c r="AV22" s="36">
        <f t="shared" si="16"/>
        <v>10674.704</v>
      </c>
      <c r="AW22" s="35">
        <v>46248</v>
      </c>
      <c r="AX22" s="30">
        <v>1</v>
      </c>
      <c r="AY22" s="32">
        <f t="shared" ref="AY22" si="18">IFERROR(AX22*$P22/$N22,0)</f>
        <v>10674.704</v>
      </c>
      <c r="AZ22" s="30" t="s">
        <v>193</v>
      </c>
      <c r="BA22" s="63" t="s">
        <v>200</v>
      </c>
      <c r="BB22" s="71"/>
      <c r="BC22" s="71"/>
      <c r="BD22" s="71"/>
    </row>
    <row r="23" spans="1:56" x14ac:dyDescent="0.25">
      <c r="A23" s="24">
        <f>IF(B23="","",SUBTOTAL(3,$B$4:B23))</f>
        <v>20</v>
      </c>
      <c r="B23" s="25" t="s">
        <v>190</v>
      </c>
      <c r="C23" s="25" t="str">
        <f t="shared" si="9"/>
        <v>Shipment 1 Casing U1</v>
      </c>
      <c r="D23" s="25" t="s">
        <v>188</v>
      </c>
      <c r="E23" s="25" t="s">
        <v>186</v>
      </c>
      <c r="F23" s="25"/>
      <c r="G23" s="65">
        <v>46203</v>
      </c>
      <c r="H23" s="25" t="s">
        <v>191</v>
      </c>
      <c r="I23" s="25"/>
      <c r="J23" s="26" t="s">
        <v>196</v>
      </c>
      <c r="K23" s="27" t="s">
        <v>107</v>
      </c>
      <c r="L23" s="28" t="s">
        <v>108</v>
      </c>
      <c r="M23" s="28" t="s">
        <v>167</v>
      </c>
      <c r="N23" s="25">
        <v>1</v>
      </c>
      <c r="O23" s="29">
        <v>10674.576000000001</v>
      </c>
      <c r="P23" s="29">
        <v>10674.576000000001</v>
      </c>
      <c r="Q23" s="25"/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0"/>
        <v>10674.576000000001</v>
      </c>
      <c r="AF23" s="32">
        <f t="shared" si="11"/>
        <v>0</v>
      </c>
      <c r="AG23" s="30"/>
      <c r="AH23" s="33">
        <v>0.3</v>
      </c>
      <c r="AI23" s="34">
        <f t="shared" si="12"/>
        <v>3202.3728000000001</v>
      </c>
      <c r="AJ23" s="35">
        <v>46221</v>
      </c>
      <c r="AK23" s="30">
        <v>1</v>
      </c>
      <c r="AL23" s="36">
        <f t="shared" si="13"/>
        <v>10674.576000000001</v>
      </c>
      <c r="AM23" s="35">
        <v>46225</v>
      </c>
      <c r="AN23" s="30">
        <v>1</v>
      </c>
      <c r="AO23" s="36">
        <f t="shared" si="14"/>
        <v>10674.576000000001</v>
      </c>
      <c r="AP23" s="35"/>
      <c r="AQ23" s="30"/>
      <c r="AR23" s="36">
        <f t="shared" si="15"/>
        <v>0</v>
      </c>
      <c r="AS23" s="27" t="s">
        <v>198</v>
      </c>
      <c r="AT23" s="37">
        <v>46245</v>
      </c>
      <c r="AU23" s="30">
        <v>1</v>
      </c>
      <c r="AV23" s="36">
        <f t="shared" si="16"/>
        <v>10674.576000000001</v>
      </c>
      <c r="AW23" s="35">
        <v>46248</v>
      </c>
      <c r="AX23" s="30">
        <v>1</v>
      </c>
      <c r="AY23" s="32">
        <f t="shared" si="17"/>
        <v>10674.576000000001</v>
      </c>
      <c r="AZ23" s="30" t="s">
        <v>193</v>
      </c>
      <c r="BA23" s="63" t="s">
        <v>201</v>
      </c>
      <c r="BB23" s="71"/>
      <c r="BC23" s="71"/>
      <c r="BD23" s="71"/>
    </row>
    <row r="24" spans="1:56" x14ac:dyDescent="0.25">
      <c r="A24" s="24">
        <f>IF(B24="","",SUBTOTAL(3,$B$4:B24))</f>
        <v>21</v>
      </c>
      <c r="B24" s="25" t="s">
        <v>190</v>
      </c>
      <c r="C24" s="25" t="str">
        <f t="shared" si="9"/>
        <v>Shipment 1 Casing U1</v>
      </c>
      <c r="D24" s="25" t="s">
        <v>188</v>
      </c>
      <c r="E24" s="25" t="s">
        <v>186</v>
      </c>
      <c r="F24" s="25"/>
      <c r="G24" s="65">
        <v>46203</v>
      </c>
      <c r="H24" s="25" t="s">
        <v>191</v>
      </c>
      <c r="I24" s="25"/>
      <c r="J24" s="26" t="s">
        <v>196</v>
      </c>
      <c r="K24" s="27" t="s">
        <v>109</v>
      </c>
      <c r="L24" s="28" t="s">
        <v>110</v>
      </c>
      <c r="M24" s="28" t="s">
        <v>167</v>
      </c>
      <c r="N24" s="25">
        <v>1</v>
      </c>
      <c r="O24" s="29">
        <v>10612.276</v>
      </c>
      <c r="P24" s="29">
        <v>10612.276</v>
      </c>
      <c r="Q24" s="25"/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0"/>
        <v>10612.276</v>
      </c>
      <c r="AF24" s="32">
        <f t="shared" si="11"/>
        <v>0</v>
      </c>
      <c r="AG24" s="30"/>
      <c r="AH24" s="33">
        <v>0.3</v>
      </c>
      <c r="AI24" s="34">
        <f t="shared" si="12"/>
        <v>3183.6828</v>
      </c>
      <c r="AJ24" s="35">
        <v>46219</v>
      </c>
      <c r="AK24" s="30">
        <v>1</v>
      </c>
      <c r="AL24" s="36">
        <f t="shared" si="13"/>
        <v>10612.276</v>
      </c>
      <c r="AM24" s="35">
        <v>46228</v>
      </c>
      <c r="AN24" s="30">
        <v>1</v>
      </c>
      <c r="AO24" s="36">
        <f t="shared" si="14"/>
        <v>10612.276</v>
      </c>
      <c r="AP24" s="35"/>
      <c r="AQ24" s="30"/>
      <c r="AR24" s="36">
        <f t="shared" si="15"/>
        <v>0</v>
      </c>
      <c r="AS24" s="27" t="s">
        <v>197</v>
      </c>
      <c r="AT24" s="37">
        <v>46241</v>
      </c>
      <c r="AU24" s="30">
        <v>1</v>
      </c>
      <c r="AV24" s="36">
        <f t="shared" si="16"/>
        <v>10612.276</v>
      </c>
      <c r="AW24" s="35">
        <v>46248</v>
      </c>
      <c r="AX24" s="30">
        <v>1</v>
      </c>
      <c r="AY24" s="32">
        <f t="shared" si="17"/>
        <v>10612.276</v>
      </c>
      <c r="AZ24" s="30" t="s">
        <v>193</v>
      </c>
      <c r="BA24" s="63" t="s">
        <v>202</v>
      </c>
      <c r="BB24" s="71"/>
      <c r="BC24" s="71"/>
      <c r="BD24" s="71"/>
    </row>
    <row r="25" spans="1:56" x14ac:dyDescent="0.25">
      <c r="A25" s="24">
        <f>IF(B25="","",SUBTOTAL(3,$B$4:B25))</f>
        <v>22</v>
      </c>
      <c r="B25" s="25" t="s">
        <v>190</v>
      </c>
      <c r="C25" s="25" t="str">
        <f t="shared" si="9"/>
        <v>Shipment 1 Casing U1</v>
      </c>
      <c r="D25" s="25" t="s">
        <v>188</v>
      </c>
      <c r="E25" s="25" t="s">
        <v>186</v>
      </c>
      <c r="F25" s="25"/>
      <c r="G25" s="65">
        <v>46203</v>
      </c>
      <c r="H25" s="25" t="s">
        <v>191</v>
      </c>
      <c r="I25" s="25"/>
      <c r="J25" s="26" t="s">
        <v>196</v>
      </c>
      <c r="K25" s="27" t="s">
        <v>111</v>
      </c>
      <c r="L25" s="28" t="s">
        <v>112</v>
      </c>
      <c r="M25" s="28" t="s">
        <v>168</v>
      </c>
      <c r="N25" s="25">
        <v>1</v>
      </c>
      <c r="O25" s="29">
        <v>10439.779999999997</v>
      </c>
      <c r="P25" s="29">
        <v>10439.779999999997</v>
      </c>
      <c r="Q25" s="25"/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0"/>
        <v>10439.779999999997</v>
      </c>
      <c r="AF25" s="32">
        <f t="shared" si="11"/>
        <v>0</v>
      </c>
      <c r="AG25" s="30"/>
      <c r="AH25" s="33">
        <v>0.3</v>
      </c>
      <c r="AI25" s="34">
        <f t="shared" si="12"/>
        <v>3131.9339999999988</v>
      </c>
      <c r="AJ25" s="35">
        <v>46218</v>
      </c>
      <c r="AK25" s="30">
        <v>1</v>
      </c>
      <c r="AL25" s="36">
        <f t="shared" si="13"/>
        <v>10439.779999999997</v>
      </c>
      <c r="AM25" s="35">
        <v>46227</v>
      </c>
      <c r="AN25" s="30">
        <v>1</v>
      </c>
      <c r="AO25" s="36">
        <f t="shared" si="14"/>
        <v>10439.779999999997</v>
      </c>
      <c r="AP25" s="35"/>
      <c r="AQ25" s="30"/>
      <c r="AR25" s="36">
        <f t="shared" si="15"/>
        <v>0</v>
      </c>
      <c r="AS25" s="27" t="s">
        <v>197</v>
      </c>
      <c r="AT25" s="37">
        <v>46241</v>
      </c>
      <c r="AU25" s="30">
        <v>1</v>
      </c>
      <c r="AV25" s="36">
        <f t="shared" si="16"/>
        <v>10439.779999999997</v>
      </c>
      <c r="AW25" s="35">
        <v>46248</v>
      </c>
      <c r="AX25" s="30">
        <v>1</v>
      </c>
      <c r="AY25" s="32">
        <f t="shared" si="17"/>
        <v>10439.779999999997</v>
      </c>
      <c r="AZ25" s="30" t="s">
        <v>193</v>
      </c>
      <c r="BA25" s="63" t="s">
        <v>202</v>
      </c>
      <c r="BB25" s="71"/>
      <c r="BC25" s="71"/>
      <c r="BD25" s="71"/>
    </row>
    <row r="26" spans="1:56" x14ac:dyDescent="0.25">
      <c r="A26" s="24">
        <f>IF(B26="","",SUBTOTAL(3,$B$4:B26))</f>
        <v>23</v>
      </c>
      <c r="B26" s="25" t="s">
        <v>190</v>
      </c>
      <c r="C26" s="25" t="str">
        <f t="shared" si="9"/>
        <v>Shipment 1 Casing U1</v>
      </c>
      <c r="D26" s="25" t="s">
        <v>188</v>
      </c>
      <c r="E26" s="25" t="s">
        <v>186</v>
      </c>
      <c r="F26" s="25"/>
      <c r="G26" s="65">
        <v>46203</v>
      </c>
      <c r="H26" s="25" t="s">
        <v>191</v>
      </c>
      <c r="I26" s="25"/>
      <c r="J26" s="26" t="s">
        <v>194</v>
      </c>
      <c r="K26" s="27" t="s">
        <v>113</v>
      </c>
      <c r="L26" s="28" t="s">
        <v>114</v>
      </c>
      <c r="M26" s="28"/>
      <c r="N26" s="25">
        <v>1</v>
      </c>
      <c r="O26" s="29">
        <v>5316.6400000000012</v>
      </c>
      <c r="P26" s="29">
        <v>5316.6400000000012</v>
      </c>
      <c r="Q26" s="25"/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0"/>
        <v>2658.3200000000006</v>
      </c>
      <c r="AF26" s="32">
        <f t="shared" si="11"/>
        <v>2658.3200000000006</v>
      </c>
      <c r="AG26" s="30"/>
      <c r="AH26" s="33">
        <v>0.3</v>
      </c>
      <c r="AI26" s="34">
        <f t="shared" si="12"/>
        <v>1594.9920000000004</v>
      </c>
      <c r="AJ26" s="35">
        <v>46311</v>
      </c>
      <c r="AK26" s="30">
        <v>1</v>
      </c>
      <c r="AL26" s="36">
        <f t="shared" si="13"/>
        <v>5316.6400000000012</v>
      </c>
      <c r="AM26" s="35"/>
      <c r="AN26" s="30"/>
      <c r="AO26" s="36">
        <f t="shared" si="14"/>
        <v>0</v>
      </c>
      <c r="AP26" s="35"/>
      <c r="AQ26" s="30"/>
      <c r="AR26" s="36">
        <f t="shared" si="15"/>
        <v>0</v>
      </c>
      <c r="AS26" s="27"/>
      <c r="AT26" s="37"/>
      <c r="AU26" s="30"/>
      <c r="AV26" s="36">
        <f t="shared" si="16"/>
        <v>0</v>
      </c>
      <c r="AW26" s="35"/>
      <c r="AX26" s="30"/>
      <c r="AY26" s="32">
        <f t="shared" si="17"/>
        <v>0</v>
      </c>
      <c r="AZ26" s="30" t="s">
        <v>193</v>
      </c>
      <c r="BA26" s="63"/>
      <c r="BB26" s="71"/>
      <c r="BC26" s="71"/>
      <c r="BD26" s="71"/>
    </row>
    <row r="27" spans="1:56" x14ac:dyDescent="0.25">
      <c r="A27" s="24">
        <f>IF(B27="","",SUBTOTAL(3,$B$4:B27))</f>
        <v>24</v>
      </c>
      <c r="B27" s="25" t="s">
        <v>190</v>
      </c>
      <c r="C27" s="25" t="str">
        <f t="shared" si="9"/>
        <v>Shipment 1 Casing U1</v>
      </c>
      <c r="D27" s="25" t="s">
        <v>188</v>
      </c>
      <c r="E27" s="25" t="s">
        <v>186</v>
      </c>
      <c r="F27" s="25"/>
      <c r="G27" s="65">
        <v>46203</v>
      </c>
      <c r="H27" s="25" t="s">
        <v>191</v>
      </c>
      <c r="I27" s="25"/>
      <c r="J27" s="26" t="s">
        <v>207</v>
      </c>
      <c r="K27" s="27" t="s">
        <v>115</v>
      </c>
      <c r="L27" s="28" t="s">
        <v>116</v>
      </c>
      <c r="M27" s="28" t="s">
        <v>169</v>
      </c>
      <c r="N27" s="25">
        <v>1</v>
      </c>
      <c r="O27" s="29">
        <v>11863.376999999997</v>
      </c>
      <c r="P27" s="29">
        <v>11863.376999999997</v>
      </c>
      <c r="Q27" s="25"/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0"/>
        <v>0</v>
      </c>
      <c r="AF27" s="32">
        <f t="shared" si="11"/>
        <v>11863.376999999997</v>
      </c>
      <c r="AG27" s="30"/>
      <c r="AH27" s="33">
        <v>0.3</v>
      </c>
      <c r="AI27" s="34">
        <f t="shared" si="12"/>
        <v>3559.0130999999988</v>
      </c>
      <c r="AJ27" s="35"/>
      <c r="AK27" s="30"/>
      <c r="AL27" s="36">
        <f t="shared" si="13"/>
        <v>0</v>
      </c>
      <c r="AM27" s="35"/>
      <c r="AN27" s="30"/>
      <c r="AO27" s="36">
        <f t="shared" si="14"/>
        <v>0</v>
      </c>
      <c r="AP27" s="35"/>
      <c r="AQ27" s="30"/>
      <c r="AR27" s="36">
        <f t="shared" si="15"/>
        <v>0</v>
      </c>
      <c r="AS27" s="27"/>
      <c r="AT27" s="37"/>
      <c r="AU27" s="30"/>
      <c r="AV27" s="36">
        <f t="shared" si="16"/>
        <v>0</v>
      </c>
      <c r="AW27" s="35"/>
      <c r="AX27" s="30"/>
      <c r="AY27" s="32">
        <f t="shared" si="17"/>
        <v>0</v>
      </c>
      <c r="AZ27" s="30" t="s">
        <v>192</v>
      </c>
      <c r="BA27" s="63"/>
      <c r="BB27" s="71"/>
      <c r="BC27" s="71"/>
      <c r="BD27" s="71"/>
    </row>
    <row r="28" spans="1:56" x14ac:dyDescent="0.25">
      <c r="A28" s="24">
        <f>IF(B28="","",SUBTOTAL(3,$B$4:B28))</f>
        <v>25</v>
      </c>
      <c r="B28" s="25" t="s">
        <v>190</v>
      </c>
      <c r="C28" s="25" t="str">
        <f t="shared" si="9"/>
        <v>Shipment 1 Casing U1</v>
      </c>
      <c r="D28" s="25" t="s">
        <v>188</v>
      </c>
      <c r="E28" s="25" t="s">
        <v>186</v>
      </c>
      <c r="F28" s="25"/>
      <c r="G28" s="65">
        <v>46203</v>
      </c>
      <c r="H28" s="25" t="s">
        <v>191</v>
      </c>
      <c r="I28" s="25"/>
      <c r="J28" s="26" t="s">
        <v>207</v>
      </c>
      <c r="K28" s="27" t="s">
        <v>117</v>
      </c>
      <c r="L28" s="28" t="s">
        <v>118</v>
      </c>
      <c r="M28" s="28" t="s">
        <v>170</v>
      </c>
      <c r="N28" s="25">
        <v>1</v>
      </c>
      <c r="O28" s="29">
        <v>1589.9799999999998</v>
      </c>
      <c r="P28" s="29">
        <v>1589.9799999999998</v>
      </c>
      <c r="Q28" s="25"/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0"/>
        <v>0</v>
      </c>
      <c r="AF28" s="32">
        <f t="shared" si="11"/>
        <v>1589.9799999999998</v>
      </c>
      <c r="AG28" s="30"/>
      <c r="AH28" s="33">
        <v>0.3</v>
      </c>
      <c r="AI28" s="34">
        <f t="shared" si="12"/>
        <v>476.99399999999991</v>
      </c>
      <c r="AJ28" s="35"/>
      <c r="AK28" s="30"/>
      <c r="AL28" s="36">
        <f t="shared" si="13"/>
        <v>0</v>
      </c>
      <c r="AM28" s="35"/>
      <c r="AN28" s="30"/>
      <c r="AO28" s="36">
        <f t="shared" si="14"/>
        <v>0</v>
      </c>
      <c r="AP28" s="35"/>
      <c r="AQ28" s="30"/>
      <c r="AR28" s="36">
        <f t="shared" si="15"/>
        <v>0</v>
      </c>
      <c r="AS28" s="27"/>
      <c r="AT28" s="37"/>
      <c r="AU28" s="30"/>
      <c r="AV28" s="36">
        <f t="shared" si="16"/>
        <v>0</v>
      </c>
      <c r="AW28" s="35"/>
      <c r="AX28" s="30"/>
      <c r="AY28" s="32">
        <f t="shared" si="17"/>
        <v>0</v>
      </c>
      <c r="AZ28" s="30" t="s">
        <v>192</v>
      </c>
      <c r="BA28" s="63"/>
      <c r="BB28" s="71"/>
      <c r="BC28" s="71"/>
      <c r="BD28" s="71"/>
    </row>
    <row r="29" spans="1:56" x14ac:dyDescent="0.25">
      <c r="A29" s="24">
        <f>IF(B29="","",SUBTOTAL(3,$B$4:B29))</f>
        <v>26</v>
      </c>
      <c r="B29" s="25" t="s">
        <v>190</v>
      </c>
      <c r="C29" s="25" t="str">
        <f t="shared" si="9"/>
        <v>Shipment 1 Casing U1</v>
      </c>
      <c r="D29" s="25" t="s">
        <v>188</v>
      </c>
      <c r="E29" s="25" t="s">
        <v>186</v>
      </c>
      <c r="F29" s="25"/>
      <c r="G29" s="65">
        <v>46203</v>
      </c>
      <c r="H29" s="25" t="s">
        <v>191</v>
      </c>
      <c r="I29" s="25"/>
      <c r="J29" s="26" t="s">
        <v>207</v>
      </c>
      <c r="K29" s="27" t="s">
        <v>119</v>
      </c>
      <c r="L29" s="28" t="s">
        <v>120</v>
      </c>
      <c r="M29" s="28" t="s">
        <v>171</v>
      </c>
      <c r="N29" s="25">
        <v>1</v>
      </c>
      <c r="O29" s="29">
        <v>3605.1880000000001</v>
      </c>
      <c r="P29" s="29">
        <v>3605.1880000000001</v>
      </c>
      <c r="Q29" s="25"/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0"/>
        <v>0</v>
      </c>
      <c r="AF29" s="32">
        <f t="shared" si="11"/>
        <v>3605.1880000000001</v>
      </c>
      <c r="AG29" s="30"/>
      <c r="AH29" s="33">
        <v>0.3</v>
      </c>
      <c r="AI29" s="34">
        <f t="shared" si="12"/>
        <v>1081.5563999999999</v>
      </c>
      <c r="AJ29" s="35"/>
      <c r="AK29" s="30"/>
      <c r="AL29" s="36">
        <f t="shared" si="13"/>
        <v>0</v>
      </c>
      <c r="AM29" s="35"/>
      <c r="AN29" s="30"/>
      <c r="AO29" s="36">
        <f t="shared" si="14"/>
        <v>0</v>
      </c>
      <c r="AP29" s="35"/>
      <c r="AQ29" s="30"/>
      <c r="AR29" s="36">
        <f t="shared" si="15"/>
        <v>0</v>
      </c>
      <c r="AS29" s="27"/>
      <c r="AT29" s="37"/>
      <c r="AU29" s="30"/>
      <c r="AV29" s="36">
        <f t="shared" si="16"/>
        <v>0</v>
      </c>
      <c r="AW29" s="35"/>
      <c r="AX29" s="30"/>
      <c r="AY29" s="32">
        <f t="shared" si="17"/>
        <v>0</v>
      </c>
      <c r="AZ29" s="30" t="s">
        <v>192</v>
      </c>
      <c r="BA29" s="63"/>
      <c r="BB29" s="71"/>
      <c r="BC29" s="71"/>
      <c r="BD29" s="71"/>
    </row>
    <row r="30" spans="1:56" x14ac:dyDescent="0.25">
      <c r="A30" s="24">
        <f>IF(B30="","",SUBTOTAL(3,$B$4:B30))</f>
        <v>27</v>
      </c>
      <c r="B30" s="25" t="s">
        <v>190</v>
      </c>
      <c r="C30" s="25" t="str">
        <f t="shared" si="9"/>
        <v>Shipment 1 Casing U1</v>
      </c>
      <c r="D30" s="25" t="s">
        <v>188</v>
      </c>
      <c r="E30" s="25" t="s">
        <v>186</v>
      </c>
      <c r="F30" s="25"/>
      <c r="G30" s="65">
        <v>46203</v>
      </c>
      <c r="H30" s="25" t="s">
        <v>191</v>
      </c>
      <c r="I30" s="25"/>
      <c r="J30" s="26" t="s">
        <v>207</v>
      </c>
      <c r="K30" s="27" t="s">
        <v>121</v>
      </c>
      <c r="L30" s="28" t="s">
        <v>122</v>
      </c>
      <c r="M30" s="28" t="s">
        <v>172</v>
      </c>
      <c r="N30" s="25">
        <v>1</v>
      </c>
      <c r="O30" s="29">
        <v>4682.1599999999989</v>
      </c>
      <c r="P30" s="29">
        <v>4682.1599999999989</v>
      </c>
      <c r="Q30" s="25"/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0"/>
        <v>0</v>
      </c>
      <c r="AF30" s="32">
        <f t="shared" si="11"/>
        <v>4682.1599999999989</v>
      </c>
      <c r="AG30" s="30"/>
      <c r="AH30" s="33">
        <v>0.3</v>
      </c>
      <c r="AI30" s="34">
        <f t="shared" si="12"/>
        <v>1404.6479999999997</v>
      </c>
      <c r="AJ30" s="35"/>
      <c r="AK30" s="30"/>
      <c r="AL30" s="36">
        <f t="shared" si="13"/>
        <v>0</v>
      </c>
      <c r="AM30" s="35"/>
      <c r="AN30" s="30"/>
      <c r="AO30" s="36">
        <f t="shared" si="14"/>
        <v>0</v>
      </c>
      <c r="AP30" s="35"/>
      <c r="AQ30" s="30"/>
      <c r="AR30" s="36">
        <f t="shared" si="15"/>
        <v>0</v>
      </c>
      <c r="AS30" s="27"/>
      <c r="AT30" s="37"/>
      <c r="AU30" s="30"/>
      <c r="AV30" s="36">
        <f t="shared" si="16"/>
        <v>0</v>
      </c>
      <c r="AW30" s="35"/>
      <c r="AX30" s="30"/>
      <c r="AY30" s="32">
        <f t="shared" si="17"/>
        <v>0</v>
      </c>
      <c r="AZ30" s="30" t="s">
        <v>192</v>
      </c>
      <c r="BA30" s="63"/>
      <c r="BB30" s="71"/>
      <c r="BC30" s="71"/>
      <c r="BD30" s="71"/>
    </row>
    <row r="31" spans="1:56" x14ac:dyDescent="0.25">
      <c r="A31" s="24">
        <f>IF(B31="","",SUBTOTAL(3,$B$4:B31))</f>
        <v>28</v>
      </c>
      <c r="B31" s="25" t="s">
        <v>190</v>
      </c>
      <c r="C31" s="25" t="str">
        <f t="shared" si="9"/>
        <v>Shipment 1 Casing U1</v>
      </c>
      <c r="D31" s="25" t="s">
        <v>188</v>
      </c>
      <c r="E31" s="25" t="s">
        <v>186</v>
      </c>
      <c r="F31" s="25"/>
      <c r="G31" s="65">
        <v>46203</v>
      </c>
      <c r="H31" s="25" t="s">
        <v>191</v>
      </c>
      <c r="I31" s="25"/>
      <c r="J31" s="26" t="s">
        <v>207</v>
      </c>
      <c r="K31" s="27" t="s">
        <v>123</v>
      </c>
      <c r="L31" s="28" t="s">
        <v>124</v>
      </c>
      <c r="M31" s="28" t="s">
        <v>173</v>
      </c>
      <c r="N31" s="25">
        <v>1</v>
      </c>
      <c r="O31" s="29">
        <v>8604.2280000000046</v>
      </c>
      <c r="P31" s="29">
        <v>8604.2280000000046</v>
      </c>
      <c r="Q31" s="25"/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0"/>
        <v>0</v>
      </c>
      <c r="AF31" s="32">
        <f t="shared" si="11"/>
        <v>8604.2280000000046</v>
      </c>
      <c r="AG31" s="30"/>
      <c r="AH31" s="33">
        <v>0.3</v>
      </c>
      <c r="AI31" s="34">
        <f t="shared" si="12"/>
        <v>2581.2684000000013</v>
      </c>
      <c r="AJ31" s="35"/>
      <c r="AK31" s="30"/>
      <c r="AL31" s="36">
        <f t="shared" si="13"/>
        <v>0</v>
      </c>
      <c r="AM31" s="35"/>
      <c r="AN31" s="30"/>
      <c r="AO31" s="36">
        <f t="shared" si="14"/>
        <v>0</v>
      </c>
      <c r="AP31" s="35"/>
      <c r="AQ31" s="30"/>
      <c r="AR31" s="36">
        <f t="shared" si="15"/>
        <v>0</v>
      </c>
      <c r="AS31" s="27"/>
      <c r="AT31" s="37"/>
      <c r="AU31" s="30"/>
      <c r="AV31" s="36">
        <f t="shared" si="16"/>
        <v>0</v>
      </c>
      <c r="AW31" s="35"/>
      <c r="AX31" s="30"/>
      <c r="AY31" s="32">
        <f t="shared" si="17"/>
        <v>0</v>
      </c>
      <c r="AZ31" s="30" t="s">
        <v>192</v>
      </c>
      <c r="BA31" s="63"/>
      <c r="BB31" s="71"/>
      <c r="BC31" s="71"/>
      <c r="BD31" s="71"/>
    </row>
    <row r="32" spans="1:56" x14ac:dyDescent="0.25">
      <c r="A32" s="24">
        <f>IF(B32="","",SUBTOTAL(3,$B$4:B32))</f>
        <v>29</v>
      </c>
      <c r="B32" s="25" t="s">
        <v>190</v>
      </c>
      <c r="C32" s="25" t="str">
        <f t="shared" si="9"/>
        <v>Shipment 1 Casing U1</v>
      </c>
      <c r="D32" s="25" t="s">
        <v>188</v>
      </c>
      <c r="E32" s="25" t="s">
        <v>186</v>
      </c>
      <c r="F32" s="25"/>
      <c r="G32" s="65">
        <v>46203</v>
      </c>
      <c r="H32" s="25" t="s">
        <v>191</v>
      </c>
      <c r="I32" s="25"/>
      <c r="J32" s="26" t="s">
        <v>207</v>
      </c>
      <c r="K32" s="27" t="s">
        <v>125</v>
      </c>
      <c r="L32" s="28" t="s">
        <v>126</v>
      </c>
      <c r="M32" s="28" t="s">
        <v>174</v>
      </c>
      <c r="N32" s="25">
        <v>1</v>
      </c>
      <c r="O32" s="29">
        <v>1991.74</v>
      </c>
      <c r="P32" s="29">
        <v>1991.74</v>
      </c>
      <c r="Q32" s="25"/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0"/>
        <v>0</v>
      </c>
      <c r="AF32" s="32">
        <f t="shared" si="11"/>
        <v>1991.74</v>
      </c>
      <c r="AG32" s="30"/>
      <c r="AH32" s="33">
        <v>0.3</v>
      </c>
      <c r="AI32" s="34">
        <f t="shared" si="12"/>
        <v>597.52199999999993</v>
      </c>
      <c r="AJ32" s="35"/>
      <c r="AK32" s="30"/>
      <c r="AL32" s="36">
        <f t="shared" si="13"/>
        <v>0</v>
      </c>
      <c r="AM32" s="35"/>
      <c r="AN32" s="30"/>
      <c r="AO32" s="36">
        <f t="shared" si="14"/>
        <v>0</v>
      </c>
      <c r="AP32" s="35"/>
      <c r="AQ32" s="30"/>
      <c r="AR32" s="36">
        <f t="shared" si="15"/>
        <v>0</v>
      </c>
      <c r="AS32" s="27"/>
      <c r="AT32" s="37"/>
      <c r="AU32" s="30"/>
      <c r="AV32" s="36">
        <f t="shared" si="16"/>
        <v>0</v>
      </c>
      <c r="AW32" s="35"/>
      <c r="AX32" s="30"/>
      <c r="AY32" s="32">
        <f t="shared" si="17"/>
        <v>0</v>
      </c>
      <c r="AZ32" s="30" t="s">
        <v>192</v>
      </c>
      <c r="BA32" s="63"/>
      <c r="BB32" s="71"/>
      <c r="BC32" s="71"/>
      <c r="BD32" s="71"/>
    </row>
    <row r="33" spans="1:56" x14ac:dyDescent="0.25">
      <c r="A33" s="24">
        <f>IF(B33="","",SUBTOTAL(3,$B$4:B33))</f>
        <v>30</v>
      </c>
      <c r="B33" s="25" t="s">
        <v>190</v>
      </c>
      <c r="C33" s="25" t="str">
        <f t="shared" si="9"/>
        <v>Shipment 1 Casing U1</v>
      </c>
      <c r="D33" s="25" t="s">
        <v>188</v>
      </c>
      <c r="E33" s="25" t="s">
        <v>186</v>
      </c>
      <c r="F33" s="25"/>
      <c r="G33" s="65">
        <v>46203</v>
      </c>
      <c r="H33" s="25" t="s">
        <v>191</v>
      </c>
      <c r="I33" s="25"/>
      <c r="J33" s="26" t="s">
        <v>207</v>
      </c>
      <c r="K33" s="27" t="s">
        <v>127</v>
      </c>
      <c r="L33" s="28" t="s">
        <v>128</v>
      </c>
      <c r="M33" s="28" t="s">
        <v>175</v>
      </c>
      <c r="N33" s="25">
        <v>1</v>
      </c>
      <c r="O33" s="29">
        <v>8206.6280000000006</v>
      </c>
      <c r="P33" s="29">
        <v>8206.6280000000006</v>
      </c>
      <c r="Q33" s="25"/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0"/>
        <v>0</v>
      </c>
      <c r="AF33" s="32">
        <f t="shared" si="11"/>
        <v>8206.6280000000006</v>
      </c>
      <c r="AG33" s="30"/>
      <c r="AH33" s="33">
        <v>0.3</v>
      </c>
      <c r="AI33" s="34">
        <f t="shared" si="12"/>
        <v>2461.9884000000002</v>
      </c>
      <c r="AJ33" s="35"/>
      <c r="AK33" s="30"/>
      <c r="AL33" s="36">
        <f t="shared" si="13"/>
        <v>0</v>
      </c>
      <c r="AM33" s="35"/>
      <c r="AN33" s="30"/>
      <c r="AO33" s="36">
        <f t="shared" si="14"/>
        <v>0</v>
      </c>
      <c r="AP33" s="35"/>
      <c r="AQ33" s="30"/>
      <c r="AR33" s="36">
        <f t="shared" si="15"/>
        <v>0</v>
      </c>
      <c r="AS33" s="27"/>
      <c r="AT33" s="37"/>
      <c r="AU33" s="30"/>
      <c r="AV33" s="36">
        <f t="shared" si="16"/>
        <v>0</v>
      </c>
      <c r="AW33" s="35"/>
      <c r="AX33" s="30"/>
      <c r="AY33" s="32">
        <f t="shared" si="17"/>
        <v>0</v>
      </c>
      <c r="AZ33" s="30" t="s">
        <v>192</v>
      </c>
      <c r="BA33" s="63"/>
      <c r="BB33" s="71"/>
      <c r="BC33" s="71"/>
      <c r="BD33" s="71"/>
    </row>
    <row r="34" spans="1:56" x14ac:dyDescent="0.25">
      <c r="A34" s="24">
        <f>IF(B34="","",SUBTOTAL(3,$B$4:B34))</f>
        <v>31</v>
      </c>
      <c r="B34" s="25" t="s">
        <v>190</v>
      </c>
      <c r="C34" s="25" t="str">
        <f t="shared" si="9"/>
        <v>Shipment 1 Casing U1</v>
      </c>
      <c r="D34" s="25" t="s">
        <v>188</v>
      </c>
      <c r="E34" s="25" t="s">
        <v>186</v>
      </c>
      <c r="F34" s="25"/>
      <c r="G34" s="65">
        <v>46203</v>
      </c>
      <c r="H34" s="25" t="s">
        <v>191</v>
      </c>
      <c r="I34" s="25"/>
      <c r="J34" s="26" t="s">
        <v>207</v>
      </c>
      <c r="K34" s="27" t="s">
        <v>129</v>
      </c>
      <c r="L34" s="28" t="s">
        <v>130</v>
      </c>
      <c r="M34" s="28" t="s">
        <v>176</v>
      </c>
      <c r="N34" s="25">
        <v>1</v>
      </c>
      <c r="O34" s="29">
        <v>1663.6479999999997</v>
      </c>
      <c r="P34" s="29">
        <v>1663.6479999999997</v>
      </c>
      <c r="Q34" s="25"/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0"/>
        <v>0</v>
      </c>
      <c r="AF34" s="32">
        <f t="shared" si="11"/>
        <v>1663.6479999999997</v>
      </c>
      <c r="AG34" s="30"/>
      <c r="AH34" s="33">
        <v>0.3</v>
      </c>
      <c r="AI34" s="34">
        <f t="shared" si="12"/>
        <v>499.09439999999989</v>
      </c>
      <c r="AJ34" s="35"/>
      <c r="AK34" s="30"/>
      <c r="AL34" s="36">
        <f t="shared" si="13"/>
        <v>0</v>
      </c>
      <c r="AM34" s="35"/>
      <c r="AN34" s="30"/>
      <c r="AO34" s="36">
        <f t="shared" si="14"/>
        <v>0</v>
      </c>
      <c r="AP34" s="35"/>
      <c r="AQ34" s="30"/>
      <c r="AR34" s="36">
        <f t="shared" si="15"/>
        <v>0</v>
      </c>
      <c r="AS34" s="27"/>
      <c r="AT34" s="37"/>
      <c r="AU34" s="30"/>
      <c r="AV34" s="36">
        <f t="shared" si="16"/>
        <v>0</v>
      </c>
      <c r="AW34" s="35"/>
      <c r="AX34" s="30"/>
      <c r="AY34" s="32">
        <f t="shared" si="17"/>
        <v>0</v>
      </c>
      <c r="AZ34" s="30" t="s">
        <v>192</v>
      </c>
      <c r="BA34" s="63"/>
      <c r="BB34" s="71"/>
      <c r="BC34" s="71"/>
      <c r="BD34" s="71"/>
    </row>
    <row r="35" spans="1:56" x14ac:dyDescent="0.25">
      <c r="A35" s="24">
        <f>IF(B35="","",SUBTOTAL(3,$B$4:B35))</f>
        <v>32</v>
      </c>
      <c r="B35" s="25" t="s">
        <v>190</v>
      </c>
      <c r="C35" s="25" t="str">
        <f t="shared" si="9"/>
        <v>Shipment 1 Casing U1</v>
      </c>
      <c r="D35" s="25" t="s">
        <v>188</v>
      </c>
      <c r="E35" s="25" t="s">
        <v>186</v>
      </c>
      <c r="F35" s="25"/>
      <c r="G35" s="65">
        <v>46203</v>
      </c>
      <c r="H35" s="25" t="s">
        <v>191</v>
      </c>
      <c r="I35" s="25"/>
      <c r="J35" s="26" t="s">
        <v>207</v>
      </c>
      <c r="K35" s="27" t="s">
        <v>131</v>
      </c>
      <c r="L35" s="28" t="s">
        <v>132</v>
      </c>
      <c r="M35" s="28" t="s">
        <v>177</v>
      </c>
      <c r="N35" s="25">
        <v>1</v>
      </c>
      <c r="O35" s="29">
        <v>8077.7600000000011</v>
      </c>
      <c r="P35" s="29">
        <v>8077.7600000000011</v>
      </c>
      <c r="Q35" s="25"/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0"/>
        <v>0</v>
      </c>
      <c r="AF35" s="32">
        <f t="shared" si="11"/>
        <v>8077.7600000000011</v>
      </c>
      <c r="AG35" s="30"/>
      <c r="AH35" s="33">
        <v>0.3</v>
      </c>
      <c r="AI35" s="34">
        <f t="shared" si="12"/>
        <v>2423.3280000000004</v>
      </c>
      <c r="AJ35" s="35"/>
      <c r="AK35" s="30"/>
      <c r="AL35" s="36">
        <f t="shared" si="13"/>
        <v>0</v>
      </c>
      <c r="AM35" s="35"/>
      <c r="AN35" s="30"/>
      <c r="AO35" s="36">
        <f t="shared" si="14"/>
        <v>0</v>
      </c>
      <c r="AP35" s="35"/>
      <c r="AQ35" s="30"/>
      <c r="AR35" s="36">
        <f t="shared" si="15"/>
        <v>0</v>
      </c>
      <c r="AS35" s="27"/>
      <c r="AT35" s="37"/>
      <c r="AU35" s="30"/>
      <c r="AV35" s="36">
        <f t="shared" si="16"/>
        <v>0</v>
      </c>
      <c r="AW35" s="35"/>
      <c r="AX35" s="30"/>
      <c r="AY35" s="32">
        <f t="shared" si="17"/>
        <v>0</v>
      </c>
      <c r="AZ35" s="30" t="s">
        <v>192</v>
      </c>
      <c r="BA35" s="63"/>
      <c r="BB35" s="71"/>
      <c r="BC35" s="71"/>
      <c r="BD35" s="71"/>
    </row>
    <row r="36" spans="1:56" x14ac:dyDescent="0.25">
      <c r="A36" s="24">
        <f>IF(B36="","",SUBTOTAL(3,$B$4:B36))</f>
        <v>33</v>
      </c>
      <c r="B36" s="25" t="s">
        <v>190</v>
      </c>
      <c r="C36" s="25" t="str">
        <f t="shared" si="9"/>
        <v>Shipment 1 Casing U1</v>
      </c>
      <c r="D36" s="25" t="s">
        <v>188</v>
      </c>
      <c r="E36" s="25" t="s">
        <v>186</v>
      </c>
      <c r="F36" s="25"/>
      <c r="G36" s="65">
        <v>46203</v>
      </c>
      <c r="H36" s="25" t="s">
        <v>191</v>
      </c>
      <c r="I36" s="25"/>
      <c r="J36" s="26" t="s">
        <v>207</v>
      </c>
      <c r="K36" s="27" t="s">
        <v>133</v>
      </c>
      <c r="L36" s="28" t="s">
        <v>134</v>
      </c>
      <c r="M36" s="28" t="s">
        <v>178</v>
      </c>
      <c r="N36" s="25">
        <v>1</v>
      </c>
      <c r="O36" s="29">
        <v>1823.3639999999996</v>
      </c>
      <c r="P36" s="29">
        <v>1823.3639999999996</v>
      </c>
      <c r="Q36" s="25"/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0"/>
        <v>0</v>
      </c>
      <c r="AF36" s="32">
        <f t="shared" si="11"/>
        <v>1823.3639999999996</v>
      </c>
      <c r="AG36" s="30"/>
      <c r="AH36" s="33">
        <v>0.3</v>
      </c>
      <c r="AI36" s="34">
        <f t="shared" si="12"/>
        <v>547.00919999999985</v>
      </c>
      <c r="AJ36" s="35"/>
      <c r="AK36" s="30"/>
      <c r="AL36" s="36">
        <f t="shared" si="13"/>
        <v>0</v>
      </c>
      <c r="AM36" s="35"/>
      <c r="AN36" s="30"/>
      <c r="AO36" s="36">
        <f t="shared" si="14"/>
        <v>0</v>
      </c>
      <c r="AP36" s="35"/>
      <c r="AQ36" s="30"/>
      <c r="AR36" s="36">
        <f t="shared" si="15"/>
        <v>0</v>
      </c>
      <c r="AS36" s="27"/>
      <c r="AT36" s="37"/>
      <c r="AU36" s="30"/>
      <c r="AV36" s="36">
        <f t="shared" si="16"/>
        <v>0</v>
      </c>
      <c r="AW36" s="35"/>
      <c r="AX36" s="30"/>
      <c r="AY36" s="32">
        <f t="shared" si="17"/>
        <v>0</v>
      </c>
      <c r="AZ36" s="30" t="s">
        <v>192</v>
      </c>
      <c r="BA36" s="63"/>
      <c r="BB36" s="71"/>
      <c r="BC36" s="71"/>
      <c r="BD36" s="71"/>
    </row>
    <row r="37" spans="1:56" x14ac:dyDescent="0.25">
      <c r="A37" s="24">
        <f>IF(B37="","",SUBTOTAL(3,$B$4:B37))</f>
        <v>34</v>
      </c>
      <c r="B37" s="25" t="s">
        <v>190</v>
      </c>
      <c r="C37" s="25" t="str">
        <f t="shared" si="9"/>
        <v>Shipment 1 Casing U1</v>
      </c>
      <c r="D37" s="25" t="s">
        <v>188</v>
      </c>
      <c r="E37" s="25" t="s">
        <v>186</v>
      </c>
      <c r="F37" s="25"/>
      <c r="G37" s="65">
        <v>46203</v>
      </c>
      <c r="H37" s="25" t="s">
        <v>191</v>
      </c>
      <c r="I37" s="25"/>
      <c r="J37" s="26" t="s">
        <v>207</v>
      </c>
      <c r="K37" s="27" t="s">
        <v>135</v>
      </c>
      <c r="L37" s="28" t="s">
        <v>136</v>
      </c>
      <c r="M37" s="28" t="s">
        <v>179</v>
      </c>
      <c r="N37" s="25">
        <v>1</v>
      </c>
      <c r="O37" s="29">
        <v>3145.0880000000002</v>
      </c>
      <c r="P37" s="29">
        <v>3145.0880000000002</v>
      </c>
      <c r="Q37" s="25"/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0"/>
        <v>0</v>
      </c>
      <c r="AF37" s="32">
        <f t="shared" si="11"/>
        <v>3145.0880000000002</v>
      </c>
      <c r="AG37" s="30"/>
      <c r="AH37" s="33">
        <v>0.3</v>
      </c>
      <c r="AI37" s="34">
        <f t="shared" si="12"/>
        <v>943.52639999999997</v>
      </c>
      <c r="AJ37" s="35"/>
      <c r="AK37" s="30"/>
      <c r="AL37" s="36">
        <f t="shared" si="13"/>
        <v>0</v>
      </c>
      <c r="AM37" s="35"/>
      <c r="AN37" s="30"/>
      <c r="AO37" s="36">
        <f t="shared" si="14"/>
        <v>0</v>
      </c>
      <c r="AP37" s="35"/>
      <c r="AQ37" s="30"/>
      <c r="AR37" s="36">
        <f t="shared" si="15"/>
        <v>0</v>
      </c>
      <c r="AS37" s="27"/>
      <c r="AT37" s="37"/>
      <c r="AU37" s="30"/>
      <c r="AV37" s="36">
        <f t="shared" si="16"/>
        <v>0</v>
      </c>
      <c r="AW37" s="35"/>
      <c r="AX37" s="30"/>
      <c r="AY37" s="32">
        <f t="shared" si="17"/>
        <v>0</v>
      </c>
      <c r="AZ37" s="30" t="s">
        <v>192</v>
      </c>
      <c r="BA37" s="63"/>
      <c r="BB37" s="71"/>
      <c r="BC37" s="71"/>
      <c r="BD37" s="71"/>
    </row>
    <row r="38" spans="1:56" x14ac:dyDescent="0.25">
      <c r="A38" s="24">
        <f>IF(B38="","",SUBTOTAL(3,$B$4:B38))</f>
        <v>35</v>
      </c>
      <c r="B38" s="25" t="s">
        <v>190</v>
      </c>
      <c r="C38" s="25" t="str">
        <f t="shared" si="9"/>
        <v>Shipment 1 Casing U1</v>
      </c>
      <c r="D38" s="25" t="s">
        <v>188</v>
      </c>
      <c r="E38" s="25" t="s">
        <v>186</v>
      </c>
      <c r="F38" s="25"/>
      <c r="G38" s="65">
        <v>46203</v>
      </c>
      <c r="H38" s="25" t="s">
        <v>191</v>
      </c>
      <c r="I38" s="25"/>
      <c r="J38" s="26" t="s">
        <v>194</v>
      </c>
      <c r="K38" s="27" t="s">
        <v>137</v>
      </c>
      <c r="L38" s="28" t="s">
        <v>138</v>
      </c>
      <c r="M38" s="28" t="s">
        <v>180</v>
      </c>
      <c r="N38" s="25">
        <v>1</v>
      </c>
      <c r="O38" s="29">
        <v>3326.8940000000002</v>
      </c>
      <c r="P38" s="29">
        <v>3326.8940000000002</v>
      </c>
      <c r="Q38" s="25"/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0"/>
        <v>1663.4470000000001</v>
      </c>
      <c r="AF38" s="32">
        <f t="shared" si="11"/>
        <v>1663.4470000000001</v>
      </c>
      <c r="AG38" s="30"/>
      <c r="AH38" s="33">
        <v>0.3</v>
      </c>
      <c r="AI38" s="34">
        <f t="shared" si="12"/>
        <v>998.06820000000005</v>
      </c>
      <c r="AJ38" s="35">
        <v>46313</v>
      </c>
      <c r="AK38" s="30">
        <v>1</v>
      </c>
      <c r="AL38" s="36">
        <f t="shared" si="13"/>
        <v>3326.8940000000002</v>
      </c>
      <c r="AM38" s="35"/>
      <c r="AN38" s="30"/>
      <c r="AO38" s="36">
        <f t="shared" si="14"/>
        <v>0</v>
      </c>
      <c r="AP38" s="35"/>
      <c r="AQ38" s="30"/>
      <c r="AR38" s="36">
        <f t="shared" si="15"/>
        <v>0</v>
      </c>
      <c r="AS38" s="27"/>
      <c r="AT38" s="37"/>
      <c r="AU38" s="30"/>
      <c r="AV38" s="36">
        <f t="shared" si="16"/>
        <v>0</v>
      </c>
      <c r="AW38" s="35"/>
      <c r="AX38" s="30"/>
      <c r="AY38" s="32">
        <f t="shared" si="17"/>
        <v>0</v>
      </c>
      <c r="AZ38" s="30" t="s">
        <v>192</v>
      </c>
      <c r="BA38" s="63"/>
      <c r="BB38" s="71"/>
      <c r="BC38" s="71"/>
      <c r="BD38" s="71"/>
    </row>
    <row r="39" spans="1:56" x14ac:dyDescent="0.25">
      <c r="A39" s="24">
        <f>IF(B39="","",SUBTOTAL(3,$B$4:B39))</f>
        <v>36</v>
      </c>
      <c r="B39" s="25" t="s">
        <v>190</v>
      </c>
      <c r="C39" s="25" t="str">
        <f t="shared" si="9"/>
        <v>Shipment 1 Casing U1</v>
      </c>
      <c r="D39" s="25" t="s">
        <v>188</v>
      </c>
      <c r="E39" s="25" t="s">
        <v>186</v>
      </c>
      <c r="F39" s="25"/>
      <c r="G39" s="65">
        <v>46203</v>
      </c>
      <c r="H39" s="25" t="s">
        <v>191</v>
      </c>
      <c r="I39" s="25"/>
      <c r="J39" s="26" t="s">
        <v>194</v>
      </c>
      <c r="K39" s="27" t="s">
        <v>139</v>
      </c>
      <c r="L39" s="28" t="s">
        <v>140</v>
      </c>
      <c r="M39" s="28" t="s">
        <v>181</v>
      </c>
      <c r="N39" s="25">
        <v>1</v>
      </c>
      <c r="O39" s="29">
        <v>3892.7239999999997</v>
      </c>
      <c r="P39" s="29">
        <v>3892.7239999999997</v>
      </c>
      <c r="Q39" s="25"/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0"/>
        <v>1946.3619999999999</v>
      </c>
      <c r="AF39" s="32">
        <f t="shared" si="11"/>
        <v>1946.3619999999999</v>
      </c>
      <c r="AG39" s="30"/>
      <c r="AH39" s="33">
        <v>0.3</v>
      </c>
      <c r="AI39" s="34">
        <f t="shared" si="12"/>
        <v>1167.8172</v>
      </c>
      <c r="AJ39" s="35">
        <v>46311</v>
      </c>
      <c r="AK39" s="30">
        <v>1</v>
      </c>
      <c r="AL39" s="36">
        <f t="shared" si="13"/>
        <v>3892.7239999999997</v>
      </c>
      <c r="AM39" s="35"/>
      <c r="AN39" s="30"/>
      <c r="AO39" s="36">
        <f t="shared" si="14"/>
        <v>0</v>
      </c>
      <c r="AP39" s="35"/>
      <c r="AQ39" s="30"/>
      <c r="AR39" s="36">
        <f t="shared" si="15"/>
        <v>0</v>
      </c>
      <c r="AS39" s="27"/>
      <c r="AT39" s="37"/>
      <c r="AU39" s="30"/>
      <c r="AV39" s="36">
        <f t="shared" si="16"/>
        <v>0</v>
      </c>
      <c r="AW39" s="35"/>
      <c r="AX39" s="30"/>
      <c r="AY39" s="32">
        <f t="shared" si="17"/>
        <v>0</v>
      </c>
      <c r="AZ39" s="30" t="s">
        <v>192</v>
      </c>
      <c r="BA39" s="63"/>
      <c r="BB39" s="71"/>
      <c r="BC39" s="71"/>
      <c r="BD39" s="71"/>
    </row>
    <row r="40" spans="1:56" x14ac:dyDescent="0.25">
      <c r="A40" s="24">
        <f>IF(B40="","",SUBTOTAL(3,$B$4:B40))</f>
        <v>37</v>
      </c>
      <c r="B40" s="25" t="s">
        <v>190</v>
      </c>
      <c r="C40" s="25" t="str">
        <f t="shared" si="9"/>
        <v>Shipment 1 Casing U1</v>
      </c>
      <c r="D40" s="25" t="s">
        <v>188</v>
      </c>
      <c r="E40" s="25" t="s">
        <v>186</v>
      </c>
      <c r="F40" s="25"/>
      <c r="G40" s="65">
        <v>46203</v>
      </c>
      <c r="H40" s="25" t="s">
        <v>191</v>
      </c>
      <c r="I40" s="25"/>
      <c r="J40" s="26" t="s">
        <v>194</v>
      </c>
      <c r="K40" s="27" t="s">
        <v>141</v>
      </c>
      <c r="L40" s="28" t="s">
        <v>142</v>
      </c>
      <c r="M40" s="28" t="s">
        <v>182</v>
      </c>
      <c r="N40" s="25">
        <v>1</v>
      </c>
      <c r="O40" s="29">
        <v>3309.712</v>
      </c>
      <c r="P40" s="29">
        <v>3309.712</v>
      </c>
      <c r="Q40" s="25"/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0"/>
        <v>1654.856</v>
      </c>
      <c r="AF40" s="32">
        <f t="shared" si="11"/>
        <v>1654.856</v>
      </c>
      <c r="AG40" s="30"/>
      <c r="AH40" s="33">
        <v>0.3</v>
      </c>
      <c r="AI40" s="34">
        <f t="shared" si="12"/>
        <v>992.91359999999997</v>
      </c>
      <c r="AJ40" s="35">
        <v>46311</v>
      </c>
      <c r="AK40" s="30">
        <v>1</v>
      </c>
      <c r="AL40" s="36">
        <f t="shared" si="13"/>
        <v>3309.712</v>
      </c>
      <c r="AM40" s="35"/>
      <c r="AN40" s="30"/>
      <c r="AO40" s="36">
        <f t="shared" si="14"/>
        <v>0</v>
      </c>
      <c r="AP40" s="35"/>
      <c r="AQ40" s="30"/>
      <c r="AR40" s="36">
        <f t="shared" si="15"/>
        <v>0</v>
      </c>
      <c r="AS40" s="27"/>
      <c r="AT40" s="37"/>
      <c r="AU40" s="30"/>
      <c r="AV40" s="36">
        <f t="shared" si="16"/>
        <v>0</v>
      </c>
      <c r="AW40" s="35"/>
      <c r="AX40" s="30"/>
      <c r="AY40" s="32">
        <f t="shared" si="17"/>
        <v>0</v>
      </c>
      <c r="AZ40" s="30" t="s">
        <v>192</v>
      </c>
      <c r="BA40" s="63"/>
      <c r="BB40" s="71"/>
      <c r="BC40" s="71"/>
      <c r="BD40" s="71"/>
    </row>
    <row r="41" spans="1:56" x14ac:dyDescent="0.25">
      <c r="A41" s="24">
        <f>IF(B41="","",SUBTOTAL(3,$B$4:B41))</f>
        <v>38</v>
      </c>
      <c r="B41" s="25" t="s">
        <v>190</v>
      </c>
      <c r="C41" s="25" t="str">
        <f t="shared" si="9"/>
        <v>Shipment 1 Casing U1</v>
      </c>
      <c r="D41" s="25" t="s">
        <v>188</v>
      </c>
      <c r="E41" s="25" t="s">
        <v>186</v>
      </c>
      <c r="F41" s="25"/>
      <c r="G41" s="65">
        <v>46203</v>
      </c>
      <c r="H41" s="25" t="s">
        <v>191</v>
      </c>
      <c r="I41" s="25"/>
      <c r="J41" s="26" t="s">
        <v>196</v>
      </c>
      <c r="K41" s="27" t="s">
        <v>143</v>
      </c>
      <c r="L41" s="28" t="s">
        <v>144</v>
      </c>
      <c r="M41" s="28" t="s">
        <v>183</v>
      </c>
      <c r="N41" s="25">
        <v>1</v>
      </c>
      <c r="O41" s="29">
        <v>3280.2600000000007</v>
      </c>
      <c r="P41" s="29">
        <v>3280.2600000000007</v>
      </c>
      <c r="Q41" s="25"/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0"/>
        <v>2952.2340000000004</v>
      </c>
      <c r="AF41" s="32">
        <f t="shared" si="11"/>
        <v>328.02600000000029</v>
      </c>
      <c r="AG41" s="30"/>
      <c r="AH41" s="33">
        <v>0.3</v>
      </c>
      <c r="AI41" s="34">
        <f t="shared" si="12"/>
        <v>984.0780000000002</v>
      </c>
      <c r="AJ41" s="35">
        <v>46307</v>
      </c>
      <c r="AK41" s="30">
        <v>1</v>
      </c>
      <c r="AL41" s="36">
        <f t="shared" si="13"/>
        <v>3280.2600000000007</v>
      </c>
      <c r="AM41" s="35">
        <v>46310</v>
      </c>
      <c r="AN41" s="30">
        <v>1</v>
      </c>
      <c r="AO41" s="36">
        <f t="shared" si="14"/>
        <v>3280.2600000000007</v>
      </c>
      <c r="AP41" s="35"/>
      <c r="AQ41" s="30"/>
      <c r="AR41" s="36">
        <f t="shared" si="15"/>
        <v>0</v>
      </c>
      <c r="AS41" s="27"/>
      <c r="AT41" s="37"/>
      <c r="AU41" s="30"/>
      <c r="AV41" s="36">
        <f t="shared" si="16"/>
        <v>0</v>
      </c>
      <c r="AW41" s="35"/>
      <c r="AX41" s="30"/>
      <c r="AY41" s="32">
        <f t="shared" si="17"/>
        <v>0</v>
      </c>
      <c r="AZ41" s="30" t="s">
        <v>192</v>
      </c>
      <c r="BA41" s="63"/>
      <c r="BB41" s="71"/>
      <c r="BC41" s="71"/>
      <c r="BD41" s="71"/>
    </row>
    <row r="42" spans="1:56" x14ac:dyDescent="0.25">
      <c r="A42" s="24">
        <f>IF(B42="","",SUBTOTAL(3,$B$4:B42))</f>
        <v>39</v>
      </c>
      <c r="B42" s="25" t="s">
        <v>190</v>
      </c>
      <c r="C42" s="25" t="str">
        <f t="shared" si="9"/>
        <v>Shipment 1 Casing U1</v>
      </c>
      <c r="D42" s="25" t="s">
        <v>188</v>
      </c>
      <c r="E42" s="25" t="s">
        <v>186</v>
      </c>
      <c r="F42" s="25"/>
      <c r="G42" s="65">
        <v>46203</v>
      </c>
      <c r="H42" s="25" t="s">
        <v>191</v>
      </c>
      <c r="I42" s="25"/>
      <c r="J42" s="26" t="s">
        <v>196</v>
      </c>
      <c r="K42" s="27" t="s">
        <v>145</v>
      </c>
      <c r="L42" s="28" t="s">
        <v>146</v>
      </c>
      <c r="M42" s="28" t="s">
        <v>184</v>
      </c>
      <c r="N42" s="25">
        <v>1</v>
      </c>
      <c r="O42" s="29">
        <v>3970.6840000000002</v>
      </c>
      <c r="P42" s="29">
        <v>3970.6840000000002</v>
      </c>
      <c r="Q42" s="25"/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0"/>
        <v>1985.3420000000001</v>
      </c>
      <c r="AF42" s="32">
        <f t="shared" si="11"/>
        <v>1985.3420000000001</v>
      </c>
      <c r="AG42" s="30"/>
      <c r="AH42" s="33">
        <v>0.3</v>
      </c>
      <c r="AI42" s="34">
        <f t="shared" si="12"/>
        <v>1191.2052000000001</v>
      </c>
      <c r="AJ42" s="35">
        <v>46308</v>
      </c>
      <c r="AK42" s="30">
        <v>1</v>
      </c>
      <c r="AL42" s="36">
        <f t="shared" si="13"/>
        <v>3970.6840000000002</v>
      </c>
      <c r="AM42" s="35"/>
      <c r="AN42" s="30"/>
      <c r="AO42" s="36">
        <f t="shared" si="14"/>
        <v>0</v>
      </c>
      <c r="AP42" s="35"/>
      <c r="AQ42" s="30"/>
      <c r="AR42" s="36">
        <f t="shared" si="15"/>
        <v>0</v>
      </c>
      <c r="AS42" s="27"/>
      <c r="AT42" s="37"/>
      <c r="AU42" s="30"/>
      <c r="AV42" s="36">
        <f t="shared" si="16"/>
        <v>0</v>
      </c>
      <c r="AW42" s="35"/>
      <c r="AX42" s="30"/>
      <c r="AY42" s="32">
        <f t="shared" si="17"/>
        <v>0</v>
      </c>
      <c r="AZ42" s="30" t="s">
        <v>192</v>
      </c>
      <c r="BA42" s="63"/>
      <c r="BB42" s="71"/>
      <c r="BC42" s="71"/>
      <c r="BD42" s="71"/>
    </row>
    <row r="43" spans="1:56" x14ac:dyDescent="0.25">
      <c r="A43" s="24">
        <f>IF(B43="","",SUBTOTAL(3,$B$4:B43))</f>
        <v>40</v>
      </c>
      <c r="B43" s="25" t="s">
        <v>190</v>
      </c>
      <c r="C43" s="25" t="str">
        <f t="shared" si="9"/>
        <v>Shipment 1 Casing U1</v>
      </c>
      <c r="D43" s="25" t="s">
        <v>188</v>
      </c>
      <c r="E43" s="25" t="s">
        <v>186</v>
      </c>
      <c r="F43" s="25"/>
      <c r="G43" s="65">
        <v>46203</v>
      </c>
      <c r="H43" s="25" t="s">
        <v>191</v>
      </c>
      <c r="I43" s="25"/>
      <c r="J43" s="26" t="s">
        <v>196</v>
      </c>
      <c r="K43" s="27" t="s">
        <v>147</v>
      </c>
      <c r="L43" s="28" t="s">
        <v>148</v>
      </c>
      <c r="M43" s="28" t="s">
        <v>185</v>
      </c>
      <c r="N43" s="25">
        <v>1</v>
      </c>
      <c r="O43" s="29">
        <v>4347.7700000000004</v>
      </c>
      <c r="P43" s="29">
        <v>4347.7700000000004</v>
      </c>
      <c r="Q43" s="25"/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0"/>
        <v>3912.9930000000004</v>
      </c>
      <c r="AF43" s="32">
        <f t="shared" si="11"/>
        <v>434.77700000000004</v>
      </c>
      <c r="AG43" s="30"/>
      <c r="AH43" s="33">
        <v>0.3</v>
      </c>
      <c r="AI43" s="34">
        <f t="shared" si="12"/>
        <v>1304.3310000000001</v>
      </c>
      <c r="AJ43" s="35">
        <v>46307</v>
      </c>
      <c r="AK43" s="30">
        <v>1</v>
      </c>
      <c r="AL43" s="36">
        <f t="shared" si="13"/>
        <v>4347.7700000000004</v>
      </c>
      <c r="AM43" s="35">
        <v>46311</v>
      </c>
      <c r="AN43" s="30">
        <v>1</v>
      </c>
      <c r="AO43" s="36">
        <f t="shared" si="14"/>
        <v>4347.7700000000004</v>
      </c>
      <c r="AP43" s="35"/>
      <c r="AQ43" s="30"/>
      <c r="AR43" s="36">
        <f t="shared" si="15"/>
        <v>0</v>
      </c>
      <c r="AS43" s="27"/>
      <c r="AT43" s="37"/>
      <c r="AU43" s="30"/>
      <c r="AV43" s="36">
        <f t="shared" si="16"/>
        <v>0</v>
      </c>
      <c r="AW43" s="35"/>
      <c r="AX43" s="30"/>
      <c r="AY43" s="32">
        <f t="shared" si="17"/>
        <v>0</v>
      </c>
      <c r="AZ43" s="30" t="s">
        <v>192</v>
      </c>
      <c r="BA43" s="63"/>
      <c r="BB43" s="71"/>
      <c r="BC43" s="71"/>
      <c r="BD43" s="71"/>
    </row>
    <row r="44" spans="1:56" x14ac:dyDescent="0.25">
      <c r="A44" s="24">
        <f>IF(B44="","",SUBTOTAL(3,$B$4:B44))</f>
        <v>41</v>
      </c>
      <c r="B44" s="25" t="s">
        <v>190</v>
      </c>
      <c r="C44" s="25" t="str">
        <f t="shared" si="9"/>
        <v>Shipment 2 Casing U2</v>
      </c>
      <c r="D44" s="25" t="s">
        <v>189</v>
      </c>
      <c r="E44" s="25" t="s">
        <v>187</v>
      </c>
      <c r="F44" s="25"/>
      <c r="G44" s="65">
        <v>46233</v>
      </c>
      <c r="H44" s="25" t="s">
        <v>191</v>
      </c>
      <c r="I44" s="25"/>
      <c r="J44" s="26" t="s">
        <v>195</v>
      </c>
      <c r="K44" s="27" t="s">
        <v>69</v>
      </c>
      <c r="L44" s="28" t="s">
        <v>70</v>
      </c>
      <c r="M44" s="28" t="s">
        <v>149</v>
      </c>
      <c r="N44" s="25">
        <v>1</v>
      </c>
      <c r="O44" s="29">
        <v>3286.3700000000003</v>
      </c>
      <c r="P44" s="29">
        <v>3286.3700000000003</v>
      </c>
      <c r="Q44" s="25"/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0"/>
        <v>0</v>
      </c>
      <c r="AF44" s="32">
        <f t="shared" si="11"/>
        <v>3286.3700000000003</v>
      </c>
      <c r="AG44" s="30"/>
      <c r="AH44" s="33">
        <v>0.05</v>
      </c>
      <c r="AI44" s="34">
        <f t="shared" si="12"/>
        <v>164.31850000000003</v>
      </c>
      <c r="AJ44" s="35"/>
      <c r="AK44" s="30"/>
      <c r="AL44" s="36">
        <f t="shared" si="13"/>
        <v>0</v>
      </c>
      <c r="AM44" s="35"/>
      <c r="AN44" s="30"/>
      <c r="AO44" s="36">
        <f t="shared" si="14"/>
        <v>0</v>
      </c>
      <c r="AP44" s="35"/>
      <c r="AQ44" s="30"/>
      <c r="AR44" s="36">
        <f t="shared" si="15"/>
        <v>0</v>
      </c>
      <c r="AS44" s="27"/>
      <c r="AT44" s="37"/>
      <c r="AU44" s="30"/>
      <c r="AV44" s="36">
        <f t="shared" si="16"/>
        <v>0</v>
      </c>
      <c r="AW44" s="35"/>
      <c r="AX44" s="30"/>
      <c r="AY44" s="32">
        <f t="shared" si="17"/>
        <v>0</v>
      </c>
      <c r="AZ44" s="30" t="s">
        <v>193</v>
      </c>
      <c r="BA44" s="63"/>
      <c r="BB44" s="71"/>
      <c r="BC44" s="71"/>
      <c r="BD44" s="71"/>
    </row>
    <row r="45" spans="1:56" x14ac:dyDescent="0.25">
      <c r="A45" s="24">
        <f>IF(B45="","",SUBTOTAL(3,$B$4:B45))</f>
        <v>42</v>
      </c>
      <c r="B45" s="25" t="s">
        <v>190</v>
      </c>
      <c r="C45" s="25" t="str">
        <f t="shared" si="9"/>
        <v>Shipment 2 Casing U2</v>
      </c>
      <c r="D45" s="25" t="s">
        <v>189</v>
      </c>
      <c r="E45" s="25" t="s">
        <v>187</v>
      </c>
      <c r="F45" s="25"/>
      <c r="G45" s="65">
        <v>46233</v>
      </c>
      <c r="H45" s="25" t="s">
        <v>191</v>
      </c>
      <c r="I45" s="25"/>
      <c r="J45" s="26" t="s">
        <v>195</v>
      </c>
      <c r="K45" s="27" t="s">
        <v>71</v>
      </c>
      <c r="L45" s="28" t="s">
        <v>72</v>
      </c>
      <c r="M45" s="28" t="s">
        <v>150</v>
      </c>
      <c r="N45" s="25">
        <v>1</v>
      </c>
      <c r="O45" s="29">
        <v>2892.2239999999997</v>
      </c>
      <c r="P45" s="29">
        <v>2892.2239999999997</v>
      </c>
      <c r="Q45" s="25"/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0"/>
        <v>0</v>
      </c>
      <c r="AF45" s="32">
        <f t="shared" si="11"/>
        <v>2892.2239999999997</v>
      </c>
      <c r="AG45" s="30"/>
      <c r="AH45" s="33">
        <v>0.05</v>
      </c>
      <c r="AI45" s="34">
        <f t="shared" si="12"/>
        <v>144.6112</v>
      </c>
      <c r="AJ45" s="35"/>
      <c r="AK45" s="30"/>
      <c r="AL45" s="36">
        <f t="shared" si="13"/>
        <v>0</v>
      </c>
      <c r="AM45" s="35"/>
      <c r="AN45" s="30"/>
      <c r="AO45" s="36">
        <f t="shared" si="14"/>
        <v>0</v>
      </c>
      <c r="AP45" s="35"/>
      <c r="AQ45" s="30"/>
      <c r="AR45" s="36">
        <f t="shared" si="15"/>
        <v>0</v>
      </c>
      <c r="AS45" s="27"/>
      <c r="AT45" s="37"/>
      <c r="AU45" s="30"/>
      <c r="AV45" s="36">
        <f t="shared" si="16"/>
        <v>0</v>
      </c>
      <c r="AW45" s="35"/>
      <c r="AX45" s="30"/>
      <c r="AY45" s="32">
        <f t="shared" si="17"/>
        <v>0</v>
      </c>
      <c r="AZ45" s="30" t="s">
        <v>193</v>
      </c>
      <c r="BA45" s="63"/>
      <c r="BB45" s="71"/>
      <c r="BC45" s="71"/>
      <c r="BD45" s="71"/>
    </row>
    <row r="46" spans="1:56" x14ac:dyDescent="0.25">
      <c r="A46" s="24">
        <f>IF(B46="","",SUBTOTAL(3,$B$4:B46))</f>
        <v>43</v>
      </c>
      <c r="B46" s="25" t="s">
        <v>190</v>
      </c>
      <c r="C46" s="25" t="str">
        <f t="shared" si="9"/>
        <v>Shipment 2 Casing U2</v>
      </c>
      <c r="D46" s="25" t="s">
        <v>189</v>
      </c>
      <c r="E46" s="25" t="s">
        <v>187</v>
      </c>
      <c r="F46" s="25"/>
      <c r="G46" s="65">
        <v>46233</v>
      </c>
      <c r="H46" s="25" t="s">
        <v>191</v>
      </c>
      <c r="I46" s="25"/>
      <c r="J46" s="26" t="s">
        <v>195</v>
      </c>
      <c r="K46" s="27" t="s">
        <v>73</v>
      </c>
      <c r="L46" s="28" t="s">
        <v>74</v>
      </c>
      <c r="M46" s="28" t="s">
        <v>151</v>
      </c>
      <c r="N46" s="25">
        <v>1</v>
      </c>
      <c r="O46" s="29">
        <v>22755.43</v>
      </c>
      <c r="P46" s="29">
        <v>22755.43</v>
      </c>
      <c r="Q46" s="25"/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0"/>
        <v>0</v>
      </c>
      <c r="AF46" s="32">
        <f t="shared" si="11"/>
        <v>22755.43</v>
      </c>
      <c r="AG46" s="30"/>
      <c r="AH46" s="33">
        <v>0.05</v>
      </c>
      <c r="AI46" s="34">
        <f t="shared" si="12"/>
        <v>1137.7715000000001</v>
      </c>
      <c r="AJ46" s="35"/>
      <c r="AK46" s="30"/>
      <c r="AL46" s="36">
        <f t="shared" si="13"/>
        <v>0</v>
      </c>
      <c r="AM46" s="35"/>
      <c r="AN46" s="30"/>
      <c r="AO46" s="36">
        <f t="shared" si="14"/>
        <v>0</v>
      </c>
      <c r="AP46" s="35"/>
      <c r="AQ46" s="30"/>
      <c r="AR46" s="36">
        <f t="shared" si="15"/>
        <v>0</v>
      </c>
      <c r="AS46" s="27"/>
      <c r="AT46" s="37"/>
      <c r="AU46" s="30"/>
      <c r="AV46" s="36">
        <f t="shared" si="16"/>
        <v>0</v>
      </c>
      <c r="AW46" s="35"/>
      <c r="AX46" s="30"/>
      <c r="AY46" s="32">
        <f t="shared" si="17"/>
        <v>0</v>
      </c>
      <c r="AZ46" s="30" t="s">
        <v>193</v>
      </c>
      <c r="BA46" s="63"/>
      <c r="BB46" s="71"/>
      <c r="BC46" s="71"/>
      <c r="BD46" s="71"/>
    </row>
    <row r="47" spans="1:56" x14ac:dyDescent="0.25">
      <c r="A47" s="24">
        <f>IF(B47="","",SUBTOTAL(3,$B$4:B47))</f>
        <v>44</v>
      </c>
      <c r="B47" s="25" t="s">
        <v>190</v>
      </c>
      <c r="C47" s="25" t="str">
        <f t="shared" si="9"/>
        <v>Shipment 2 Casing U2</v>
      </c>
      <c r="D47" s="25" t="s">
        <v>189</v>
      </c>
      <c r="E47" s="25" t="s">
        <v>187</v>
      </c>
      <c r="F47" s="25"/>
      <c r="G47" s="65">
        <v>46233</v>
      </c>
      <c r="H47" s="25" t="s">
        <v>191</v>
      </c>
      <c r="I47" s="25"/>
      <c r="J47" s="26" t="s">
        <v>195</v>
      </c>
      <c r="K47" s="27" t="s">
        <v>75</v>
      </c>
      <c r="L47" s="28" t="s">
        <v>76</v>
      </c>
      <c r="M47" s="28" t="s">
        <v>152</v>
      </c>
      <c r="N47" s="25">
        <v>1</v>
      </c>
      <c r="O47" s="29">
        <v>4314.6929999999993</v>
      </c>
      <c r="P47" s="29">
        <v>4314.6929999999993</v>
      </c>
      <c r="Q47" s="25"/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0"/>
        <v>0</v>
      </c>
      <c r="AF47" s="32">
        <f t="shared" si="11"/>
        <v>4314.6929999999993</v>
      </c>
      <c r="AG47" s="30"/>
      <c r="AH47" s="33">
        <v>0.05</v>
      </c>
      <c r="AI47" s="34">
        <f t="shared" si="12"/>
        <v>215.73464999999999</v>
      </c>
      <c r="AJ47" s="35"/>
      <c r="AK47" s="30"/>
      <c r="AL47" s="36">
        <f t="shared" si="13"/>
        <v>0</v>
      </c>
      <c r="AM47" s="35"/>
      <c r="AN47" s="30"/>
      <c r="AO47" s="36">
        <f t="shared" si="14"/>
        <v>0</v>
      </c>
      <c r="AP47" s="35"/>
      <c r="AQ47" s="30"/>
      <c r="AR47" s="36">
        <f t="shared" si="15"/>
        <v>0</v>
      </c>
      <c r="AS47" s="27"/>
      <c r="AT47" s="37"/>
      <c r="AU47" s="30"/>
      <c r="AV47" s="36">
        <f t="shared" si="16"/>
        <v>0</v>
      </c>
      <c r="AW47" s="35"/>
      <c r="AX47" s="30"/>
      <c r="AY47" s="32">
        <f t="shared" si="17"/>
        <v>0</v>
      </c>
      <c r="AZ47" s="30" t="s">
        <v>193</v>
      </c>
      <c r="BA47" s="63"/>
      <c r="BB47" s="71"/>
      <c r="BC47" s="71"/>
      <c r="BD47" s="71"/>
    </row>
    <row r="48" spans="1:56" x14ac:dyDescent="0.25">
      <c r="A48" s="24">
        <f>IF(B48="","",SUBTOTAL(3,$B$4:B48))</f>
        <v>45</v>
      </c>
      <c r="B48" s="25" t="s">
        <v>190</v>
      </c>
      <c r="C48" s="25" t="str">
        <f t="shared" si="9"/>
        <v>Shipment 2 Casing U2</v>
      </c>
      <c r="D48" s="25" t="s">
        <v>189</v>
      </c>
      <c r="E48" s="25" t="s">
        <v>187</v>
      </c>
      <c r="F48" s="25"/>
      <c r="G48" s="65">
        <v>46233</v>
      </c>
      <c r="H48" s="25" t="s">
        <v>191</v>
      </c>
      <c r="I48" s="25"/>
      <c r="J48" s="26" t="s">
        <v>195</v>
      </c>
      <c r="K48" s="27" t="s">
        <v>77</v>
      </c>
      <c r="L48" s="28" t="s">
        <v>78</v>
      </c>
      <c r="M48" s="28" t="s">
        <v>153</v>
      </c>
      <c r="N48" s="25">
        <v>1</v>
      </c>
      <c r="O48" s="29">
        <v>3630.0800000000004</v>
      </c>
      <c r="P48" s="29">
        <v>3630.0800000000004</v>
      </c>
      <c r="Q48" s="25"/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0"/>
        <v>0</v>
      </c>
      <c r="AF48" s="32">
        <f t="shared" si="11"/>
        <v>3630.0800000000004</v>
      </c>
      <c r="AG48" s="30"/>
      <c r="AH48" s="33">
        <v>0.05</v>
      </c>
      <c r="AI48" s="34">
        <f t="shared" si="12"/>
        <v>181.50400000000002</v>
      </c>
      <c r="AJ48" s="35"/>
      <c r="AK48" s="30"/>
      <c r="AL48" s="36">
        <f t="shared" si="13"/>
        <v>0</v>
      </c>
      <c r="AM48" s="35"/>
      <c r="AN48" s="30"/>
      <c r="AO48" s="36">
        <f t="shared" si="14"/>
        <v>0</v>
      </c>
      <c r="AP48" s="35"/>
      <c r="AQ48" s="30"/>
      <c r="AR48" s="36">
        <f t="shared" si="15"/>
        <v>0</v>
      </c>
      <c r="AS48" s="27"/>
      <c r="AT48" s="37"/>
      <c r="AU48" s="30"/>
      <c r="AV48" s="36">
        <f t="shared" si="16"/>
        <v>0</v>
      </c>
      <c r="AW48" s="35"/>
      <c r="AX48" s="30"/>
      <c r="AY48" s="32">
        <f t="shared" si="17"/>
        <v>0</v>
      </c>
      <c r="AZ48" s="30" t="s">
        <v>193</v>
      </c>
      <c r="BA48" s="63"/>
      <c r="BB48" s="71"/>
      <c r="BC48" s="71"/>
      <c r="BD48" s="71"/>
    </row>
    <row r="49" spans="1:56" x14ac:dyDescent="0.25">
      <c r="A49" s="24">
        <f>IF(B49="","",SUBTOTAL(3,$B$4:B49))</f>
        <v>46</v>
      </c>
      <c r="B49" s="25" t="s">
        <v>190</v>
      </c>
      <c r="C49" s="25" t="str">
        <f t="shared" si="9"/>
        <v>Shipment 2 Casing U2</v>
      </c>
      <c r="D49" s="25" t="s">
        <v>189</v>
      </c>
      <c r="E49" s="25" t="s">
        <v>187</v>
      </c>
      <c r="F49" s="25"/>
      <c r="G49" s="65">
        <v>46233</v>
      </c>
      <c r="H49" s="25" t="s">
        <v>191</v>
      </c>
      <c r="I49" s="25"/>
      <c r="J49" s="26" t="s">
        <v>195</v>
      </c>
      <c r="K49" s="27" t="s">
        <v>79</v>
      </c>
      <c r="L49" s="28" t="s">
        <v>80</v>
      </c>
      <c r="M49" s="28" t="s">
        <v>154</v>
      </c>
      <c r="N49" s="25">
        <v>1</v>
      </c>
      <c r="O49" s="29">
        <v>3688.4110000000014</v>
      </c>
      <c r="P49" s="29">
        <v>3688.4110000000014</v>
      </c>
      <c r="Q49" s="25"/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0"/>
        <v>0</v>
      </c>
      <c r="AF49" s="32">
        <f t="shared" si="11"/>
        <v>3688.4110000000014</v>
      </c>
      <c r="AG49" s="30"/>
      <c r="AH49" s="33">
        <v>0.05</v>
      </c>
      <c r="AI49" s="34">
        <f t="shared" si="12"/>
        <v>184.42055000000008</v>
      </c>
      <c r="AJ49" s="35"/>
      <c r="AK49" s="30"/>
      <c r="AL49" s="36">
        <f t="shared" si="13"/>
        <v>0</v>
      </c>
      <c r="AM49" s="35"/>
      <c r="AN49" s="30"/>
      <c r="AO49" s="36">
        <f t="shared" si="14"/>
        <v>0</v>
      </c>
      <c r="AP49" s="35"/>
      <c r="AQ49" s="30"/>
      <c r="AR49" s="36">
        <f t="shared" si="15"/>
        <v>0</v>
      </c>
      <c r="AS49" s="27"/>
      <c r="AT49" s="37"/>
      <c r="AU49" s="30"/>
      <c r="AV49" s="36">
        <f t="shared" si="16"/>
        <v>0</v>
      </c>
      <c r="AW49" s="35"/>
      <c r="AX49" s="30"/>
      <c r="AY49" s="32">
        <f t="shared" si="17"/>
        <v>0</v>
      </c>
      <c r="AZ49" s="30" t="s">
        <v>193</v>
      </c>
      <c r="BA49" s="63"/>
      <c r="BB49" s="71"/>
      <c r="BC49" s="71"/>
      <c r="BD49" s="71"/>
    </row>
    <row r="50" spans="1:56" x14ac:dyDescent="0.25">
      <c r="A50" s="24">
        <f>IF(B50="","",SUBTOTAL(3,$B$4:B50))</f>
        <v>47</v>
      </c>
      <c r="B50" s="25" t="s">
        <v>190</v>
      </c>
      <c r="C50" s="25" t="str">
        <f t="shared" si="9"/>
        <v>Shipment 2 Casing U2</v>
      </c>
      <c r="D50" s="25" t="s">
        <v>189</v>
      </c>
      <c r="E50" s="25" t="s">
        <v>187</v>
      </c>
      <c r="F50" s="25"/>
      <c r="G50" s="65">
        <v>46233</v>
      </c>
      <c r="H50" s="25" t="s">
        <v>191</v>
      </c>
      <c r="I50" s="25"/>
      <c r="J50" s="26" t="s">
        <v>195</v>
      </c>
      <c r="K50" s="27" t="s">
        <v>81</v>
      </c>
      <c r="L50" s="28" t="s">
        <v>82</v>
      </c>
      <c r="M50" s="28" t="s">
        <v>155</v>
      </c>
      <c r="N50" s="25">
        <v>1</v>
      </c>
      <c r="O50" s="29">
        <v>3513.49</v>
      </c>
      <c r="P50" s="29">
        <v>3513.49</v>
      </c>
      <c r="Q50" s="25"/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0"/>
        <v>0</v>
      </c>
      <c r="AF50" s="32">
        <f t="shared" si="11"/>
        <v>3513.49</v>
      </c>
      <c r="AG50" s="30"/>
      <c r="AH50" s="33">
        <v>0.05</v>
      </c>
      <c r="AI50" s="34">
        <f t="shared" si="12"/>
        <v>175.67449999999999</v>
      </c>
      <c r="AJ50" s="35"/>
      <c r="AK50" s="30"/>
      <c r="AL50" s="36">
        <f t="shared" si="13"/>
        <v>0</v>
      </c>
      <c r="AM50" s="35"/>
      <c r="AN50" s="30"/>
      <c r="AO50" s="36">
        <f t="shared" si="14"/>
        <v>0</v>
      </c>
      <c r="AP50" s="35"/>
      <c r="AQ50" s="30"/>
      <c r="AR50" s="36">
        <f t="shared" si="15"/>
        <v>0</v>
      </c>
      <c r="AS50" s="27"/>
      <c r="AT50" s="37"/>
      <c r="AU50" s="30"/>
      <c r="AV50" s="36">
        <f t="shared" si="16"/>
        <v>0</v>
      </c>
      <c r="AW50" s="35"/>
      <c r="AX50" s="30"/>
      <c r="AY50" s="32">
        <f t="shared" si="17"/>
        <v>0</v>
      </c>
      <c r="AZ50" s="30" t="s">
        <v>193</v>
      </c>
      <c r="BA50" s="63"/>
      <c r="BB50" s="71"/>
      <c r="BC50" s="71"/>
      <c r="BD50" s="71"/>
    </row>
    <row r="51" spans="1:56" x14ac:dyDescent="0.25">
      <c r="A51" s="24">
        <f>IF(B51="","",SUBTOTAL(3,$B$4:B51))</f>
        <v>48</v>
      </c>
      <c r="B51" s="25" t="s">
        <v>190</v>
      </c>
      <c r="C51" s="25" t="str">
        <f t="shared" si="9"/>
        <v>Shipment 2 Casing U2</v>
      </c>
      <c r="D51" s="25" t="s">
        <v>189</v>
      </c>
      <c r="E51" s="25" t="s">
        <v>187</v>
      </c>
      <c r="F51" s="25"/>
      <c r="G51" s="65">
        <v>46233</v>
      </c>
      <c r="H51" s="25" t="s">
        <v>191</v>
      </c>
      <c r="I51" s="25"/>
      <c r="J51" s="26" t="s">
        <v>195</v>
      </c>
      <c r="K51" s="27" t="s">
        <v>83</v>
      </c>
      <c r="L51" s="28" t="s">
        <v>84</v>
      </c>
      <c r="M51" s="28" t="s">
        <v>156</v>
      </c>
      <c r="N51" s="25">
        <v>1</v>
      </c>
      <c r="O51" s="29">
        <v>3030.188000000001</v>
      </c>
      <c r="P51" s="29">
        <v>3030.188000000001</v>
      </c>
      <c r="Q51" s="25"/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0"/>
        <v>0</v>
      </c>
      <c r="AF51" s="32">
        <f t="shared" si="11"/>
        <v>3030.188000000001</v>
      </c>
      <c r="AG51" s="30"/>
      <c r="AH51" s="33">
        <v>0.05</v>
      </c>
      <c r="AI51" s="34">
        <f t="shared" si="12"/>
        <v>151.50940000000006</v>
      </c>
      <c r="AJ51" s="35"/>
      <c r="AK51" s="30"/>
      <c r="AL51" s="36">
        <f t="shared" si="13"/>
        <v>0</v>
      </c>
      <c r="AM51" s="35"/>
      <c r="AN51" s="30"/>
      <c r="AO51" s="36">
        <f t="shared" si="14"/>
        <v>0</v>
      </c>
      <c r="AP51" s="35"/>
      <c r="AQ51" s="30"/>
      <c r="AR51" s="36">
        <f t="shared" si="15"/>
        <v>0</v>
      </c>
      <c r="AS51" s="27"/>
      <c r="AT51" s="37"/>
      <c r="AU51" s="30"/>
      <c r="AV51" s="36">
        <f t="shared" si="16"/>
        <v>0</v>
      </c>
      <c r="AW51" s="35"/>
      <c r="AX51" s="30"/>
      <c r="AY51" s="32">
        <f t="shared" si="17"/>
        <v>0</v>
      </c>
      <c r="AZ51" s="30" t="s">
        <v>193</v>
      </c>
      <c r="BA51" s="63"/>
      <c r="BB51" s="71"/>
      <c r="BC51" s="71"/>
      <c r="BD51" s="71"/>
    </row>
    <row r="52" spans="1:56" x14ac:dyDescent="0.25">
      <c r="A52" s="24">
        <f>IF(B52="","",SUBTOTAL(3,$B$4:B52))</f>
        <v>49</v>
      </c>
      <c r="B52" s="25" t="s">
        <v>190</v>
      </c>
      <c r="C52" s="25" t="str">
        <f t="shared" si="9"/>
        <v>Shipment 2 Casing U2</v>
      </c>
      <c r="D52" s="25" t="s">
        <v>189</v>
      </c>
      <c r="E52" s="25" t="s">
        <v>187</v>
      </c>
      <c r="F52" s="25"/>
      <c r="G52" s="65">
        <v>46233</v>
      </c>
      <c r="H52" s="25" t="s">
        <v>191</v>
      </c>
      <c r="I52" s="25"/>
      <c r="J52" s="26" t="s">
        <v>195</v>
      </c>
      <c r="K52" s="27" t="s">
        <v>85</v>
      </c>
      <c r="L52" s="28" t="s">
        <v>86</v>
      </c>
      <c r="M52" s="28" t="s">
        <v>157</v>
      </c>
      <c r="N52" s="25">
        <v>1</v>
      </c>
      <c r="O52" s="29">
        <v>2941.9620000000009</v>
      </c>
      <c r="P52" s="29">
        <v>2941.9620000000009</v>
      </c>
      <c r="Q52" s="25"/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0"/>
        <v>0</v>
      </c>
      <c r="AF52" s="32">
        <f t="shared" si="11"/>
        <v>2941.9620000000009</v>
      </c>
      <c r="AG52" s="30"/>
      <c r="AH52" s="33">
        <v>0.05</v>
      </c>
      <c r="AI52" s="34">
        <f t="shared" si="12"/>
        <v>147.09810000000004</v>
      </c>
      <c r="AJ52" s="35"/>
      <c r="AK52" s="30"/>
      <c r="AL52" s="36">
        <f t="shared" si="13"/>
        <v>0</v>
      </c>
      <c r="AM52" s="35"/>
      <c r="AN52" s="30"/>
      <c r="AO52" s="36">
        <f t="shared" si="14"/>
        <v>0</v>
      </c>
      <c r="AP52" s="35"/>
      <c r="AQ52" s="30"/>
      <c r="AR52" s="36">
        <f t="shared" si="15"/>
        <v>0</v>
      </c>
      <c r="AS52" s="27"/>
      <c r="AT52" s="37"/>
      <c r="AU52" s="30"/>
      <c r="AV52" s="36">
        <f t="shared" si="16"/>
        <v>0</v>
      </c>
      <c r="AW52" s="35"/>
      <c r="AX52" s="30"/>
      <c r="AY52" s="32">
        <f t="shared" si="17"/>
        <v>0</v>
      </c>
      <c r="AZ52" s="30" t="s">
        <v>193</v>
      </c>
      <c r="BA52" s="63"/>
      <c r="BB52" s="71"/>
      <c r="BC52" s="71"/>
      <c r="BD52" s="71"/>
    </row>
    <row r="53" spans="1:56" x14ac:dyDescent="0.25">
      <c r="A53" s="24">
        <f>IF(B53="","",SUBTOTAL(3,$B$4:B53))</f>
        <v>50</v>
      </c>
      <c r="B53" s="25" t="s">
        <v>190</v>
      </c>
      <c r="C53" s="25" t="str">
        <f t="shared" si="9"/>
        <v>Shipment 2 Casing U2</v>
      </c>
      <c r="D53" s="25" t="s">
        <v>189</v>
      </c>
      <c r="E53" s="25" t="s">
        <v>187</v>
      </c>
      <c r="F53" s="25"/>
      <c r="G53" s="65">
        <v>46233</v>
      </c>
      <c r="H53" s="25" t="s">
        <v>191</v>
      </c>
      <c r="I53" s="25"/>
      <c r="J53" s="26" t="s">
        <v>195</v>
      </c>
      <c r="K53" s="27" t="s">
        <v>87</v>
      </c>
      <c r="L53" s="28" t="s">
        <v>88</v>
      </c>
      <c r="M53" s="28" t="s">
        <v>158</v>
      </c>
      <c r="N53" s="25">
        <v>1</v>
      </c>
      <c r="O53" s="29">
        <v>3490.5760000000014</v>
      </c>
      <c r="P53" s="29">
        <v>3490.5760000000014</v>
      </c>
      <c r="Q53" s="25"/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0"/>
        <v>0</v>
      </c>
      <c r="AF53" s="32">
        <f t="shared" si="11"/>
        <v>3490.5760000000014</v>
      </c>
      <c r="AG53" s="30"/>
      <c r="AH53" s="33">
        <v>0.05</v>
      </c>
      <c r="AI53" s="34">
        <f t="shared" si="12"/>
        <v>174.52880000000007</v>
      </c>
      <c r="AJ53" s="35"/>
      <c r="AK53" s="30"/>
      <c r="AL53" s="36">
        <f t="shared" si="13"/>
        <v>0</v>
      </c>
      <c r="AM53" s="35"/>
      <c r="AN53" s="30"/>
      <c r="AO53" s="36">
        <f t="shared" si="14"/>
        <v>0</v>
      </c>
      <c r="AP53" s="35"/>
      <c r="AQ53" s="30"/>
      <c r="AR53" s="36">
        <f t="shared" si="15"/>
        <v>0</v>
      </c>
      <c r="AS53" s="27"/>
      <c r="AT53" s="37"/>
      <c r="AU53" s="30"/>
      <c r="AV53" s="36">
        <f t="shared" si="16"/>
        <v>0</v>
      </c>
      <c r="AW53" s="35"/>
      <c r="AX53" s="30"/>
      <c r="AY53" s="32">
        <f t="shared" si="17"/>
        <v>0</v>
      </c>
      <c r="AZ53" s="30" t="s">
        <v>193</v>
      </c>
      <c r="BA53" s="63"/>
      <c r="BB53" s="71"/>
      <c r="BC53" s="71"/>
      <c r="BD53" s="71"/>
    </row>
    <row r="54" spans="1:56" x14ac:dyDescent="0.25">
      <c r="A54" s="24">
        <f>IF(B54="","",SUBTOTAL(3,$B$4:B54))</f>
        <v>51</v>
      </c>
      <c r="B54" s="25" t="s">
        <v>190</v>
      </c>
      <c r="C54" s="25" t="str">
        <f t="shared" si="9"/>
        <v>Shipment 2 Casing U2</v>
      </c>
      <c r="D54" s="25" t="s">
        <v>189</v>
      </c>
      <c r="E54" s="25" t="s">
        <v>187</v>
      </c>
      <c r="F54" s="25"/>
      <c r="G54" s="65">
        <v>46233</v>
      </c>
      <c r="H54" s="25" t="s">
        <v>191</v>
      </c>
      <c r="I54" s="25"/>
      <c r="J54" s="26" t="s">
        <v>195</v>
      </c>
      <c r="K54" s="27" t="s">
        <v>89</v>
      </c>
      <c r="L54" s="28" t="s">
        <v>90</v>
      </c>
      <c r="M54" s="28" t="s">
        <v>159</v>
      </c>
      <c r="N54" s="25">
        <v>1</v>
      </c>
      <c r="O54" s="29">
        <v>3397.0479999999998</v>
      </c>
      <c r="P54" s="29">
        <v>3397.0479999999998</v>
      </c>
      <c r="Q54" s="25"/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0"/>
        <v>0</v>
      </c>
      <c r="AF54" s="32">
        <f t="shared" si="11"/>
        <v>3397.0479999999998</v>
      </c>
      <c r="AG54" s="30"/>
      <c r="AH54" s="33">
        <v>0.05</v>
      </c>
      <c r="AI54" s="34">
        <f t="shared" si="12"/>
        <v>169.85239999999999</v>
      </c>
      <c r="AJ54" s="35"/>
      <c r="AK54" s="30"/>
      <c r="AL54" s="36">
        <f t="shared" si="13"/>
        <v>0</v>
      </c>
      <c r="AM54" s="35"/>
      <c r="AN54" s="30"/>
      <c r="AO54" s="36">
        <f t="shared" si="14"/>
        <v>0</v>
      </c>
      <c r="AP54" s="35"/>
      <c r="AQ54" s="30"/>
      <c r="AR54" s="36">
        <f t="shared" si="15"/>
        <v>0</v>
      </c>
      <c r="AS54" s="27"/>
      <c r="AT54" s="37"/>
      <c r="AU54" s="30"/>
      <c r="AV54" s="36">
        <f t="shared" si="16"/>
        <v>0</v>
      </c>
      <c r="AW54" s="35"/>
      <c r="AX54" s="30"/>
      <c r="AY54" s="32">
        <f t="shared" si="17"/>
        <v>0</v>
      </c>
      <c r="AZ54" s="30" t="s">
        <v>193</v>
      </c>
      <c r="BA54" s="63"/>
      <c r="BB54" s="71"/>
      <c r="BC54" s="71"/>
      <c r="BD54" s="71"/>
    </row>
    <row r="55" spans="1:56" x14ac:dyDescent="0.25">
      <c r="A55" s="24">
        <f>IF(B55="","",SUBTOTAL(3,$B$4:B55))</f>
        <v>52</v>
      </c>
      <c r="B55" s="25" t="s">
        <v>190</v>
      </c>
      <c r="C55" s="25" t="str">
        <f t="shared" si="9"/>
        <v>Shipment 2 Casing U2</v>
      </c>
      <c r="D55" s="25" t="s">
        <v>189</v>
      </c>
      <c r="E55" s="25" t="s">
        <v>187</v>
      </c>
      <c r="F55" s="25"/>
      <c r="G55" s="65">
        <v>46233</v>
      </c>
      <c r="H55" s="25" t="s">
        <v>191</v>
      </c>
      <c r="I55" s="25"/>
      <c r="J55" s="26" t="s">
        <v>195</v>
      </c>
      <c r="K55" s="27" t="s">
        <v>91</v>
      </c>
      <c r="L55" s="28" t="s">
        <v>92</v>
      </c>
      <c r="M55" s="28" t="s">
        <v>160</v>
      </c>
      <c r="N55" s="25">
        <v>1</v>
      </c>
      <c r="O55" s="29">
        <v>23721.187999999995</v>
      </c>
      <c r="P55" s="29">
        <v>23721.187999999995</v>
      </c>
      <c r="Q55" s="25"/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0"/>
        <v>0</v>
      </c>
      <c r="AF55" s="32">
        <f t="shared" si="11"/>
        <v>23721.187999999995</v>
      </c>
      <c r="AG55" s="30"/>
      <c r="AH55" s="33">
        <v>0.05</v>
      </c>
      <c r="AI55" s="34">
        <f t="shared" si="12"/>
        <v>1186.0593999999999</v>
      </c>
      <c r="AJ55" s="35"/>
      <c r="AK55" s="30"/>
      <c r="AL55" s="36">
        <f t="shared" si="13"/>
        <v>0</v>
      </c>
      <c r="AM55" s="35"/>
      <c r="AN55" s="30"/>
      <c r="AO55" s="36">
        <f t="shared" si="14"/>
        <v>0</v>
      </c>
      <c r="AP55" s="35"/>
      <c r="AQ55" s="30"/>
      <c r="AR55" s="36">
        <f t="shared" si="15"/>
        <v>0</v>
      </c>
      <c r="AS55" s="27"/>
      <c r="AT55" s="37"/>
      <c r="AU55" s="30"/>
      <c r="AV55" s="36">
        <f t="shared" si="16"/>
        <v>0</v>
      </c>
      <c r="AW55" s="35"/>
      <c r="AX55" s="30"/>
      <c r="AY55" s="32">
        <f t="shared" si="17"/>
        <v>0</v>
      </c>
      <c r="AZ55" s="30" t="s">
        <v>193</v>
      </c>
      <c r="BA55" s="63"/>
      <c r="BB55" s="71"/>
      <c r="BC55" s="71"/>
      <c r="BD55" s="71"/>
    </row>
    <row r="56" spans="1:56" x14ac:dyDescent="0.25">
      <c r="A56" s="24">
        <f>IF(B56="","",SUBTOTAL(3,$B$4:B56))</f>
        <v>53</v>
      </c>
      <c r="B56" s="25" t="s">
        <v>190</v>
      </c>
      <c r="C56" s="25" t="str">
        <f t="shared" si="9"/>
        <v>Shipment 2 Casing U2</v>
      </c>
      <c r="D56" s="25" t="s">
        <v>189</v>
      </c>
      <c r="E56" s="25" t="s">
        <v>187</v>
      </c>
      <c r="F56" s="25"/>
      <c r="G56" s="65">
        <v>46233</v>
      </c>
      <c r="H56" s="25" t="s">
        <v>191</v>
      </c>
      <c r="I56" s="25"/>
      <c r="J56" s="26" t="s">
        <v>194</v>
      </c>
      <c r="K56" s="27" t="s">
        <v>93</v>
      </c>
      <c r="L56" s="28" t="s">
        <v>94</v>
      </c>
      <c r="M56" s="28" t="s">
        <v>161</v>
      </c>
      <c r="N56" s="25">
        <v>1</v>
      </c>
      <c r="O56" s="29">
        <v>10211.131999999998</v>
      </c>
      <c r="P56" s="29">
        <v>10211.131999999998</v>
      </c>
      <c r="Q56" s="25"/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0"/>
        <v>0</v>
      </c>
      <c r="AF56" s="32">
        <f t="shared" si="11"/>
        <v>10211.131999999998</v>
      </c>
      <c r="AG56" s="30"/>
      <c r="AH56" s="33">
        <v>0.05</v>
      </c>
      <c r="AI56" s="34">
        <f t="shared" si="12"/>
        <v>510.55659999999989</v>
      </c>
      <c r="AJ56" s="35"/>
      <c r="AK56" s="30"/>
      <c r="AL56" s="36">
        <f t="shared" si="13"/>
        <v>0</v>
      </c>
      <c r="AM56" s="35"/>
      <c r="AN56" s="30"/>
      <c r="AO56" s="36">
        <f t="shared" si="14"/>
        <v>0</v>
      </c>
      <c r="AP56" s="35"/>
      <c r="AQ56" s="30"/>
      <c r="AR56" s="36">
        <f t="shared" si="15"/>
        <v>0</v>
      </c>
      <c r="AS56" s="27"/>
      <c r="AT56" s="37"/>
      <c r="AU56" s="30"/>
      <c r="AV56" s="36">
        <f t="shared" si="16"/>
        <v>0</v>
      </c>
      <c r="AW56" s="35"/>
      <c r="AX56" s="30"/>
      <c r="AY56" s="32">
        <f t="shared" si="17"/>
        <v>0</v>
      </c>
      <c r="AZ56" s="30" t="s">
        <v>193</v>
      </c>
      <c r="BA56" s="63"/>
      <c r="BB56" s="71"/>
      <c r="BC56" s="71"/>
      <c r="BD56" s="71"/>
    </row>
    <row r="57" spans="1:56" x14ac:dyDescent="0.25">
      <c r="A57" s="24">
        <f>IF(B57="","",SUBTOTAL(3,$B$4:B57))</f>
        <v>54</v>
      </c>
      <c r="B57" s="25" t="s">
        <v>190</v>
      </c>
      <c r="C57" s="25" t="str">
        <f t="shared" si="9"/>
        <v>Shipment 2 Casing U2</v>
      </c>
      <c r="D57" s="25" t="s">
        <v>189</v>
      </c>
      <c r="E57" s="25" t="s">
        <v>187</v>
      </c>
      <c r="F57" s="25"/>
      <c r="G57" s="65">
        <v>46233</v>
      </c>
      <c r="H57" s="25" t="s">
        <v>191</v>
      </c>
      <c r="I57" s="25"/>
      <c r="J57" s="26" t="s">
        <v>194</v>
      </c>
      <c r="K57" s="27" t="s">
        <v>95</v>
      </c>
      <c r="L57" s="28" t="s">
        <v>96</v>
      </c>
      <c r="M57" s="28" t="s">
        <v>162</v>
      </c>
      <c r="N57" s="25">
        <v>1</v>
      </c>
      <c r="O57" s="29">
        <v>12004.24</v>
      </c>
      <c r="P57" s="29">
        <v>12004.24</v>
      </c>
      <c r="Q57" s="25"/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0"/>
        <v>0</v>
      </c>
      <c r="AF57" s="32">
        <f t="shared" si="11"/>
        <v>12004.24</v>
      </c>
      <c r="AG57" s="30"/>
      <c r="AH57" s="33">
        <v>0.05</v>
      </c>
      <c r="AI57" s="34">
        <f t="shared" si="12"/>
        <v>600.21199999999999</v>
      </c>
      <c r="AJ57" s="35"/>
      <c r="AK57" s="30"/>
      <c r="AL57" s="36">
        <f t="shared" si="13"/>
        <v>0</v>
      </c>
      <c r="AM57" s="35"/>
      <c r="AN57" s="30"/>
      <c r="AO57" s="36">
        <f t="shared" si="14"/>
        <v>0</v>
      </c>
      <c r="AP57" s="35"/>
      <c r="AQ57" s="30"/>
      <c r="AR57" s="36">
        <f t="shared" si="15"/>
        <v>0</v>
      </c>
      <c r="AS57" s="27"/>
      <c r="AT57" s="37"/>
      <c r="AU57" s="30"/>
      <c r="AV57" s="36">
        <f t="shared" si="16"/>
        <v>0</v>
      </c>
      <c r="AW57" s="35"/>
      <c r="AX57" s="30"/>
      <c r="AY57" s="32">
        <f t="shared" si="17"/>
        <v>0</v>
      </c>
      <c r="AZ57" s="30" t="s">
        <v>193</v>
      </c>
      <c r="BA57" s="63"/>
      <c r="BB57" s="71"/>
      <c r="BC57" s="71"/>
      <c r="BD57" s="71"/>
    </row>
    <row r="58" spans="1:56" x14ac:dyDescent="0.25">
      <c r="A58" s="24">
        <f>IF(B58="","",SUBTOTAL(3,$B$4:B58))</f>
        <v>55</v>
      </c>
      <c r="B58" s="25" t="s">
        <v>190</v>
      </c>
      <c r="C58" s="25" t="str">
        <f t="shared" si="9"/>
        <v>Shipment 2 Casing U2</v>
      </c>
      <c r="D58" s="25" t="s">
        <v>189</v>
      </c>
      <c r="E58" s="25" t="s">
        <v>187</v>
      </c>
      <c r="F58" s="25"/>
      <c r="G58" s="65">
        <v>46233</v>
      </c>
      <c r="H58" s="25" t="s">
        <v>191</v>
      </c>
      <c r="I58" s="25"/>
      <c r="J58" s="26" t="s">
        <v>194</v>
      </c>
      <c r="K58" s="27" t="s">
        <v>97</v>
      </c>
      <c r="L58" s="28" t="s">
        <v>98</v>
      </c>
      <c r="M58" s="28" t="s">
        <v>163</v>
      </c>
      <c r="N58" s="25">
        <v>1</v>
      </c>
      <c r="O58" s="29">
        <v>10489.214999999998</v>
      </c>
      <c r="P58" s="29">
        <v>10489.214999999998</v>
      </c>
      <c r="Q58" s="25"/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0"/>
        <v>0</v>
      </c>
      <c r="AF58" s="32">
        <f t="shared" si="11"/>
        <v>10489.214999999998</v>
      </c>
      <c r="AG58" s="30"/>
      <c r="AH58" s="33">
        <v>0.05</v>
      </c>
      <c r="AI58" s="34">
        <f t="shared" si="12"/>
        <v>524.46074999999996</v>
      </c>
      <c r="AJ58" s="35"/>
      <c r="AK58" s="30"/>
      <c r="AL58" s="36">
        <f t="shared" si="13"/>
        <v>0</v>
      </c>
      <c r="AM58" s="35"/>
      <c r="AN58" s="30"/>
      <c r="AO58" s="36">
        <f t="shared" si="14"/>
        <v>0</v>
      </c>
      <c r="AP58" s="35"/>
      <c r="AQ58" s="30"/>
      <c r="AR58" s="36">
        <f t="shared" si="15"/>
        <v>0</v>
      </c>
      <c r="AS58" s="27"/>
      <c r="AT58" s="37"/>
      <c r="AU58" s="30"/>
      <c r="AV58" s="36">
        <f t="shared" si="16"/>
        <v>0</v>
      </c>
      <c r="AW58" s="35"/>
      <c r="AX58" s="30"/>
      <c r="AY58" s="32">
        <f t="shared" si="17"/>
        <v>0</v>
      </c>
      <c r="AZ58" s="30" t="s">
        <v>193</v>
      </c>
      <c r="BA58" s="63"/>
      <c r="BB58" s="71"/>
      <c r="BC58" s="71"/>
      <c r="BD58" s="71"/>
    </row>
    <row r="59" spans="1:56" x14ac:dyDescent="0.25">
      <c r="A59" s="24">
        <f>IF(B59="","",SUBTOTAL(3,$B$4:B59))</f>
        <v>56</v>
      </c>
      <c r="B59" s="25" t="s">
        <v>190</v>
      </c>
      <c r="C59" s="25" t="str">
        <f t="shared" si="9"/>
        <v>Shipment 2 Casing U2</v>
      </c>
      <c r="D59" s="25" t="s">
        <v>189</v>
      </c>
      <c r="E59" s="25" t="s">
        <v>187</v>
      </c>
      <c r="F59" s="25"/>
      <c r="G59" s="65">
        <v>46233</v>
      </c>
      <c r="H59" s="25" t="s">
        <v>191</v>
      </c>
      <c r="I59" s="25"/>
      <c r="J59" s="26" t="s">
        <v>194</v>
      </c>
      <c r="K59" s="27" t="s">
        <v>99</v>
      </c>
      <c r="L59" s="28" t="s">
        <v>100</v>
      </c>
      <c r="M59" s="28" t="s">
        <v>164</v>
      </c>
      <c r="N59" s="25">
        <v>1</v>
      </c>
      <c r="O59" s="29">
        <v>11555.94</v>
      </c>
      <c r="P59" s="29">
        <v>11555.94</v>
      </c>
      <c r="Q59" s="25"/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0"/>
        <v>0</v>
      </c>
      <c r="AF59" s="32">
        <f t="shared" si="11"/>
        <v>11555.94</v>
      </c>
      <c r="AG59" s="30"/>
      <c r="AH59" s="33">
        <v>0.05</v>
      </c>
      <c r="AI59" s="34">
        <f t="shared" si="12"/>
        <v>577.79700000000003</v>
      </c>
      <c r="AJ59" s="35"/>
      <c r="AK59" s="30"/>
      <c r="AL59" s="36">
        <f t="shared" si="13"/>
        <v>0</v>
      </c>
      <c r="AM59" s="35"/>
      <c r="AN59" s="30"/>
      <c r="AO59" s="36">
        <f t="shared" si="14"/>
        <v>0</v>
      </c>
      <c r="AP59" s="35"/>
      <c r="AQ59" s="30"/>
      <c r="AR59" s="36">
        <f t="shared" si="15"/>
        <v>0</v>
      </c>
      <c r="AS59" s="27"/>
      <c r="AT59" s="37"/>
      <c r="AU59" s="30"/>
      <c r="AV59" s="36">
        <f t="shared" si="16"/>
        <v>0</v>
      </c>
      <c r="AW59" s="35"/>
      <c r="AX59" s="30"/>
      <c r="AY59" s="32">
        <f t="shared" si="17"/>
        <v>0</v>
      </c>
      <c r="AZ59" s="30" t="s">
        <v>193</v>
      </c>
      <c r="BA59" s="63"/>
      <c r="BB59" s="71"/>
      <c r="BC59" s="71"/>
      <c r="BD59" s="71"/>
    </row>
    <row r="60" spans="1:56" x14ac:dyDescent="0.25">
      <c r="A60" s="24">
        <f>IF(B60="","",SUBTOTAL(3,$B$4:B60))</f>
        <v>57</v>
      </c>
      <c r="B60" s="25" t="s">
        <v>190</v>
      </c>
      <c r="C60" s="25" t="str">
        <f t="shared" si="9"/>
        <v>Shipment 2 Casing U2</v>
      </c>
      <c r="D60" s="25" t="s">
        <v>189</v>
      </c>
      <c r="E60" s="25" t="s">
        <v>187</v>
      </c>
      <c r="F60" s="25"/>
      <c r="G60" s="65">
        <v>46233</v>
      </c>
      <c r="H60" s="25" t="s">
        <v>191</v>
      </c>
      <c r="I60" s="25"/>
      <c r="J60" s="26" t="s">
        <v>196</v>
      </c>
      <c r="K60" s="27" t="s">
        <v>101</v>
      </c>
      <c r="L60" s="28" t="s">
        <v>102</v>
      </c>
      <c r="M60" s="28" t="s">
        <v>165</v>
      </c>
      <c r="N60" s="25">
        <v>1</v>
      </c>
      <c r="O60" s="29">
        <v>10684.420000000002</v>
      </c>
      <c r="P60" s="29">
        <v>10684.420000000002</v>
      </c>
      <c r="Q60" s="25"/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0"/>
        <v>0</v>
      </c>
      <c r="AF60" s="32">
        <f t="shared" si="11"/>
        <v>10684.420000000002</v>
      </c>
      <c r="AG60" s="30"/>
      <c r="AH60" s="33">
        <v>0.05</v>
      </c>
      <c r="AI60" s="34">
        <f t="shared" si="12"/>
        <v>534.22100000000012</v>
      </c>
      <c r="AJ60" s="35"/>
      <c r="AK60" s="30"/>
      <c r="AL60" s="36">
        <f t="shared" si="13"/>
        <v>0</v>
      </c>
      <c r="AM60" s="35"/>
      <c r="AN60" s="30"/>
      <c r="AO60" s="36">
        <f t="shared" si="14"/>
        <v>0</v>
      </c>
      <c r="AP60" s="35"/>
      <c r="AQ60" s="30"/>
      <c r="AR60" s="36">
        <f t="shared" si="15"/>
        <v>0</v>
      </c>
      <c r="AS60" s="27"/>
      <c r="AT60" s="37"/>
      <c r="AU60" s="30"/>
      <c r="AV60" s="36">
        <f t="shared" si="16"/>
        <v>0</v>
      </c>
      <c r="AW60" s="35"/>
      <c r="AX60" s="30"/>
      <c r="AY60" s="32">
        <f t="shared" si="17"/>
        <v>0</v>
      </c>
      <c r="AZ60" s="30" t="s">
        <v>193</v>
      </c>
      <c r="BA60" s="63"/>
      <c r="BB60" s="71"/>
      <c r="BC60" s="71"/>
      <c r="BD60" s="71"/>
    </row>
    <row r="61" spans="1:56" x14ac:dyDescent="0.25">
      <c r="A61" s="24">
        <f>IF(B61="","",SUBTOTAL(3,$B$4:B61))</f>
        <v>58</v>
      </c>
      <c r="B61" s="25" t="s">
        <v>190</v>
      </c>
      <c r="C61" s="25" t="str">
        <f t="shared" si="9"/>
        <v>Shipment 2 Casing U2</v>
      </c>
      <c r="D61" s="25" t="s">
        <v>189</v>
      </c>
      <c r="E61" s="25" t="s">
        <v>187</v>
      </c>
      <c r="F61" s="25"/>
      <c r="G61" s="65">
        <v>46233</v>
      </c>
      <c r="H61" s="25" t="s">
        <v>191</v>
      </c>
      <c r="I61" s="25"/>
      <c r="J61" s="26" t="s">
        <v>196</v>
      </c>
      <c r="K61" s="27" t="s">
        <v>103</v>
      </c>
      <c r="L61" s="28" t="s">
        <v>104</v>
      </c>
      <c r="M61" s="28" t="s">
        <v>166</v>
      </c>
      <c r="N61" s="25">
        <v>1</v>
      </c>
      <c r="O61" s="29">
        <v>11756.467999999999</v>
      </c>
      <c r="P61" s="29">
        <v>11756.467999999999</v>
      </c>
      <c r="Q61" s="25"/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0"/>
        <v>0</v>
      </c>
      <c r="AF61" s="32">
        <f t="shared" si="11"/>
        <v>11756.467999999999</v>
      </c>
      <c r="AG61" s="30"/>
      <c r="AH61" s="33">
        <v>0.05</v>
      </c>
      <c r="AI61" s="34">
        <f t="shared" si="12"/>
        <v>587.82339999999999</v>
      </c>
      <c r="AJ61" s="35"/>
      <c r="AK61" s="30"/>
      <c r="AL61" s="36">
        <f t="shared" si="13"/>
        <v>0</v>
      </c>
      <c r="AM61" s="35"/>
      <c r="AN61" s="30"/>
      <c r="AO61" s="36">
        <f t="shared" si="14"/>
        <v>0</v>
      </c>
      <c r="AP61" s="35"/>
      <c r="AQ61" s="30"/>
      <c r="AR61" s="36">
        <f t="shared" si="15"/>
        <v>0</v>
      </c>
      <c r="AS61" s="27"/>
      <c r="AT61" s="37"/>
      <c r="AU61" s="30"/>
      <c r="AV61" s="36">
        <f t="shared" si="16"/>
        <v>0</v>
      </c>
      <c r="AW61" s="35"/>
      <c r="AX61" s="30"/>
      <c r="AY61" s="32">
        <f t="shared" si="17"/>
        <v>0</v>
      </c>
      <c r="AZ61" s="30" t="s">
        <v>193</v>
      </c>
      <c r="BA61" s="63"/>
      <c r="BB61" s="71"/>
      <c r="BC61" s="71"/>
      <c r="BD61" s="71"/>
    </row>
    <row r="62" spans="1:56" x14ac:dyDescent="0.25">
      <c r="A62" s="24">
        <f>IF(B62="","",SUBTOTAL(3,$B$4:B62))</f>
        <v>59</v>
      </c>
      <c r="B62" s="25" t="s">
        <v>190</v>
      </c>
      <c r="C62" s="25" t="str">
        <f t="shared" si="9"/>
        <v>Shipment 2 Casing U2</v>
      </c>
      <c r="D62" s="25" t="s">
        <v>189</v>
      </c>
      <c r="E62" s="25" t="s">
        <v>187</v>
      </c>
      <c r="F62" s="25"/>
      <c r="G62" s="65">
        <v>46233</v>
      </c>
      <c r="H62" s="25" t="s">
        <v>191</v>
      </c>
      <c r="I62" s="25"/>
      <c r="J62" s="26" t="s">
        <v>196</v>
      </c>
      <c r="K62" s="27" t="s">
        <v>105</v>
      </c>
      <c r="L62" s="28" t="s">
        <v>106</v>
      </c>
      <c r="M62" s="28" t="s">
        <v>167</v>
      </c>
      <c r="N62" s="25">
        <v>1</v>
      </c>
      <c r="O62" s="29">
        <v>10674.704</v>
      </c>
      <c r="P62" s="29">
        <v>10674.704</v>
      </c>
      <c r="Q62" s="25"/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0"/>
        <v>0</v>
      </c>
      <c r="AF62" s="32">
        <f t="shared" si="11"/>
        <v>10674.704</v>
      </c>
      <c r="AG62" s="30"/>
      <c r="AH62" s="33">
        <v>0.05</v>
      </c>
      <c r="AI62" s="34">
        <f t="shared" si="12"/>
        <v>533.73519999999996</v>
      </c>
      <c r="AJ62" s="35"/>
      <c r="AK62" s="30"/>
      <c r="AL62" s="36">
        <f t="shared" si="13"/>
        <v>0</v>
      </c>
      <c r="AM62" s="35"/>
      <c r="AN62" s="30"/>
      <c r="AO62" s="36">
        <f t="shared" si="14"/>
        <v>0</v>
      </c>
      <c r="AP62" s="35"/>
      <c r="AQ62" s="30"/>
      <c r="AR62" s="36">
        <f t="shared" si="15"/>
        <v>0</v>
      </c>
      <c r="AS62" s="27"/>
      <c r="AT62" s="37"/>
      <c r="AU62" s="30"/>
      <c r="AV62" s="36">
        <f t="shared" si="16"/>
        <v>0</v>
      </c>
      <c r="AW62" s="35"/>
      <c r="AX62" s="30"/>
      <c r="AY62" s="32">
        <f t="shared" si="17"/>
        <v>0</v>
      </c>
      <c r="AZ62" s="30" t="s">
        <v>193</v>
      </c>
      <c r="BA62" s="63"/>
      <c r="BB62" s="71"/>
      <c r="BC62" s="71"/>
      <c r="BD62" s="71"/>
    </row>
    <row r="63" spans="1:56" x14ac:dyDescent="0.25">
      <c r="A63" s="24">
        <f>IF(B63="","",SUBTOTAL(3,$B$4:B63))</f>
        <v>60</v>
      </c>
      <c r="B63" s="25" t="s">
        <v>190</v>
      </c>
      <c r="C63" s="25" t="str">
        <f t="shared" si="9"/>
        <v>Shipment 2 Casing U2</v>
      </c>
      <c r="D63" s="25" t="s">
        <v>189</v>
      </c>
      <c r="E63" s="25" t="s">
        <v>187</v>
      </c>
      <c r="F63" s="25"/>
      <c r="G63" s="65">
        <v>46233</v>
      </c>
      <c r="H63" s="25" t="s">
        <v>191</v>
      </c>
      <c r="I63" s="25"/>
      <c r="J63" s="26" t="s">
        <v>196</v>
      </c>
      <c r="K63" s="27" t="s">
        <v>107</v>
      </c>
      <c r="L63" s="28" t="s">
        <v>108</v>
      </c>
      <c r="M63" s="28" t="s">
        <v>167</v>
      </c>
      <c r="N63" s="25">
        <v>1</v>
      </c>
      <c r="O63" s="29">
        <v>10674.576000000001</v>
      </c>
      <c r="P63" s="29">
        <v>10674.576000000001</v>
      </c>
      <c r="Q63" s="25"/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0"/>
        <v>0</v>
      </c>
      <c r="AF63" s="32">
        <f t="shared" si="11"/>
        <v>10674.576000000001</v>
      </c>
      <c r="AG63" s="30"/>
      <c r="AH63" s="33">
        <v>0.05</v>
      </c>
      <c r="AI63" s="34">
        <f t="shared" si="12"/>
        <v>533.72880000000009</v>
      </c>
      <c r="AJ63" s="35"/>
      <c r="AK63" s="30"/>
      <c r="AL63" s="36">
        <f t="shared" si="13"/>
        <v>0</v>
      </c>
      <c r="AM63" s="35"/>
      <c r="AN63" s="30"/>
      <c r="AO63" s="36">
        <f t="shared" si="14"/>
        <v>0</v>
      </c>
      <c r="AP63" s="35"/>
      <c r="AQ63" s="30"/>
      <c r="AR63" s="36">
        <f t="shared" si="15"/>
        <v>0</v>
      </c>
      <c r="AS63" s="27"/>
      <c r="AT63" s="37"/>
      <c r="AU63" s="30"/>
      <c r="AV63" s="36">
        <f t="shared" si="16"/>
        <v>0</v>
      </c>
      <c r="AW63" s="35"/>
      <c r="AX63" s="30"/>
      <c r="AY63" s="32">
        <f t="shared" si="17"/>
        <v>0</v>
      </c>
      <c r="AZ63" s="30" t="s">
        <v>193</v>
      </c>
      <c r="BA63" s="63"/>
      <c r="BB63" s="71"/>
      <c r="BC63" s="71"/>
      <c r="BD63" s="71"/>
    </row>
    <row r="64" spans="1:56" x14ac:dyDescent="0.25">
      <c r="A64" s="24">
        <f>IF(B64="","",SUBTOTAL(3,$B$4:B64))</f>
        <v>61</v>
      </c>
      <c r="B64" s="25" t="s">
        <v>190</v>
      </c>
      <c r="C64" s="25" t="str">
        <f t="shared" si="9"/>
        <v>Shipment 2 Casing U2</v>
      </c>
      <c r="D64" s="25" t="s">
        <v>189</v>
      </c>
      <c r="E64" s="25" t="s">
        <v>187</v>
      </c>
      <c r="F64" s="25"/>
      <c r="G64" s="65">
        <v>46233</v>
      </c>
      <c r="H64" s="25" t="s">
        <v>191</v>
      </c>
      <c r="I64" s="25"/>
      <c r="J64" s="26" t="s">
        <v>196</v>
      </c>
      <c r="K64" s="27" t="s">
        <v>109</v>
      </c>
      <c r="L64" s="28" t="s">
        <v>110</v>
      </c>
      <c r="M64" s="28" t="s">
        <v>167</v>
      </c>
      <c r="N64" s="25">
        <v>1</v>
      </c>
      <c r="O64" s="29">
        <v>10612.276</v>
      </c>
      <c r="P64" s="29">
        <v>10612.276</v>
      </c>
      <c r="Q64" s="25"/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0"/>
        <v>0</v>
      </c>
      <c r="AF64" s="32">
        <f t="shared" si="11"/>
        <v>10612.276</v>
      </c>
      <c r="AG64" s="30"/>
      <c r="AH64" s="33">
        <v>0.05</v>
      </c>
      <c r="AI64" s="34">
        <f t="shared" si="12"/>
        <v>530.61379999999997</v>
      </c>
      <c r="AJ64" s="35"/>
      <c r="AK64" s="30"/>
      <c r="AL64" s="36">
        <f t="shared" si="13"/>
        <v>0</v>
      </c>
      <c r="AM64" s="35"/>
      <c r="AN64" s="30"/>
      <c r="AO64" s="36">
        <f t="shared" si="14"/>
        <v>0</v>
      </c>
      <c r="AP64" s="35"/>
      <c r="AQ64" s="30"/>
      <c r="AR64" s="36">
        <f t="shared" si="15"/>
        <v>0</v>
      </c>
      <c r="AS64" s="27"/>
      <c r="AT64" s="37"/>
      <c r="AU64" s="30"/>
      <c r="AV64" s="36">
        <f t="shared" si="16"/>
        <v>0</v>
      </c>
      <c r="AW64" s="35"/>
      <c r="AX64" s="30"/>
      <c r="AY64" s="32">
        <f t="shared" si="17"/>
        <v>0</v>
      </c>
      <c r="AZ64" s="30" t="s">
        <v>193</v>
      </c>
      <c r="BA64" s="63"/>
      <c r="BB64" s="71"/>
      <c r="BC64" s="71"/>
      <c r="BD64" s="71"/>
    </row>
    <row r="65" spans="1:56" x14ac:dyDescent="0.25">
      <c r="A65" s="24">
        <f>IF(B65="","",SUBTOTAL(3,$B$4:B65))</f>
        <v>62</v>
      </c>
      <c r="B65" s="25" t="s">
        <v>190</v>
      </c>
      <c r="C65" s="25" t="str">
        <f t="shared" si="9"/>
        <v>Shipment 2 Casing U2</v>
      </c>
      <c r="D65" s="25" t="s">
        <v>189</v>
      </c>
      <c r="E65" s="25" t="s">
        <v>187</v>
      </c>
      <c r="F65" s="25"/>
      <c r="G65" s="65">
        <v>46233</v>
      </c>
      <c r="H65" s="25" t="s">
        <v>191</v>
      </c>
      <c r="I65" s="25"/>
      <c r="J65" s="26" t="s">
        <v>196</v>
      </c>
      <c r="K65" s="27" t="s">
        <v>111</v>
      </c>
      <c r="L65" s="28" t="s">
        <v>112</v>
      </c>
      <c r="M65" s="28" t="s">
        <v>168</v>
      </c>
      <c r="N65" s="25">
        <v>1</v>
      </c>
      <c r="O65" s="29">
        <v>10439.779999999997</v>
      </c>
      <c r="P65" s="29">
        <v>10439.779999999997</v>
      </c>
      <c r="Q65" s="25"/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0"/>
        <v>0</v>
      </c>
      <c r="AF65" s="32">
        <f t="shared" si="11"/>
        <v>10439.779999999997</v>
      </c>
      <c r="AG65" s="30"/>
      <c r="AH65" s="33">
        <v>0.05</v>
      </c>
      <c r="AI65" s="34">
        <f t="shared" si="12"/>
        <v>521.98899999999992</v>
      </c>
      <c r="AJ65" s="35"/>
      <c r="AK65" s="30"/>
      <c r="AL65" s="36">
        <f t="shared" si="13"/>
        <v>0</v>
      </c>
      <c r="AM65" s="35"/>
      <c r="AN65" s="30"/>
      <c r="AO65" s="36">
        <f t="shared" si="14"/>
        <v>0</v>
      </c>
      <c r="AP65" s="35"/>
      <c r="AQ65" s="30"/>
      <c r="AR65" s="36">
        <f t="shared" si="15"/>
        <v>0</v>
      </c>
      <c r="AS65" s="27"/>
      <c r="AT65" s="37"/>
      <c r="AU65" s="30"/>
      <c r="AV65" s="36">
        <f t="shared" si="16"/>
        <v>0</v>
      </c>
      <c r="AW65" s="35"/>
      <c r="AX65" s="30"/>
      <c r="AY65" s="32">
        <f t="shared" si="17"/>
        <v>0</v>
      </c>
      <c r="AZ65" s="30" t="s">
        <v>193</v>
      </c>
      <c r="BA65" s="63"/>
      <c r="BB65" s="71"/>
      <c r="BC65" s="71"/>
      <c r="BD65" s="71"/>
    </row>
    <row r="66" spans="1:56" x14ac:dyDescent="0.25">
      <c r="A66" s="24">
        <f>IF(B66="","",SUBTOTAL(3,$B$4:B66))</f>
        <v>63</v>
      </c>
      <c r="B66" s="25" t="s">
        <v>190</v>
      </c>
      <c r="C66" s="25" t="str">
        <f t="shared" si="9"/>
        <v>Shipment 2 Casing U2</v>
      </c>
      <c r="D66" s="25" t="s">
        <v>189</v>
      </c>
      <c r="E66" s="25" t="s">
        <v>187</v>
      </c>
      <c r="F66" s="25"/>
      <c r="G66" s="65">
        <v>46233</v>
      </c>
      <c r="H66" s="25" t="s">
        <v>191</v>
      </c>
      <c r="I66" s="25"/>
      <c r="J66" s="26" t="s">
        <v>194</v>
      </c>
      <c r="K66" s="27" t="s">
        <v>113</v>
      </c>
      <c r="L66" s="28" t="s">
        <v>114</v>
      </c>
      <c r="M66" s="28"/>
      <c r="N66" s="25">
        <v>1</v>
      </c>
      <c r="O66" s="29">
        <v>5316.6400000000012</v>
      </c>
      <c r="P66" s="29">
        <v>5316.6400000000012</v>
      </c>
      <c r="Q66" s="25"/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0"/>
        <v>0</v>
      </c>
      <c r="AF66" s="32">
        <f t="shared" si="11"/>
        <v>5316.6400000000012</v>
      </c>
      <c r="AG66" s="30"/>
      <c r="AH66" s="33">
        <v>0.05</v>
      </c>
      <c r="AI66" s="34">
        <f t="shared" si="12"/>
        <v>265.83200000000005</v>
      </c>
      <c r="AJ66" s="35"/>
      <c r="AK66" s="30"/>
      <c r="AL66" s="36">
        <f t="shared" si="13"/>
        <v>0</v>
      </c>
      <c r="AM66" s="35"/>
      <c r="AN66" s="30"/>
      <c r="AO66" s="36">
        <f t="shared" si="14"/>
        <v>0</v>
      </c>
      <c r="AP66" s="35"/>
      <c r="AQ66" s="30"/>
      <c r="AR66" s="36">
        <f t="shared" si="15"/>
        <v>0</v>
      </c>
      <c r="AS66" s="27"/>
      <c r="AT66" s="37"/>
      <c r="AU66" s="30"/>
      <c r="AV66" s="36">
        <f t="shared" si="16"/>
        <v>0</v>
      </c>
      <c r="AW66" s="35"/>
      <c r="AX66" s="30"/>
      <c r="AY66" s="32">
        <f t="shared" si="17"/>
        <v>0</v>
      </c>
      <c r="AZ66" s="30" t="s">
        <v>193</v>
      </c>
      <c r="BA66" s="63"/>
      <c r="BB66" s="71"/>
      <c r="BC66" s="71"/>
      <c r="BD66" s="71"/>
    </row>
    <row r="67" spans="1:56" x14ac:dyDescent="0.25">
      <c r="A67" s="24">
        <f>IF(B67="","",SUBTOTAL(3,$B$4:B67))</f>
        <v>64</v>
      </c>
      <c r="B67" s="25" t="s">
        <v>190</v>
      </c>
      <c r="C67" s="25" t="str">
        <f t="shared" si="9"/>
        <v>Shipment 2 Casing U2</v>
      </c>
      <c r="D67" s="25" t="s">
        <v>189</v>
      </c>
      <c r="E67" s="25" t="s">
        <v>187</v>
      </c>
      <c r="F67" s="25"/>
      <c r="G67" s="65">
        <v>46233</v>
      </c>
      <c r="H67" s="25" t="s">
        <v>191</v>
      </c>
      <c r="I67" s="25"/>
      <c r="J67" s="26" t="s">
        <v>194</v>
      </c>
      <c r="K67" s="27" t="s">
        <v>137</v>
      </c>
      <c r="L67" s="28" t="s">
        <v>138</v>
      </c>
      <c r="M67" s="28" t="s">
        <v>180</v>
      </c>
      <c r="N67" s="25">
        <v>1</v>
      </c>
      <c r="O67" s="29">
        <v>3326.8940000000002</v>
      </c>
      <c r="P67" s="29">
        <v>3326.8940000000002</v>
      </c>
      <c r="Q67" s="25"/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0"/>
        <v>0</v>
      </c>
      <c r="AF67" s="32">
        <f t="shared" si="11"/>
        <v>3326.8940000000002</v>
      </c>
      <c r="AG67" s="30"/>
      <c r="AH67" s="33">
        <v>0.05</v>
      </c>
      <c r="AI67" s="34">
        <f t="shared" si="12"/>
        <v>166.34470000000002</v>
      </c>
      <c r="AJ67" s="35"/>
      <c r="AK67" s="30"/>
      <c r="AL67" s="36">
        <f t="shared" si="13"/>
        <v>0</v>
      </c>
      <c r="AM67" s="35"/>
      <c r="AN67" s="30"/>
      <c r="AO67" s="36">
        <f t="shared" si="14"/>
        <v>0</v>
      </c>
      <c r="AP67" s="35"/>
      <c r="AQ67" s="30"/>
      <c r="AR67" s="36">
        <f t="shared" si="15"/>
        <v>0</v>
      </c>
      <c r="AS67" s="27"/>
      <c r="AT67" s="37"/>
      <c r="AU67" s="30"/>
      <c r="AV67" s="36">
        <f t="shared" si="16"/>
        <v>0</v>
      </c>
      <c r="AW67" s="35"/>
      <c r="AX67" s="30"/>
      <c r="AY67" s="32">
        <f t="shared" si="17"/>
        <v>0</v>
      </c>
      <c r="AZ67" s="30" t="s">
        <v>192</v>
      </c>
      <c r="BA67" s="63"/>
      <c r="BB67" s="71"/>
      <c r="BC67" s="71"/>
      <c r="BD67" s="71"/>
    </row>
    <row r="68" spans="1:56" x14ac:dyDescent="0.25">
      <c r="A68" s="24">
        <f>IF(B68="","",SUBTOTAL(3,$B$4:B68))</f>
        <v>65</v>
      </c>
      <c r="B68" s="25" t="s">
        <v>190</v>
      </c>
      <c r="C68" s="25" t="str">
        <f t="shared" si="9"/>
        <v>Shipment 2 Casing U2</v>
      </c>
      <c r="D68" s="25" t="s">
        <v>189</v>
      </c>
      <c r="E68" s="25" t="s">
        <v>187</v>
      </c>
      <c r="F68" s="25"/>
      <c r="G68" s="65">
        <v>46233</v>
      </c>
      <c r="H68" s="25" t="s">
        <v>191</v>
      </c>
      <c r="I68" s="25"/>
      <c r="J68" s="26" t="s">
        <v>194</v>
      </c>
      <c r="K68" s="27" t="s">
        <v>139</v>
      </c>
      <c r="L68" s="28" t="s">
        <v>140</v>
      </c>
      <c r="M68" s="28" t="s">
        <v>181</v>
      </c>
      <c r="N68" s="25">
        <v>1</v>
      </c>
      <c r="O68" s="29">
        <v>3892.7239999999997</v>
      </c>
      <c r="P68" s="29">
        <v>3892.7239999999997</v>
      </c>
      <c r="Q68" s="25"/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0"/>
        <v>0</v>
      </c>
      <c r="AF68" s="32">
        <f t="shared" si="11"/>
        <v>3892.7239999999997</v>
      </c>
      <c r="AG68" s="30"/>
      <c r="AH68" s="33">
        <v>0.05</v>
      </c>
      <c r="AI68" s="34">
        <f t="shared" si="12"/>
        <v>194.6362</v>
      </c>
      <c r="AJ68" s="35"/>
      <c r="AK68" s="30"/>
      <c r="AL68" s="36">
        <f t="shared" si="13"/>
        <v>0</v>
      </c>
      <c r="AM68" s="35"/>
      <c r="AN68" s="30"/>
      <c r="AO68" s="36">
        <f t="shared" si="14"/>
        <v>0</v>
      </c>
      <c r="AP68" s="35"/>
      <c r="AQ68" s="30"/>
      <c r="AR68" s="36">
        <f t="shared" si="15"/>
        <v>0</v>
      </c>
      <c r="AS68" s="27"/>
      <c r="AT68" s="37"/>
      <c r="AU68" s="30"/>
      <c r="AV68" s="36">
        <f t="shared" si="16"/>
        <v>0</v>
      </c>
      <c r="AW68" s="35"/>
      <c r="AX68" s="30"/>
      <c r="AY68" s="32">
        <f t="shared" si="17"/>
        <v>0</v>
      </c>
      <c r="AZ68" s="30" t="s">
        <v>192</v>
      </c>
      <c r="BA68" s="63"/>
      <c r="BB68" s="71"/>
      <c r="BC68" s="71"/>
      <c r="BD68" s="71"/>
    </row>
    <row r="69" spans="1:56" x14ac:dyDescent="0.25">
      <c r="A69" s="24">
        <f>IF(B69="","",SUBTOTAL(3,$B$4:B69))</f>
        <v>66</v>
      </c>
      <c r="B69" s="25" t="s">
        <v>190</v>
      </c>
      <c r="C69" s="25" t="str">
        <f t="shared" si="9"/>
        <v>Shipment 2 Casing U2</v>
      </c>
      <c r="D69" s="25" t="s">
        <v>189</v>
      </c>
      <c r="E69" s="25" t="s">
        <v>187</v>
      </c>
      <c r="F69" s="25"/>
      <c r="G69" s="65">
        <v>46233</v>
      </c>
      <c r="H69" s="25" t="s">
        <v>191</v>
      </c>
      <c r="I69" s="25"/>
      <c r="J69" s="26" t="s">
        <v>194</v>
      </c>
      <c r="K69" s="27" t="s">
        <v>141</v>
      </c>
      <c r="L69" s="28" t="s">
        <v>142</v>
      </c>
      <c r="M69" s="28" t="s">
        <v>182</v>
      </c>
      <c r="N69" s="25">
        <v>1</v>
      </c>
      <c r="O69" s="29">
        <v>3309.712</v>
      </c>
      <c r="P69" s="29">
        <v>3309.712</v>
      </c>
      <c r="Q69" s="25"/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0"/>
        <v>0</v>
      </c>
      <c r="AF69" s="32">
        <f t="shared" si="11"/>
        <v>3309.712</v>
      </c>
      <c r="AG69" s="30"/>
      <c r="AH69" s="33">
        <v>0.05</v>
      </c>
      <c r="AI69" s="34">
        <f t="shared" si="12"/>
        <v>165.48560000000001</v>
      </c>
      <c r="AJ69" s="35"/>
      <c r="AK69" s="30"/>
      <c r="AL69" s="36">
        <f t="shared" si="13"/>
        <v>0</v>
      </c>
      <c r="AM69" s="35"/>
      <c r="AN69" s="30"/>
      <c r="AO69" s="36">
        <f t="shared" si="14"/>
        <v>0</v>
      </c>
      <c r="AP69" s="35"/>
      <c r="AQ69" s="30"/>
      <c r="AR69" s="36">
        <f t="shared" si="15"/>
        <v>0</v>
      </c>
      <c r="AS69" s="27"/>
      <c r="AT69" s="37"/>
      <c r="AU69" s="30"/>
      <c r="AV69" s="36">
        <f t="shared" si="16"/>
        <v>0</v>
      </c>
      <c r="AW69" s="35"/>
      <c r="AX69" s="30"/>
      <c r="AY69" s="32">
        <f t="shared" si="17"/>
        <v>0</v>
      </c>
      <c r="AZ69" s="30" t="s">
        <v>192</v>
      </c>
      <c r="BA69" s="63"/>
      <c r="BB69" s="71"/>
      <c r="BC69" s="71"/>
      <c r="BD69" s="71"/>
    </row>
    <row r="70" spans="1:56" x14ac:dyDescent="0.25">
      <c r="A70" s="24">
        <f>IF(B70="","",SUBTOTAL(3,$B$4:B70))</f>
        <v>67</v>
      </c>
      <c r="B70" s="25" t="s">
        <v>190</v>
      </c>
      <c r="C70" s="25" t="str">
        <f t="shared" si="9"/>
        <v>Shipment 2 Casing U2</v>
      </c>
      <c r="D70" s="25" t="s">
        <v>189</v>
      </c>
      <c r="E70" s="25" t="s">
        <v>187</v>
      </c>
      <c r="F70" s="25"/>
      <c r="G70" s="65">
        <v>46233</v>
      </c>
      <c r="H70" s="25" t="s">
        <v>191</v>
      </c>
      <c r="I70" s="25"/>
      <c r="J70" s="26" t="s">
        <v>196</v>
      </c>
      <c r="K70" s="27" t="s">
        <v>143</v>
      </c>
      <c r="L70" s="28" t="s">
        <v>144</v>
      </c>
      <c r="M70" s="28" t="s">
        <v>183</v>
      </c>
      <c r="N70" s="25">
        <v>1</v>
      </c>
      <c r="O70" s="29">
        <v>3280.2600000000007</v>
      </c>
      <c r="P70" s="29">
        <v>3280.2600000000007</v>
      </c>
      <c r="Q70" s="25"/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0"/>
        <v>0</v>
      </c>
      <c r="AF70" s="32">
        <f t="shared" si="11"/>
        <v>3280.2600000000007</v>
      </c>
      <c r="AG70" s="30"/>
      <c r="AH70" s="33">
        <v>0.05</v>
      </c>
      <c r="AI70" s="34">
        <f t="shared" si="12"/>
        <v>164.01300000000003</v>
      </c>
      <c r="AJ70" s="35"/>
      <c r="AK70" s="30"/>
      <c r="AL70" s="36">
        <f t="shared" si="13"/>
        <v>0</v>
      </c>
      <c r="AM70" s="35"/>
      <c r="AN70" s="30"/>
      <c r="AO70" s="36">
        <f t="shared" si="14"/>
        <v>0</v>
      </c>
      <c r="AP70" s="35"/>
      <c r="AQ70" s="30"/>
      <c r="AR70" s="36">
        <f t="shared" si="15"/>
        <v>0</v>
      </c>
      <c r="AS70" s="27"/>
      <c r="AT70" s="37"/>
      <c r="AU70" s="30"/>
      <c r="AV70" s="36">
        <f t="shared" si="16"/>
        <v>0</v>
      </c>
      <c r="AW70" s="35"/>
      <c r="AX70" s="30"/>
      <c r="AY70" s="32">
        <f t="shared" si="17"/>
        <v>0</v>
      </c>
      <c r="AZ70" s="30" t="s">
        <v>192</v>
      </c>
      <c r="BA70" s="63"/>
      <c r="BB70" s="71"/>
      <c r="BC70" s="71"/>
      <c r="BD70" s="71"/>
    </row>
    <row r="71" spans="1:56" x14ac:dyDescent="0.25">
      <c r="A71" s="24">
        <f>IF(B71="","",SUBTOTAL(3,$B$4:B71))</f>
        <v>68</v>
      </c>
      <c r="B71" s="25" t="s">
        <v>190</v>
      </c>
      <c r="C71" s="25" t="str">
        <f t="shared" si="9"/>
        <v>Shipment 2 Casing U2</v>
      </c>
      <c r="D71" s="25" t="s">
        <v>189</v>
      </c>
      <c r="E71" s="25" t="s">
        <v>187</v>
      </c>
      <c r="F71" s="25"/>
      <c r="G71" s="65">
        <v>46233</v>
      </c>
      <c r="H71" s="25" t="s">
        <v>191</v>
      </c>
      <c r="I71" s="25"/>
      <c r="J71" s="26" t="s">
        <v>196</v>
      </c>
      <c r="K71" s="27" t="s">
        <v>145</v>
      </c>
      <c r="L71" s="28" t="s">
        <v>146</v>
      </c>
      <c r="M71" s="28" t="s">
        <v>184</v>
      </c>
      <c r="N71" s="25">
        <v>1</v>
      </c>
      <c r="O71" s="29">
        <v>3970.6840000000002</v>
      </c>
      <c r="P71" s="29">
        <v>3970.6840000000002</v>
      </c>
      <c r="Q71" s="25"/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0"/>
        <v>0</v>
      </c>
      <c r="AF71" s="32">
        <f t="shared" si="11"/>
        <v>3970.6840000000002</v>
      </c>
      <c r="AG71" s="30"/>
      <c r="AH71" s="33">
        <v>0.05</v>
      </c>
      <c r="AI71" s="34">
        <f t="shared" si="12"/>
        <v>198.53420000000003</v>
      </c>
      <c r="AJ71" s="35"/>
      <c r="AK71" s="30"/>
      <c r="AL71" s="36">
        <f t="shared" si="13"/>
        <v>0</v>
      </c>
      <c r="AM71" s="35"/>
      <c r="AN71" s="30"/>
      <c r="AO71" s="36">
        <f t="shared" si="14"/>
        <v>0</v>
      </c>
      <c r="AP71" s="35"/>
      <c r="AQ71" s="30"/>
      <c r="AR71" s="36">
        <f t="shared" si="15"/>
        <v>0</v>
      </c>
      <c r="AS71" s="27"/>
      <c r="AT71" s="37"/>
      <c r="AU71" s="30"/>
      <c r="AV71" s="36">
        <f t="shared" si="16"/>
        <v>0</v>
      </c>
      <c r="AW71" s="35"/>
      <c r="AX71" s="30"/>
      <c r="AY71" s="32">
        <f t="shared" si="17"/>
        <v>0</v>
      </c>
      <c r="AZ71" s="30" t="s">
        <v>192</v>
      </c>
      <c r="BA71" s="63"/>
      <c r="BB71" s="71"/>
      <c r="BC71" s="71"/>
      <c r="BD71" s="71"/>
    </row>
    <row r="72" spans="1:56" x14ac:dyDescent="0.25">
      <c r="A72" s="24">
        <f>IF(B72="","",SUBTOTAL(3,$B$4:B72))</f>
        <v>69</v>
      </c>
      <c r="B72" s="25" t="s">
        <v>190</v>
      </c>
      <c r="C72" s="25" t="str">
        <f t="shared" si="9"/>
        <v>Shipment 2 Casing U2</v>
      </c>
      <c r="D72" s="25" t="s">
        <v>189</v>
      </c>
      <c r="E72" s="25" t="s">
        <v>187</v>
      </c>
      <c r="F72" s="25"/>
      <c r="G72" s="65">
        <v>46233</v>
      </c>
      <c r="H72" s="25" t="s">
        <v>191</v>
      </c>
      <c r="I72" s="25"/>
      <c r="J72" s="26" t="s">
        <v>196</v>
      </c>
      <c r="K72" s="27" t="s">
        <v>147</v>
      </c>
      <c r="L72" s="28" t="s">
        <v>148</v>
      </c>
      <c r="M72" s="28" t="s">
        <v>185</v>
      </c>
      <c r="N72" s="25">
        <v>1</v>
      </c>
      <c r="O72" s="29">
        <v>4347.7700000000004</v>
      </c>
      <c r="P72" s="29">
        <v>4347.7700000000004</v>
      </c>
      <c r="Q72" s="25"/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0"/>
        <v>0</v>
      </c>
      <c r="AF72" s="32">
        <f t="shared" si="11"/>
        <v>4347.7700000000004</v>
      </c>
      <c r="AG72" s="30"/>
      <c r="AH72" s="33">
        <v>0.05</v>
      </c>
      <c r="AI72" s="34">
        <f t="shared" si="12"/>
        <v>217.38850000000002</v>
      </c>
      <c r="AJ72" s="35"/>
      <c r="AK72" s="30"/>
      <c r="AL72" s="36">
        <f t="shared" si="13"/>
        <v>0</v>
      </c>
      <c r="AM72" s="35"/>
      <c r="AN72" s="30"/>
      <c r="AO72" s="36">
        <f t="shared" si="14"/>
        <v>0</v>
      </c>
      <c r="AP72" s="35"/>
      <c r="AQ72" s="30"/>
      <c r="AR72" s="36">
        <f t="shared" si="15"/>
        <v>0</v>
      </c>
      <c r="AS72" s="27"/>
      <c r="AT72" s="37"/>
      <c r="AU72" s="30"/>
      <c r="AV72" s="36">
        <f t="shared" si="16"/>
        <v>0</v>
      </c>
      <c r="AW72" s="35"/>
      <c r="AX72" s="30"/>
      <c r="AY72" s="32">
        <f t="shared" si="17"/>
        <v>0</v>
      </c>
      <c r="AZ72" s="30" t="s">
        <v>192</v>
      </c>
      <c r="BA72" s="63"/>
      <c r="BB72" s="71"/>
      <c r="BC72" s="71"/>
      <c r="BD72" s="71"/>
    </row>
    <row r="73" spans="1:56" x14ac:dyDescent="0.25">
      <c r="A73" s="24" t="str">
        <f>IF(B73="","",SUBTOTAL(3,$B$4:B73))</f>
        <v/>
      </c>
      <c r="B73" s="25"/>
      <c r="C73" s="25" t="str">
        <f t="shared" si="9"/>
        <v xml:space="preserve"> </v>
      </c>
      <c r="D73" s="25"/>
      <c r="E73" s="25"/>
      <c r="F73" s="25"/>
      <c r="G73" s="65"/>
      <c r="H73" s="25"/>
      <c r="I73" s="25"/>
      <c r="J73" s="26"/>
      <c r="K73" s="27"/>
      <c r="L73" s="28"/>
      <c r="M73" s="28"/>
      <c r="N73" s="25"/>
      <c r="O73" s="29"/>
      <c r="P73" s="29"/>
      <c r="Q73" s="25"/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0"/>
        <v>0</v>
      </c>
      <c r="AF73" s="32">
        <f t="shared" si="11"/>
        <v>0</v>
      </c>
      <c r="AG73" s="30"/>
      <c r="AH73" s="33"/>
      <c r="AI73" s="34">
        <f t="shared" si="12"/>
        <v>0</v>
      </c>
      <c r="AJ73" s="35"/>
      <c r="AK73" s="30"/>
      <c r="AL73" s="36">
        <f t="shared" si="13"/>
        <v>0</v>
      </c>
      <c r="AM73" s="35"/>
      <c r="AN73" s="30"/>
      <c r="AO73" s="36">
        <f t="shared" si="14"/>
        <v>0</v>
      </c>
      <c r="AP73" s="35"/>
      <c r="AQ73" s="30"/>
      <c r="AR73" s="36">
        <f t="shared" si="15"/>
        <v>0</v>
      </c>
      <c r="AS73" s="27"/>
      <c r="AT73" s="37"/>
      <c r="AU73" s="30"/>
      <c r="AV73" s="36">
        <f t="shared" si="16"/>
        <v>0</v>
      </c>
      <c r="AW73" s="35"/>
      <c r="AX73" s="30"/>
      <c r="AY73" s="32">
        <f t="shared" si="17"/>
        <v>0</v>
      </c>
      <c r="AZ73" s="30"/>
      <c r="BA73" s="63"/>
      <c r="BB73" s="71"/>
      <c r="BC73" s="71"/>
      <c r="BD73" s="71"/>
    </row>
    <row r="74" spans="1:56" x14ac:dyDescent="0.25">
      <c r="A74" s="24" t="str">
        <f>IF(B74="","",SUBTOTAL(3,$B$4:B74))</f>
        <v/>
      </c>
      <c r="B74" s="25"/>
      <c r="C74" s="25" t="str">
        <f t="shared" si="9"/>
        <v xml:space="preserve"> </v>
      </c>
      <c r="D74" s="25"/>
      <c r="E74" s="25"/>
      <c r="F74" s="25"/>
      <c r="G74" s="65"/>
      <c r="H74" s="25"/>
      <c r="I74" s="25"/>
      <c r="J74" s="26"/>
      <c r="K74" s="27"/>
      <c r="L74" s="28"/>
      <c r="M74" s="28"/>
      <c r="N74" s="25"/>
      <c r="O74" s="29"/>
      <c r="P74" s="29"/>
      <c r="Q74" s="25"/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0"/>
        <v>0</v>
      </c>
      <c r="AF74" s="32">
        <f t="shared" si="11"/>
        <v>0</v>
      </c>
      <c r="AG74" s="30"/>
      <c r="AH74" s="33"/>
      <c r="AI74" s="34">
        <f t="shared" si="12"/>
        <v>0</v>
      </c>
      <c r="AJ74" s="35"/>
      <c r="AK74" s="30"/>
      <c r="AL74" s="36">
        <f t="shared" si="13"/>
        <v>0</v>
      </c>
      <c r="AM74" s="35"/>
      <c r="AN74" s="30"/>
      <c r="AO74" s="36">
        <f t="shared" si="14"/>
        <v>0</v>
      </c>
      <c r="AP74" s="35"/>
      <c r="AQ74" s="30"/>
      <c r="AR74" s="36">
        <f t="shared" si="15"/>
        <v>0</v>
      </c>
      <c r="AS74" s="27"/>
      <c r="AT74" s="37"/>
      <c r="AU74" s="30"/>
      <c r="AV74" s="36">
        <f t="shared" si="16"/>
        <v>0</v>
      </c>
      <c r="AW74" s="35"/>
      <c r="AX74" s="30"/>
      <c r="AY74" s="32">
        <f t="shared" si="17"/>
        <v>0</v>
      </c>
      <c r="AZ74" s="30"/>
      <c r="BA74" s="63"/>
      <c r="BB74" s="71"/>
      <c r="BC74" s="71"/>
      <c r="BD74" s="71"/>
    </row>
    <row r="75" spans="1:56" x14ac:dyDescent="0.25">
      <c r="A75" s="24" t="str">
        <f>IF(B75="","",SUBTOTAL(3,$B$4:B75))</f>
        <v/>
      </c>
      <c r="B75" s="25"/>
      <c r="C75" s="25" t="str">
        <f t="shared" ref="C75:C83" si="19">D75&amp;" "&amp;E75</f>
        <v xml:space="preserve"> </v>
      </c>
      <c r="D75" s="25"/>
      <c r="E75" s="25"/>
      <c r="F75" s="25"/>
      <c r="G75" s="65"/>
      <c r="H75" s="25"/>
      <c r="I75" s="25"/>
      <c r="J75" s="26"/>
      <c r="K75" s="27"/>
      <c r="L75" s="28"/>
      <c r="M75" s="28"/>
      <c r="N75" s="25"/>
      <c r="O75" s="29"/>
      <c r="P75" s="29"/>
      <c r="Q75" s="25"/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ref="AE75:AE83" si="20">+AL75*0.5+AO75*0.4+AV75*0.1</f>
        <v>0</v>
      </c>
      <c r="AF75" s="32">
        <f t="shared" ref="AF75:AF83" si="21">+P75-AE75</f>
        <v>0</v>
      </c>
      <c r="AG75" s="30"/>
      <c r="AH75" s="33"/>
      <c r="AI75" s="34">
        <f t="shared" ref="AI75:AI83" si="22">+AH75*P75</f>
        <v>0</v>
      </c>
      <c r="AJ75" s="35"/>
      <c r="AK75" s="30"/>
      <c r="AL75" s="36">
        <f t="shared" ref="AL75:AL83" si="23">IFERROR(AK75*$P75/$N75,0)</f>
        <v>0</v>
      </c>
      <c r="AM75" s="35"/>
      <c r="AN75" s="30"/>
      <c r="AO75" s="36">
        <f t="shared" ref="AO75:AO83" si="24">IFERROR(AN75*$P75/$N75,0)</f>
        <v>0</v>
      </c>
      <c r="AP75" s="35"/>
      <c r="AQ75" s="30"/>
      <c r="AR75" s="36">
        <f t="shared" ref="AR75:AR83" si="25">IFERROR(AQ75*$P75/$N75,0)</f>
        <v>0</v>
      </c>
      <c r="AS75" s="27"/>
      <c r="AT75" s="37"/>
      <c r="AU75" s="30"/>
      <c r="AV75" s="36">
        <f t="shared" ref="AV75:AV83" si="26">IFERROR(AU75*$P75/$N75,0)</f>
        <v>0</v>
      </c>
      <c r="AW75" s="35"/>
      <c r="AX75" s="30"/>
      <c r="AY75" s="32">
        <f t="shared" ref="AY75:AY83" si="27">IFERROR(AX75*$P75/$N75,0)</f>
        <v>0</v>
      </c>
      <c r="AZ75" s="30"/>
      <c r="BA75" s="63"/>
      <c r="BB75" s="71"/>
      <c r="BC75" s="71"/>
      <c r="BD75" s="71"/>
    </row>
    <row r="76" spans="1:56" x14ac:dyDescent="0.25">
      <c r="A76" s="24" t="str">
        <f>IF(B76="","",SUBTOTAL(3,$B$4:B76))</f>
        <v/>
      </c>
      <c r="B76" s="25"/>
      <c r="C76" s="25" t="str">
        <f t="shared" si="19"/>
        <v xml:space="preserve"> </v>
      </c>
      <c r="D76" s="25"/>
      <c r="E76" s="25"/>
      <c r="F76" s="25"/>
      <c r="G76" s="65"/>
      <c r="H76" s="25"/>
      <c r="I76" s="25"/>
      <c r="J76" s="26"/>
      <c r="K76" s="27"/>
      <c r="L76" s="28"/>
      <c r="M76" s="28"/>
      <c r="N76" s="25"/>
      <c r="O76" s="29"/>
      <c r="P76" s="29"/>
      <c r="Q76" s="25"/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20"/>
        <v>0</v>
      </c>
      <c r="AF76" s="32">
        <f t="shared" si="21"/>
        <v>0</v>
      </c>
      <c r="AG76" s="30"/>
      <c r="AH76" s="33"/>
      <c r="AI76" s="34">
        <f t="shared" si="22"/>
        <v>0</v>
      </c>
      <c r="AJ76" s="35"/>
      <c r="AK76" s="30"/>
      <c r="AL76" s="36">
        <f t="shared" si="23"/>
        <v>0</v>
      </c>
      <c r="AM76" s="35"/>
      <c r="AN76" s="30"/>
      <c r="AO76" s="36">
        <f t="shared" si="24"/>
        <v>0</v>
      </c>
      <c r="AP76" s="35"/>
      <c r="AQ76" s="30"/>
      <c r="AR76" s="36">
        <f t="shared" si="25"/>
        <v>0</v>
      </c>
      <c r="AS76" s="27"/>
      <c r="AT76" s="37"/>
      <c r="AU76" s="30"/>
      <c r="AV76" s="36">
        <f t="shared" si="26"/>
        <v>0</v>
      </c>
      <c r="AW76" s="35"/>
      <c r="AX76" s="30"/>
      <c r="AY76" s="32">
        <f t="shared" si="27"/>
        <v>0</v>
      </c>
      <c r="AZ76" s="30"/>
      <c r="BA76" s="63"/>
      <c r="BB76" s="71"/>
      <c r="BC76" s="71"/>
      <c r="BD76" s="71"/>
    </row>
    <row r="77" spans="1:56" x14ac:dyDescent="0.25">
      <c r="A77" s="24" t="str">
        <f>IF(B77="","",SUBTOTAL(3,$B$4:B77))</f>
        <v/>
      </c>
      <c r="B77" s="25"/>
      <c r="C77" s="25" t="str">
        <f t="shared" si="19"/>
        <v xml:space="preserve"> </v>
      </c>
      <c r="D77" s="25"/>
      <c r="E77" s="25"/>
      <c r="F77" s="25"/>
      <c r="G77" s="65"/>
      <c r="H77" s="25"/>
      <c r="I77" s="25"/>
      <c r="J77" s="26"/>
      <c r="K77" s="27"/>
      <c r="L77" s="28"/>
      <c r="M77" s="28"/>
      <c r="N77" s="25"/>
      <c r="O77" s="29"/>
      <c r="P77" s="29"/>
      <c r="Q77" s="25"/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20"/>
        <v>0</v>
      </c>
      <c r="AF77" s="32">
        <f t="shared" si="21"/>
        <v>0</v>
      </c>
      <c r="AG77" s="30"/>
      <c r="AH77" s="33"/>
      <c r="AI77" s="34">
        <f t="shared" si="22"/>
        <v>0</v>
      </c>
      <c r="AJ77" s="35"/>
      <c r="AK77" s="30"/>
      <c r="AL77" s="36">
        <f t="shared" si="23"/>
        <v>0</v>
      </c>
      <c r="AM77" s="35"/>
      <c r="AN77" s="30"/>
      <c r="AO77" s="36">
        <f t="shared" si="24"/>
        <v>0</v>
      </c>
      <c r="AP77" s="35"/>
      <c r="AQ77" s="30"/>
      <c r="AR77" s="36">
        <f t="shared" si="25"/>
        <v>0</v>
      </c>
      <c r="AS77" s="27"/>
      <c r="AT77" s="37"/>
      <c r="AU77" s="30"/>
      <c r="AV77" s="36">
        <f t="shared" si="26"/>
        <v>0</v>
      </c>
      <c r="AW77" s="35"/>
      <c r="AX77" s="30"/>
      <c r="AY77" s="32">
        <f t="shared" si="27"/>
        <v>0</v>
      </c>
      <c r="AZ77" s="30"/>
      <c r="BA77" s="63"/>
      <c r="BB77" s="71"/>
      <c r="BC77" s="71"/>
      <c r="BD77" s="71"/>
    </row>
    <row r="78" spans="1:56" x14ac:dyDescent="0.25">
      <c r="A78" s="24" t="str">
        <f>IF(B78="","",SUBTOTAL(3,$B$4:B78))</f>
        <v/>
      </c>
      <c r="B78" s="25"/>
      <c r="C78" s="25" t="str">
        <f t="shared" si="19"/>
        <v xml:space="preserve"> </v>
      </c>
      <c r="D78" s="25"/>
      <c r="E78" s="25"/>
      <c r="F78" s="25"/>
      <c r="G78" s="65"/>
      <c r="H78" s="25"/>
      <c r="I78" s="25"/>
      <c r="J78" s="26"/>
      <c r="K78" s="27"/>
      <c r="L78" s="28"/>
      <c r="M78" s="28"/>
      <c r="N78" s="25"/>
      <c r="O78" s="29"/>
      <c r="P78" s="29"/>
      <c r="Q78" s="25"/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20"/>
        <v>0</v>
      </c>
      <c r="AF78" s="32">
        <f t="shared" si="21"/>
        <v>0</v>
      </c>
      <c r="AG78" s="30"/>
      <c r="AH78" s="33"/>
      <c r="AI78" s="34">
        <f t="shared" si="22"/>
        <v>0</v>
      </c>
      <c r="AJ78" s="35"/>
      <c r="AK78" s="30"/>
      <c r="AL78" s="36">
        <f t="shared" si="23"/>
        <v>0</v>
      </c>
      <c r="AM78" s="35"/>
      <c r="AN78" s="30"/>
      <c r="AO78" s="36">
        <f t="shared" si="24"/>
        <v>0</v>
      </c>
      <c r="AP78" s="35"/>
      <c r="AQ78" s="30"/>
      <c r="AR78" s="36">
        <f t="shared" si="25"/>
        <v>0</v>
      </c>
      <c r="AS78" s="27"/>
      <c r="AT78" s="37"/>
      <c r="AU78" s="30"/>
      <c r="AV78" s="36">
        <f t="shared" si="26"/>
        <v>0</v>
      </c>
      <c r="AW78" s="35"/>
      <c r="AX78" s="30"/>
      <c r="AY78" s="32">
        <f t="shared" si="27"/>
        <v>0</v>
      </c>
      <c r="AZ78" s="30"/>
      <c r="BA78" s="63"/>
      <c r="BB78" s="71"/>
      <c r="BC78" s="71"/>
      <c r="BD78" s="71"/>
    </row>
    <row r="79" spans="1:56" x14ac:dyDescent="0.25">
      <c r="A79" s="24" t="str">
        <f>IF(B79="","",SUBTOTAL(3,$B$4:B79))</f>
        <v/>
      </c>
      <c r="B79" s="25"/>
      <c r="C79" s="25" t="str">
        <f t="shared" si="19"/>
        <v xml:space="preserve"> </v>
      </c>
      <c r="D79" s="25"/>
      <c r="E79" s="25"/>
      <c r="F79" s="25"/>
      <c r="G79" s="65"/>
      <c r="H79" s="25"/>
      <c r="I79" s="25"/>
      <c r="J79" s="26"/>
      <c r="K79" s="27"/>
      <c r="L79" s="28"/>
      <c r="M79" s="28"/>
      <c r="N79" s="25"/>
      <c r="O79" s="29"/>
      <c r="P79" s="29"/>
      <c r="Q79" s="25"/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20"/>
        <v>0</v>
      </c>
      <c r="AF79" s="32">
        <f t="shared" si="21"/>
        <v>0</v>
      </c>
      <c r="AG79" s="30"/>
      <c r="AH79" s="33"/>
      <c r="AI79" s="34">
        <f t="shared" si="22"/>
        <v>0</v>
      </c>
      <c r="AJ79" s="35"/>
      <c r="AK79" s="30"/>
      <c r="AL79" s="36">
        <f t="shared" si="23"/>
        <v>0</v>
      </c>
      <c r="AM79" s="35"/>
      <c r="AN79" s="30"/>
      <c r="AO79" s="36">
        <f t="shared" si="24"/>
        <v>0</v>
      </c>
      <c r="AP79" s="35"/>
      <c r="AQ79" s="30"/>
      <c r="AR79" s="36">
        <f t="shared" si="25"/>
        <v>0</v>
      </c>
      <c r="AS79" s="27"/>
      <c r="AT79" s="37"/>
      <c r="AU79" s="30"/>
      <c r="AV79" s="36">
        <f t="shared" si="26"/>
        <v>0</v>
      </c>
      <c r="AW79" s="35"/>
      <c r="AX79" s="30"/>
      <c r="AY79" s="32">
        <f t="shared" si="27"/>
        <v>0</v>
      </c>
      <c r="AZ79" s="30"/>
      <c r="BA79" s="63"/>
      <c r="BB79" s="71"/>
      <c r="BC79" s="71"/>
      <c r="BD79" s="71"/>
    </row>
    <row r="80" spans="1:56" x14ac:dyDescent="0.25">
      <c r="A80" s="24" t="str">
        <f>IF(B80="","",SUBTOTAL(3,$B$4:B80))</f>
        <v/>
      </c>
      <c r="B80" s="25"/>
      <c r="C80" s="25" t="str">
        <f t="shared" si="19"/>
        <v xml:space="preserve"> </v>
      </c>
      <c r="D80" s="25"/>
      <c r="E80" s="25"/>
      <c r="F80" s="25"/>
      <c r="G80" s="65"/>
      <c r="H80" s="25"/>
      <c r="I80" s="25"/>
      <c r="J80" s="26"/>
      <c r="K80" s="27"/>
      <c r="L80" s="28"/>
      <c r="M80" s="28"/>
      <c r="N80" s="25"/>
      <c r="O80" s="29"/>
      <c r="P80" s="29"/>
      <c r="Q80" s="25"/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20"/>
        <v>0</v>
      </c>
      <c r="AF80" s="32">
        <f t="shared" si="21"/>
        <v>0</v>
      </c>
      <c r="AG80" s="30"/>
      <c r="AH80" s="33"/>
      <c r="AI80" s="34">
        <f t="shared" si="22"/>
        <v>0</v>
      </c>
      <c r="AJ80" s="35"/>
      <c r="AK80" s="30"/>
      <c r="AL80" s="36">
        <f t="shared" si="23"/>
        <v>0</v>
      </c>
      <c r="AM80" s="35"/>
      <c r="AN80" s="30"/>
      <c r="AO80" s="36">
        <f t="shared" si="24"/>
        <v>0</v>
      </c>
      <c r="AP80" s="35"/>
      <c r="AQ80" s="30"/>
      <c r="AR80" s="36">
        <f t="shared" si="25"/>
        <v>0</v>
      </c>
      <c r="AS80" s="27"/>
      <c r="AT80" s="37"/>
      <c r="AU80" s="30"/>
      <c r="AV80" s="36">
        <f t="shared" si="26"/>
        <v>0</v>
      </c>
      <c r="AW80" s="35"/>
      <c r="AX80" s="30"/>
      <c r="AY80" s="32">
        <f t="shared" si="27"/>
        <v>0</v>
      </c>
      <c r="AZ80" s="30"/>
      <c r="BA80" s="63"/>
      <c r="BB80" s="71"/>
      <c r="BC80" s="71"/>
      <c r="BD80" s="71"/>
    </row>
    <row r="81" spans="1:56" x14ac:dyDescent="0.25">
      <c r="A81" s="24" t="str">
        <f>IF(B81="","",SUBTOTAL(3,$B$4:B81))</f>
        <v/>
      </c>
      <c r="B81" s="25"/>
      <c r="C81" s="25" t="str">
        <f t="shared" si="19"/>
        <v xml:space="preserve"> </v>
      </c>
      <c r="D81" s="25"/>
      <c r="E81" s="25"/>
      <c r="F81" s="25"/>
      <c r="G81" s="65"/>
      <c r="H81" s="25"/>
      <c r="I81" s="25"/>
      <c r="J81" s="26"/>
      <c r="K81" s="27"/>
      <c r="L81" s="28"/>
      <c r="M81" s="28"/>
      <c r="N81" s="25"/>
      <c r="O81" s="29"/>
      <c r="P81" s="29"/>
      <c r="Q81" s="25"/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20"/>
        <v>0</v>
      </c>
      <c r="AF81" s="32">
        <f t="shared" si="21"/>
        <v>0</v>
      </c>
      <c r="AG81" s="30"/>
      <c r="AH81" s="33"/>
      <c r="AI81" s="34">
        <f t="shared" si="22"/>
        <v>0</v>
      </c>
      <c r="AJ81" s="35"/>
      <c r="AK81" s="30"/>
      <c r="AL81" s="36">
        <f t="shared" si="23"/>
        <v>0</v>
      </c>
      <c r="AM81" s="35"/>
      <c r="AN81" s="30"/>
      <c r="AO81" s="36">
        <f t="shared" si="24"/>
        <v>0</v>
      </c>
      <c r="AP81" s="35"/>
      <c r="AQ81" s="30"/>
      <c r="AR81" s="36">
        <f t="shared" si="25"/>
        <v>0</v>
      </c>
      <c r="AS81" s="27"/>
      <c r="AT81" s="37"/>
      <c r="AU81" s="30"/>
      <c r="AV81" s="36">
        <f t="shared" si="26"/>
        <v>0</v>
      </c>
      <c r="AW81" s="35"/>
      <c r="AX81" s="30"/>
      <c r="AY81" s="32">
        <f t="shared" si="27"/>
        <v>0</v>
      </c>
      <c r="AZ81" s="30"/>
      <c r="BA81" s="63"/>
      <c r="BB81" s="71"/>
      <c r="BC81" s="71"/>
      <c r="BD81" s="71"/>
    </row>
    <row r="82" spans="1:56" x14ac:dyDescent="0.25">
      <c r="A82" s="24" t="str">
        <f>IF(B82="","",SUBTOTAL(3,$B$4:B82))</f>
        <v/>
      </c>
      <c r="B82" s="25"/>
      <c r="C82" s="25" t="str">
        <f t="shared" si="19"/>
        <v xml:space="preserve"> </v>
      </c>
      <c r="D82" s="25"/>
      <c r="E82" s="25"/>
      <c r="F82" s="25"/>
      <c r="G82" s="65"/>
      <c r="H82" s="25"/>
      <c r="I82" s="25"/>
      <c r="J82" s="26"/>
      <c r="K82" s="27"/>
      <c r="L82" s="28"/>
      <c r="M82" s="28"/>
      <c r="N82" s="25"/>
      <c r="O82" s="29"/>
      <c r="P82" s="29"/>
      <c r="Q82" s="25"/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20"/>
        <v>0</v>
      </c>
      <c r="AF82" s="32">
        <f t="shared" si="21"/>
        <v>0</v>
      </c>
      <c r="AG82" s="30"/>
      <c r="AH82" s="33"/>
      <c r="AI82" s="34">
        <f t="shared" si="22"/>
        <v>0</v>
      </c>
      <c r="AJ82" s="35"/>
      <c r="AK82" s="30"/>
      <c r="AL82" s="36">
        <f t="shared" si="23"/>
        <v>0</v>
      </c>
      <c r="AM82" s="35"/>
      <c r="AN82" s="30"/>
      <c r="AO82" s="36">
        <f t="shared" si="24"/>
        <v>0</v>
      </c>
      <c r="AP82" s="35"/>
      <c r="AQ82" s="30"/>
      <c r="AR82" s="36">
        <f t="shared" si="25"/>
        <v>0</v>
      </c>
      <c r="AS82" s="27"/>
      <c r="AT82" s="37"/>
      <c r="AU82" s="30"/>
      <c r="AV82" s="36">
        <f t="shared" si="26"/>
        <v>0</v>
      </c>
      <c r="AW82" s="35"/>
      <c r="AX82" s="30"/>
      <c r="AY82" s="32">
        <f t="shared" si="27"/>
        <v>0</v>
      </c>
      <c r="AZ82" s="30"/>
      <c r="BA82" s="63"/>
      <c r="BB82" s="71"/>
      <c r="BC82" s="71"/>
      <c r="BD82" s="71"/>
    </row>
    <row r="83" spans="1:56" x14ac:dyDescent="0.25">
      <c r="A83" s="24" t="str">
        <f>IF(B83="","",SUBTOTAL(3,$B$4:B83))</f>
        <v/>
      </c>
      <c r="B83" s="25"/>
      <c r="C83" s="25" t="str">
        <f t="shared" si="19"/>
        <v xml:space="preserve"> </v>
      </c>
      <c r="D83" s="25"/>
      <c r="E83" s="25"/>
      <c r="F83" s="25"/>
      <c r="G83" s="65"/>
      <c r="H83" s="25"/>
      <c r="I83" s="25"/>
      <c r="J83" s="26"/>
      <c r="K83" s="27"/>
      <c r="L83" s="28"/>
      <c r="M83" s="28"/>
      <c r="N83" s="25"/>
      <c r="O83" s="29"/>
      <c r="P83" s="29"/>
      <c r="Q83" s="25"/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20"/>
        <v>0</v>
      </c>
      <c r="AF83" s="32">
        <f t="shared" si="21"/>
        <v>0</v>
      </c>
      <c r="AG83" s="30"/>
      <c r="AH83" s="33"/>
      <c r="AI83" s="34">
        <f t="shared" si="22"/>
        <v>0</v>
      </c>
      <c r="AJ83" s="35"/>
      <c r="AK83" s="30"/>
      <c r="AL83" s="36">
        <f t="shared" si="23"/>
        <v>0</v>
      </c>
      <c r="AM83" s="35"/>
      <c r="AN83" s="30"/>
      <c r="AO83" s="36">
        <f t="shared" si="24"/>
        <v>0</v>
      </c>
      <c r="AP83" s="35"/>
      <c r="AQ83" s="30"/>
      <c r="AR83" s="36">
        <f t="shared" si="25"/>
        <v>0</v>
      </c>
      <c r="AS83" s="27"/>
      <c r="AT83" s="37"/>
      <c r="AU83" s="30"/>
      <c r="AV83" s="36">
        <f t="shared" si="26"/>
        <v>0</v>
      </c>
      <c r="AW83" s="35"/>
      <c r="AX83" s="30"/>
      <c r="AY83" s="32">
        <f t="shared" si="27"/>
        <v>0</v>
      </c>
      <c r="AZ83" s="30"/>
      <c r="BA83" s="63"/>
      <c r="BB83" s="71"/>
      <c r="BC83" s="71"/>
      <c r="BD83" s="71"/>
    </row>
    <row r="84" spans="1:56" x14ac:dyDescent="0.25">
      <c r="A84" s="24" t="str">
        <f>IF(B84="","",SUBTOTAL(3,$B$4:B84))</f>
        <v/>
      </c>
      <c r="B84" s="25"/>
      <c r="C84" s="25" t="str">
        <f t="shared" si="0"/>
        <v xml:space="preserve"> </v>
      </c>
      <c r="D84" s="25"/>
      <c r="E84" s="25"/>
      <c r="F84" s="25"/>
      <c r="G84" s="65"/>
      <c r="H84" s="25"/>
      <c r="I84" s="25"/>
      <c r="J84" s="26"/>
      <c r="K84" s="24"/>
      <c r="L84" s="25"/>
      <c r="M84" s="28"/>
      <c r="N84" s="25"/>
      <c r="O84" s="29"/>
      <c r="P84" s="29"/>
      <c r="Q84" s="25"/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1"/>
        <v>0</v>
      </c>
      <c r="AF84" s="32">
        <f t="shared" si="2"/>
        <v>0</v>
      </c>
      <c r="AG84" s="30"/>
      <c r="AH84" s="33"/>
      <c r="AI84" s="34">
        <f t="shared" si="3"/>
        <v>0</v>
      </c>
      <c r="AJ84" s="35"/>
      <c r="AK84" s="30"/>
      <c r="AL84" s="36">
        <f t="shared" si="4"/>
        <v>0</v>
      </c>
      <c r="AM84" s="35"/>
      <c r="AN84" s="30"/>
      <c r="AO84" s="36">
        <f t="shared" si="5"/>
        <v>0</v>
      </c>
      <c r="AP84" s="35"/>
      <c r="AQ84" s="30"/>
      <c r="AR84" s="36">
        <f t="shared" si="6"/>
        <v>0</v>
      </c>
      <c r="AS84" s="27"/>
      <c r="AT84" s="37"/>
      <c r="AU84" s="30"/>
      <c r="AV84" s="36">
        <f t="shared" si="7"/>
        <v>0</v>
      </c>
      <c r="AW84" s="35"/>
      <c r="AX84" s="30"/>
      <c r="AY84" s="32">
        <f t="shared" si="8"/>
        <v>0</v>
      </c>
      <c r="AZ84" s="30"/>
      <c r="BA84" s="63"/>
      <c r="BB84" s="71"/>
      <c r="BC84" s="71"/>
      <c r="BD84" s="71"/>
    </row>
    <row r="85" spans="1:56" x14ac:dyDescent="0.25">
      <c r="A85" s="24" t="str">
        <f>IF(B85="","",SUBTOTAL(3,$B$4:B85))</f>
        <v/>
      </c>
      <c r="B85" s="25"/>
      <c r="C85" s="25" t="str">
        <f t="shared" si="0"/>
        <v xml:space="preserve"> </v>
      </c>
      <c r="D85" s="25"/>
      <c r="E85" s="25"/>
      <c r="F85" s="25"/>
      <c r="G85" s="65"/>
      <c r="H85" s="25"/>
      <c r="I85" s="25"/>
      <c r="J85" s="26"/>
      <c r="K85" s="24"/>
      <c r="L85" s="25"/>
      <c r="M85" s="28"/>
      <c r="N85" s="25"/>
      <c r="O85" s="29"/>
      <c r="P85" s="29"/>
      <c r="Q85" s="25"/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1"/>
        <v>0</v>
      </c>
      <c r="AF85" s="32">
        <f t="shared" si="2"/>
        <v>0</v>
      </c>
      <c r="AG85" s="30"/>
      <c r="AH85" s="33"/>
      <c r="AI85" s="34">
        <f t="shared" si="3"/>
        <v>0</v>
      </c>
      <c r="AJ85" s="35"/>
      <c r="AK85" s="30"/>
      <c r="AL85" s="36">
        <f t="shared" si="4"/>
        <v>0</v>
      </c>
      <c r="AM85" s="35"/>
      <c r="AN85" s="30"/>
      <c r="AO85" s="36">
        <f t="shared" si="5"/>
        <v>0</v>
      </c>
      <c r="AP85" s="35"/>
      <c r="AQ85" s="30"/>
      <c r="AR85" s="36">
        <f t="shared" si="6"/>
        <v>0</v>
      </c>
      <c r="AS85" s="27"/>
      <c r="AT85" s="37"/>
      <c r="AU85" s="30"/>
      <c r="AV85" s="36">
        <f t="shared" si="7"/>
        <v>0</v>
      </c>
      <c r="AW85" s="35"/>
      <c r="AX85" s="30"/>
      <c r="AY85" s="32">
        <f t="shared" si="8"/>
        <v>0</v>
      </c>
      <c r="AZ85" s="30"/>
      <c r="BA85" s="63"/>
      <c r="BB85" s="71"/>
      <c r="BC85" s="71"/>
      <c r="BD85" s="71"/>
    </row>
    <row r="86" spans="1:56" x14ac:dyDescent="0.25">
      <c r="A86" s="24" t="str">
        <f>IF(B86="","",SUBTOTAL(3,$B$4:B86))</f>
        <v/>
      </c>
      <c r="B86" s="25"/>
      <c r="C86" s="25" t="str">
        <f t="shared" si="0"/>
        <v xml:space="preserve"> </v>
      </c>
      <c r="D86" s="25"/>
      <c r="E86" s="25"/>
      <c r="F86" s="25"/>
      <c r="G86" s="65"/>
      <c r="H86" s="25"/>
      <c r="I86" s="25"/>
      <c r="J86" s="26"/>
      <c r="K86" s="24"/>
      <c r="L86" s="25"/>
      <c r="M86" s="28"/>
      <c r="N86" s="25"/>
      <c r="O86" s="29"/>
      <c r="P86" s="29"/>
      <c r="Q86" s="25"/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1"/>
        <v>0</v>
      </c>
      <c r="AF86" s="32">
        <f t="shared" si="2"/>
        <v>0</v>
      </c>
      <c r="AG86" s="30"/>
      <c r="AH86" s="33"/>
      <c r="AI86" s="34">
        <f t="shared" si="3"/>
        <v>0</v>
      </c>
      <c r="AJ86" s="35"/>
      <c r="AK86" s="30"/>
      <c r="AL86" s="36">
        <f t="shared" si="4"/>
        <v>0</v>
      </c>
      <c r="AM86" s="35"/>
      <c r="AN86" s="30"/>
      <c r="AO86" s="36">
        <f t="shared" si="5"/>
        <v>0</v>
      </c>
      <c r="AP86" s="35"/>
      <c r="AQ86" s="30"/>
      <c r="AR86" s="36">
        <f t="shared" si="6"/>
        <v>0</v>
      </c>
      <c r="AS86" s="27"/>
      <c r="AT86" s="37"/>
      <c r="AU86" s="30"/>
      <c r="AV86" s="36">
        <f t="shared" si="7"/>
        <v>0</v>
      </c>
      <c r="AW86" s="35"/>
      <c r="AX86" s="30"/>
      <c r="AY86" s="32">
        <f t="shared" si="8"/>
        <v>0</v>
      </c>
      <c r="AZ86" s="30"/>
      <c r="BA86" s="63"/>
      <c r="BB86" s="71"/>
      <c r="BC86" s="71"/>
      <c r="BD86" s="71"/>
    </row>
    <row r="87" spans="1:56" x14ac:dyDescent="0.25">
      <c r="A87" s="24" t="str">
        <f>IF(B87="","",SUBTOTAL(3,$B$4:B87))</f>
        <v/>
      </c>
      <c r="B87" s="25"/>
      <c r="C87" s="25" t="str">
        <f t="shared" si="0"/>
        <v xml:space="preserve"> </v>
      </c>
      <c r="D87" s="25"/>
      <c r="E87" s="25"/>
      <c r="F87" s="25"/>
      <c r="G87" s="65"/>
      <c r="H87" s="25"/>
      <c r="I87" s="25"/>
      <c r="J87" s="26"/>
      <c r="K87" s="24"/>
      <c r="L87" s="25"/>
      <c r="M87" s="28"/>
      <c r="N87" s="25"/>
      <c r="O87" s="29"/>
      <c r="P87" s="29"/>
      <c r="Q87" s="25"/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1"/>
        <v>0</v>
      </c>
      <c r="AF87" s="32">
        <f t="shared" si="2"/>
        <v>0</v>
      </c>
      <c r="AG87" s="30"/>
      <c r="AH87" s="33"/>
      <c r="AI87" s="34">
        <f t="shared" si="3"/>
        <v>0</v>
      </c>
      <c r="AJ87" s="35"/>
      <c r="AK87" s="30"/>
      <c r="AL87" s="36">
        <f t="shared" si="4"/>
        <v>0</v>
      </c>
      <c r="AM87" s="35"/>
      <c r="AN87" s="30"/>
      <c r="AO87" s="36">
        <f t="shared" si="5"/>
        <v>0</v>
      </c>
      <c r="AP87" s="35"/>
      <c r="AQ87" s="30"/>
      <c r="AR87" s="36">
        <f t="shared" si="6"/>
        <v>0</v>
      </c>
      <c r="AS87" s="27"/>
      <c r="AT87" s="37"/>
      <c r="AU87" s="30"/>
      <c r="AV87" s="36">
        <f t="shared" si="7"/>
        <v>0</v>
      </c>
      <c r="AW87" s="35"/>
      <c r="AX87" s="30"/>
      <c r="AY87" s="32">
        <f t="shared" si="8"/>
        <v>0</v>
      </c>
      <c r="AZ87" s="30"/>
      <c r="BA87" s="63"/>
      <c r="BB87" s="71"/>
      <c r="BC87" s="71"/>
      <c r="BD87" s="71"/>
    </row>
    <row r="88" spans="1:56" x14ac:dyDescent="0.25">
      <c r="A88" s="24" t="str">
        <f>IF(B88="","",SUBTOTAL(3,$B$4:B88))</f>
        <v/>
      </c>
      <c r="B88" s="25"/>
      <c r="C88" s="25" t="str">
        <f t="shared" si="0"/>
        <v xml:space="preserve"> </v>
      </c>
      <c r="D88" s="25"/>
      <c r="E88" s="25"/>
      <c r="F88" s="25"/>
      <c r="G88" s="65"/>
      <c r="H88" s="25"/>
      <c r="I88" s="25"/>
      <c r="J88" s="26"/>
      <c r="K88" s="24"/>
      <c r="L88" s="25"/>
      <c r="M88" s="28"/>
      <c r="N88" s="25"/>
      <c r="O88" s="29"/>
      <c r="P88" s="29"/>
      <c r="Q88" s="25"/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1"/>
        <v>0</v>
      </c>
      <c r="AF88" s="32">
        <f t="shared" si="2"/>
        <v>0</v>
      </c>
      <c r="AG88" s="30"/>
      <c r="AH88" s="33"/>
      <c r="AI88" s="34">
        <f t="shared" si="3"/>
        <v>0</v>
      </c>
      <c r="AJ88" s="35"/>
      <c r="AK88" s="30"/>
      <c r="AL88" s="36">
        <f t="shared" si="4"/>
        <v>0</v>
      </c>
      <c r="AM88" s="35"/>
      <c r="AN88" s="30"/>
      <c r="AO88" s="36">
        <f t="shared" si="5"/>
        <v>0</v>
      </c>
      <c r="AP88" s="35"/>
      <c r="AQ88" s="30"/>
      <c r="AR88" s="36">
        <f t="shared" si="6"/>
        <v>0</v>
      </c>
      <c r="AS88" s="27"/>
      <c r="AT88" s="37"/>
      <c r="AU88" s="30"/>
      <c r="AV88" s="36">
        <f t="shared" si="7"/>
        <v>0</v>
      </c>
      <c r="AW88" s="35"/>
      <c r="AX88" s="30"/>
      <c r="AY88" s="32">
        <f t="shared" si="8"/>
        <v>0</v>
      </c>
      <c r="AZ88" s="30"/>
      <c r="BA88" s="63"/>
      <c r="BB88" s="71"/>
      <c r="BC88" s="71"/>
      <c r="BD88" s="71"/>
    </row>
    <row r="89" spans="1:56" x14ac:dyDescent="0.25">
      <c r="A89" s="24" t="str">
        <f>IF(B89="","",SUBTOTAL(3,$B$4:B89))</f>
        <v/>
      </c>
      <c r="B89" s="25"/>
      <c r="C89" s="25" t="str">
        <f t="shared" si="0"/>
        <v xml:space="preserve"> </v>
      </c>
      <c r="D89" s="25"/>
      <c r="E89" s="25"/>
      <c r="F89" s="25"/>
      <c r="G89" s="65"/>
      <c r="H89" s="25"/>
      <c r="I89" s="25"/>
      <c r="J89" s="26"/>
      <c r="K89" s="24"/>
      <c r="L89" s="25"/>
      <c r="M89" s="28"/>
      <c r="N89" s="25"/>
      <c r="O89" s="29"/>
      <c r="P89" s="29"/>
      <c r="Q89" s="25"/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1"/>
        <v>0</v>
      </c>
      <c r="AF89" s="32">
        <f t="shared" si="2"/>
        <v>0</v>
      </c>
      <c r="AG89" s="30"/>
      <c r="AH89" s="33"/>
      <c r="AI89" s="34">
        <f t="shared" si="3"/>
        <v>0</v>
      </c>
      <c r="AJ89" s="35"/>
      <c r="AK89" s="30"/>
      <c r="AL89" s="36">
        <f t="shared" si="4"/>
        <v>0</v>
      </c>
      <c r="AM89" s="35"/>
      <c r="AN89" s="30"/>
      <c r="AO89" s="36">
        <f t="shared" si="5"/>
        <v>0</v>
      </c>
      <c r="AP89" s="35"/>
      <c r="AQ89" s="30"/>
      <c r="AR89" s="36">
        <f t="shared" si="6"/>
        <v>0</v>
      </c>
      <c r="AS89" s="27"/>
      <c r="AT89" s="37"/>
      <c r="AU89" s="30"/>
      <c r="AV89" s="36">
        <f t="shared" si="7"/>
        <v>0</v>
      </c>
      <c r="AW89" s="35"/>
      <c r="AX89" s="30"/>
      <c r="AY89" s="32">
        <f t="shared" si="8"/>
        <v>0</v>
      </c>
      <c r="AZ89" s="30"/>
      <c r="BA89" s="63"/>
      <c r="BB89" s="71"/>
      <c r="BC89" s="71"/>
      <c r="BD89" s="71"/>
    </row>
    <row r="90" spans="1:56" x14ac:dyDescent="0.25">
      <c r="A90" s="24" t="str">
        <f>IF(B90="","",SUBTOTAL(3,$B$4:B90))</f>
        <v/>
      </c>
      <c r="B90" s="25"/>
      <c r="C90" s="25" t="str">
        <f t="shared" si="0"/>
        <v xml:space="preserve"> </v>
      </c>
      <c r="D90" s="25"/>
      <c r="E90" s="25"/>
      <c r="F90" s="25"/>
      <c r="G90" s="65"/>
      <c r="H90" s="25"/>
      <c r="I90" s="25"/>
      <c r="J90" s="26"/>
      <c r="K90" s="24"/>
      <c r="L90" s="25"/>
      <c r="M90" s="28"/>
      <c r="N90" s="25"/>
      <c r="O90" s="29"/>
      <c r="P90" s="29"/>
      <c r="Q90" s="25"/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1"/>
        <v>0</v>
      </c>
      <c r="AF90" s="32">
        <f t="shared" si="2"/>
        <v>0</v>
      </c>
      <c r="AG90" s="30"/>
      <c r="AH90" s="33"/>
      <c r="AI90" s="34">
        <f t="shared" si="3"/>
        <v>0</v>
      </c>
      <c r="AJ90" s="35"/>
      <c r="AK90" s="30"/>
      <c r="AL90" s="36">
        <f t="shared" si="4"/>
        <v>0</v>
      </c>
      <c r="AM90" s="35"/>
      <c r="AN90" s="30"/>
      <c r="AO90" s="36">
        <f t="shared" si="5"/>
        <v>0</v>
      </c>
      <c r="AP90" s="35"/>
      <c r="AQ90" s="30"/>
      <c r="AR90" s="36">
        <f t="shared" si="6"/>
        <v>0</v>
      </c>
      <c r="AS90" s="27"/>
      <c r="AT90" s="37"/>
      <c r="AU90" s="30"/>
      <c r="AV90" s="36">
        <f t="shared" si="7"/>
        <v>0</v>
      </c>
      <c r="AW90" s="35"/>
      <c r="AX90" s="30"/>
      <c r="AY90" s="32">
        <f t="shared" si="8"/>
        <v>0</v>
      </c>
      <c r="AZ90" s="30"/>
      <c r="BA90" s="63"/>
      <c r="BB90" s="71"/>
      <c r="BC90" s="71"/>
      <c r="BD90" s="71"/>
    </row>
    <row r="91" spans="1:56" x14ac:dyDescent="0.25">
      <c r="A91" s="24" t="str">
        <f>IF(B91="","",SUBTOTAL(3,$B$4:B91))</f>
        <v/>
      </c>
      <c r="B91" s="25"/>
      <c r="C91" s="25" t="str">
        <f t="shared" si="0"/>
        <v xml:space="preserve"> </v>
      </c>
      <c r="D91" s="25"/>
      <c r="E91" s="25"/>
      <c r="F91" s="25"/>
      <c r="G91" s="65"/>
      <c r="H91" s="25"/>
      <c r="I91" s="25"/>
      <c r="J91" s="26"/>
      <c r="K91" s="24"/>
      <c r="L91" s="25"/>
      <c r="M91" s="28"/>
      <c r="N91" s="25"/>
      <c r="O91" s="29"/>
      <c r="P91" s="29"/>
      <c r="Q91" s="25"/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1"/>
        <v>0</v>
      </c>
      <c r="AF91" s="32">
        <f t="shared" si="2"/>
        <v>0</v>
      </c>
      <c r="AG91" s="30"/>
      <c r="AH91" s="33"/>
      <c r="AI91" s="34">
        <f t="shared" si="3"/>
        <v>0</v>
      </c>
      <c r="AJ91" s="35"/>
      <c r="AK91" s="30"/>
      <c r="AL91" s="36">
        <f t="shared" si="4"/>
        <v>0</v>
      </c>
      <c r="AM91" s="35"/>
      <c r="AN91" s="30"/>
      <c r="AO91" s="36">
        <f t="shared" si="5"/>
        <v>0</v>
      </c>
      <c r="AP91" s="35"/>
      <c r="AQ91" s="30"/>
      <c r="AR91" s="36">
        <f t="shared" si="6"/>
        <v>0</v>
      </c>
      <c r="AS91" s="27"/>
      <c r="AT91" s="37"/>
      <c r="AU91" s="30"/>
      <c r="AV91" s="36">
        <f t="shared" si="7"/>
        <v>0</v>
      </c>
      <c r="AW91" s="35"/>
      <c r="AX91" s="30"/>
      <c r="AY91" s="32">
        <f t="shared" si="8"/>
        <v>0</v>
      </c>
      <c r="AZ91" s="30"/>
      <c r="BA91" s="63"/>
      <c r="BB91" s="71"/>
      <c r="BC91" s="71"/>
      <c r="BD91" s="71"/>
    </row>
    <row r="92" spans="1:56" x14ac:dyDescent="0.25">
      <c r="A92" s="24" t="str">
        <f>IF(B92="","",SUBTOTAL(3,$B$4:B92))</f>
        <v/>
      </c>
      <c r="B92" s="25"/>
      <c r="C92" s="25" t="str">
        <f t="shared" si="0"/>
        <v xml:space="preserve"> </v>
      </c>
      <c r="D92" s="25"/>
      <c r="E92" s="25"/>
      <c r="F92" s="25"/>
      <c r="G92" s="65"/>
      <c r="H92" s="25"/>
      <c r="I92" s="25"/>
      <c r="J92" s="26"/>
      <c r="K92" s="24"/>
      <c r="L92" s="25"/>
      <c r="M92" s="28"/>
      <c r="N92" s="25"/>
      <c r="O92" s="29"/>
      <c r="P92" s="29"/>
      <c r="Q92" s="25"/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1"/>
        <v>0</v>
      </c>
      <c r="AF92" s="32">
        <f t="shared" si="2"/>
        <v>0</v>
      </c>
      <c r="AG92" s="30"/>
      <c r="AH92" s="33"/>
      <c r="AI92" s="34">
        <f t="shared" si="3"/>
        <v>0</v>
      </c>
      <c r="AJ92" s="35"/>
      <c r="AK92" s="30"/>
      <c r="AL92" s="36">
        <f t="shared" si="4"/>
        <v>0</v>
      </c>
      <c r="AM92" s="35"/>
      <c r="AN92" s="30"/>
      <c r="AO92" s="36">
        <f t="shared" si="5"/>
        <v>0</v>
      </c>
      <c r="AP92" s="35"/>
      <c r="AQ92" s="30"/>
      <c r="AR92" s="36">
        <f t="shared" si="6"/>
        <v>0</v>
      </c>
      <c r="AS92" s="27"/>
      <c r="AT92" s="37"/>
      <c r="AU92" s="30"/>
      <c r="AV92" s="36">
        <f t="shared" si="7"/>
        <v>0</v>
      </c>
      <c r="AW92" s="35"/>
      <c r="AX92" s="30"/>
      <c r="AY92" s="32">
        <f t="shared" si="8"/>
        <v>0</v>
      </c>
      <c r="AZ92" s="30"/>
      <c r="BA92" s="63"/>
      <c r="BB92" s="71"/>
      <c r="BC92" s="71"/>
      <c r="BD92" s="71"/>
    </row>
    <row r="93" spans="1:56" x14ac:dyDescent="0.25">
      <c r="A93" s="24" t="str">
        <f>IF(B93="","",SUBTOTAL(3,$B$4:B93))</f>
        <v/>
      </c>
      <c r="B93" s="25"/>
      <c r="C93" s="25" t="str">
        <f t="shared" si="0"/>
        <v xml:space="preserve"> </v>
      </c>
      <c r="D93" s="25"/>
      <c r="E93" s="25"/>
      <c r="F93" s="25"/>
      <c r="G93" s="65"/>
      <c r="H93" s="25"/>
      <c r="I93" s="25"/>
      <c r="J93" s="26"/>
      <c r="K93" s="24"/>
      <c r="L93" s="25"/>
      <c r="M93" s="28"/>
      <c r="N93" s="25"/>
      <c r="O93" s="29"/>
      <c r="P93" s="29"/>
      <c r="Q93" s="25"/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1"/>
        <v>0</v>
      </c>
      <c r="AF93" s="32">
        <f t="shared" si="2"/>
        <v>0</v>
      </c>
      <c r="AG93" s="30"/>
      <c r="AH93" s="33"/>
      <c r="AI93" s="34">
        <f t="shared" si="3"/>
        <v>0</v>
      </c>
      <c r="AJ93" s="35"/>
      <c r="AK93" s="30"/>
      <c r="AL93" s="36">
        <f t="shared" si="4"/>
        <v>0</v>
      </c>
      <c r="AM93" s="35"/>
      <c r="AN93" s="30"/>
      <c r="AO93" s="36">
        <f t="shared" si="5"/>
        <v>0</v>
      </c>
      <c r="AP93" s="35"/>
      <c r="AQ93" s="30"/>
      <c r="AR93" s="36">
        <f t="shared" si="6"/>
        <v>0</v>
      </c>
      <c r="AS93" s="27"/>
      <c r="AT93" s="37"/>
      <c r="AU93" s="30"/>
      <c r="AV93" s="36">
        <f t="shared" si="7"/>
        <v>0</v>
      </c>
      <c r="AW93" s="35"/>
      <c r="AX93" s="30"/>
      <c r="AY93" s="32">
        <f t="shared" si="8"/>
        <v>0</v>
      </c>
      <c r="AZ93" s="30"/>
      <c r="BA93" s="63"/>
      <c r="BB93" s="71"/>
      <c r="BC93" s="71"/>
      <c r="BD93" s="71"/>
    </row>
    <row r="94" spans="1:56" ht="16.5" thickBot="1" x14ac:dyDescent="0.3">
      <c r="A94" s="38" t="str">
        <f>IF(B94="","",SUBTOTAL(3,$B$4:B94))</f>
        <v/>
      </c>
      <c r="B94" s="39"/>
      <c r="C94" s="39" t="str">
        <f t="shared" si="0"/>
        <v xml:space="preserve"> </v>
      </c>
      <c r="D94" s="39"/>
      <c r="E94" s="39"/>
      <c r="F94" s="39"/>
      <c r="G94" s="66"/>
      <c r="H94" s="39"/>
      <c r="I94" s="39"/>
      <c r="J94" s="40"/>
      <c r="K94" s="38"/>
      <c r="L94" s="39"/>
      <c r="M94" s="42"/>
      <c r="N94" s="39"/>
      <c r="O94" s="43"/>
      <c r="P94" s="43"/>
      <c r="Q94" s="39"/>
      <c r="R94" s="39"/>
      <c r="S94" s="40"/>
      <c r="T94" s="38"/>
      <c r="U94" s="41"/>
      <c r="V94" s="41"/>
      <c r="W94" s="41"/>
      <c r="X94" s="66"/>
      <c r="Y94" s="46"/>
      <c r="Z94" s="41"/>
      <c r="AA94" s="46"/>
      <c r="AB94" s="41"/>
      <c r="AC94" s="41"/>
      <c r="AD94" s="69"/>
      <c r="AE94" s="55">
        <f t="shared" si="1"/>
        <v>0</v>
      </c>
      <c r="AF94" s="47">
        <f t="shared" si="2"/>
        <v>0</v>
      </c>
      <c r="AG94" s="41"/>
      <c r="AH94" s="56"/>
      <c r="AI94" s="57">
        <f t="shared" si="3"/>
        <v>0</v>
      </c>
      <c r="AJ94" s="44"/>
      <c r="AK94" s="41"/>
      <c r="AL94" s="45">
        <f t="shared" si="4"/>
        <v>0</v>
      </c>
      <c r="AM94" s="44"/>
      <c r="AN94" s="41"/>
      <c r="AO94" s="45">
        <f t="shared" si="5"/>
        <v>0</v>
      </c>
      <c r="AP94" s="44"/>
      <c r="AQ94" s="41"/>
      <c r="AR94" s="45">
        <f t="shared" si="6"/>
        <v>0</v>
      </c>
      <c r="AS94" s="62"/>
      <c r="AT94" s="46"/>
      <c r="AU94" s="41"/>
      <c r="AV94" s="45">
        <f t="shared" si="7"/>
        <v>0</v>
      </c>
      <c r="AW94" s="44"/>
      <c r="AX94" s="41"/>
      <c r="AY94" s="47">
        <f t="shared" si="8"/>
        <v>0</v>
      </c>
      <c r="AZ94" s="41"/>
      <c r="BA94" s="64"/>
      <c r="BB94" s="71"/>
      <c r="BC94" s="71"/>
      <c r="BD94" s="71"/>
    </row>
    <row r="95" spans="1:56" ht="16.5" thickTop="1" x14ac:dyDescent="0.25"/>
  </sheetData>
  <autoFilter ref="A3:BD94" xr:uid="{334E9545-4D7F-4FF2-AE79-B0165FA68616}"/>
  <conditionalFormatting sqref="A4:AG94 AJ4:AL94">
    <cfRule type="expression" dxfId="5" priority="2">
      <formula>$AK4=$N4</formula>
    </cfRule>
  </conditionalFormatting>
  <conditionalFormatting sqref="AH4:AI94">
    <cfRule type="expression" dxfId="4" priority="1">
      <formula>$AH4=1</formula>
    </cfRule>
  </conditionalFormatting>
  <conditionalFormatting sqref="AM4:AO94">
    <cfRule type="expression" dxfId="3" priority="3">
      <formula>$AN4=$N4</formula>
    </cfRule>
  </conditionalFormatting>
  <conditionalFormatting sqref="AP4:AR94">
    <cfRule type="expression" dxfId="2" priority="4">
      <formula>$AQ4=$N4</formula>
    </cfRule>
  </conditionalFormatting>
  <conditionalFormatting sqref="AS4:AV94">
    <cfRule type="expression" dxfId="1" priority="5">
      <formula>$AU4=$N4</formula>
    </cfRule>
  </conditionalFormatting>
  <conditionalFormatting sqref="AW4:BA94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2026-10-19T01:47:45Z</dcterms:modified>
</cp:coreProperties>
</file>