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149D26A9-C5D1-47E7-A489-998AFD606F24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Progress!$A$3:$BD$41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9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0" i="1" l="1"/>
  <c r="AY29" i="1"/>
  <c r="AY28" i="1"/>
  <c r="AY27" i="1"/>
  <c r="AY25" i="1"/>
  <c r="AY24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BB26" i="1"/>
  <c r="AY21" i="1"/>
  <c r="AY22" i="1"/>
  <c r="AY23" i="1"/>
  <c r="AR21" i="1"/>
  <c r="AR22" i="1"/>
  <c r="AR23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A1" i="1"/>
  <c r="BA2" i="1" s="1"/>
  <c r="AS2" i="1" l="1"/>
  <c r="AY41" i="1"/>
  <c r="AV41" i="1"/>
  <c r="AR41" i="1"/>
  <c r="AO41" i="1"/>
  <c r="AL41" i="1"/>
  <c r="AI41" i="1"/>
  <c r="A41" i="1"/>
  <c r="AY40" i="1"/>
  <c r="AV40" i="1"/>
  <c r="AR40" i="1"/>
  <c r="AO40" i="1"/>
  <c r="AL40" i="1"/>
  <c r="AI40" i="1"/>
  <c r="A40" i="1"/>
  <c r="AY39" i="1"/>
  <c r="AV39" i="1"/>
  <c r="AR39" i="1"/>
  <c r="AO39" i="1"/>
  <c r="AL39" i="1"/>
  <c r="AI39" i="1"/>
  <c r="A39" i="1"/>
  <c r="AY38" i="1"/>
  <c r="AV38" i="1"/>
  <c r="AR38" i="1"/>
  <c r="AO38" i="1"/>
  <c r="AL38" i="1"/>
  <c r="AI38" i="1"/>
  <c r="A38" i="1"/>
  <c r="AY37" i="1"/>
  <c r="AV37" i="1"/>
  <c r="AR37" i="1"/>
  <c r="AO37" i="1"/>
  <c r="AL37" i="1"/>
  <c r="AI37" i="1"/>
  <c r="A37" i="1"/>
  <c r="AY36" i="1"/>
  <c r="AV36" i="1"/>
  <c r="AR36" i="1"/>
  <c r="AO36" i="1"/>
  <c r="AL36" i="1"/>
  <c r="AI36" i="1"/>
  <c r="A36" i="1"/>
  <c r="AY35" i="1"/>
  <c r="AV35" i="1"/>
  <c r="AR35" i="1"/>
  <c r="AO35" i="1"/>
  <c r="AL35" i="1"/>
  <c r="AI35" i="1"/>
  <c r="A35" i="1"/>
  <c r="AY34" i="1"/>
  <c r="AV34" i="1"/>
  <c r="AR34" i="1"/>
  <c r="AO34" i="1"/>
  <c r="AL34" i="1"/>
  <c r="AI34" i="1"/>
  <c r="A34" i="1"/>
  <c r="AY33" i="1"/>
  <c r="AV33" i="1"/>
  <c r="AR33" i="1"/>
  <c r="AO33" i="1"/>
  <c r="AL33" i="1"/>
  <c r="AI33" i="1"/>
  <c r="A33" i="1"/>
  <c r="AY32" i="1"/>
  <c r="AV32" i="1"/>
  <c r="AR32" i="1"/>
  <c r="AO32" i="1"/>
  <c r="AL32" i="1"/>
  <c r="AI32" i="1"/>
  <c r="A32" i="1"/>
  <c r="AY31" i="1"/>
  <c r="AV31" i="1"/>
  <c r="AR31" i="1"/>
  <c r="AO31" i="1"/>
  <c r="AL31" i="1"/>
  <c r="AI31" i="1"/>
  <c r="A31" i="1"/>
  <c r="AV30" i="1"/>
  <c r="AR30" i="1"/>
  <c r="AO30" i="1"/>
  <c r="AL30" i="1"/>
  <c r="AI30" i="1"/>
  <c r="A30" i="1"/>
  <c r="AV29" i="1"/>
  <c r="AR29" i="1"/>
  <c r="AO29" i="1"/>
  <c r="AL29" i="1"/>
  <c r="AI29" i="1"/>
  <c r="A29" i="1"/>
  <c r="AV28" i="1"/>
  <c r="AR28" i="1"/>
  <c r="AO28" i="1"/>
  <c r="AL28" i="1"/>
  <c r="AI28" i="1"/>
  <c r="A28" i="1"/>
  <c r="AV27" i="1"/>
  <c r="AR27" i="1"/>
  <c r="AO27" i="1"/>
  <c r="AL27" i="1"/>
  <c r="AI27" i="1"/>
  <c r="A27" i="1"/>
  <c r="AY26" i="1"/>
  <c r="AV26" i="1"/>
  <c r="AR26" i="1"/>
  <c r="AO26" i="1"/>
  <c r="AL26" i="1"/>
  <c r="AI26" i="1"/>
  <c r="A26" i="1"/>
  <c r="AV25" i="1"/>
  <c r="AR25" i="1"/>
  <c r="AO25" i="1"/>
  <c r="AL25" i="1"/>
  <c r="AI25" i="1"/>
  <c r="A25" i="1"/>
  <c r="AV24" i="1"/>
  <c r="AR24" i="1"/>
  <c r="AO24" i="1"/>
  <c r="AL24" i="1"/>
  <c r="AI24" i="1"/>
  <c r="A24" i="1"/>
  <c r="AV23" i="1"/>
  <c r="AO23" i="1"/>
  <c r="AL23" i="1"/>
  <c r="AI23" i="1"/>
  <c r="A23" i="1"/>
  <c r="AV22" i="1"/>
  <c r="AO22" i="1"/>
  <c r="AL22" i="1"/>
  <c r="AI22" i="1"/>
  <c r="A22" i="1"/>
  <c r="AV21" i="1"/>
  <c r="AO21" i="1"/>
  <c r="AL21" i="1"/>
  <c r="AI21" i="1"/>
  <c r="A21" i="1"/>
  <c r="AY20" i="1"/>
  <c r="AV20" i="1"/>
  <c r="AR20" i="1"/>
  <c r="AO20" i="1"/>
  <c r="AL20" i="1"/>
  <c r="AI20" i="1"/>
  <c r="A20" i="1"/>
  <c r="AV19" i="1"/>
  <c r="AR19" i="1"/>
  <c r="AO19" i="1"/>
  <c r="AL19" i="1"/>
  <c r="AI19" i="1"/>
  <c r="A19" i="1"/>
  <c r="AV18" i="1"/>
  <c r="AR18" i="1"/>
  <c r="AO18" i="1"/>
  <c r="AL18" i="1"/>
  <c r="AI18" i="1"/>
  <c r="A18" i="1"/>
  <c r="AV17" i="1"/>
  <c r="AR17" i="1"/>
  <c r="AO17" i="1"/>
  <c r="AL17" i="1"/>
  <c r="AI17" i="1"/>
  <c r="A17" i="1"/>
  <c r="AV16" i="1"/>
  <c r="AR16" i="1"/>
  <c r="AO16" i="1"/>
  <c r="AL16" i="1"/>
  <c r="AI16" i="1"/>
  <c r="A16" i="1"/>
  <c r="AV15" i="1"/>
  <c r="AR15" i="1"/>
  <c r="AO15" i="1"/>
  <c r="AL15" i="1"/>
  <c r="AI15" i="1"/>
  <c r="A15" i="1"/>
  <c r="AV14" i="1"/>
  <c r="AR14" i="1"/>
  <c r="AO14" i="1"/>
  <c r="AL14" i="1"/>
  <c r="AI14" i="1"/>
  <c r="A14" i="1"/>
  <c r="AV13" i="1"/>
  <c r="AR13" i="1"/>
  <c r="AO13" i="1"/>
  <c r="AL13" i="1"/>
  <c r="AI13" i="1"/>
  <c r="A13" i="1"/>
  <c r="AV12" i="1"/>
  <c r="AR12" i="1"/>
  <c r="AO12" i="1"/>
  <c r="AL12" i="1"/>
  <c r="AI12" i="1"/>
  <c r="A12" i="1"/>
  <c r="AV11" i="1"/>
  <c r="AR11" i="1"/>
  <c r="AO11" i="1"/>
  <c r="AL11" i="1"/>
  <c r="AI11" i="1"/>
  <c r="A11" i="1"/>
  <c r="AV10" i="1"/>
  <c r="AR10" i="1"/>
  <c r="AO10" i="1"/>
  <c r="AL10" i="1"/>
  <c r="AI10" i="1"/>
  <c r="A10" i="1"/>
  <c r="AV9" i="1"/>
  <c r="AR9" i="1"/>
  <c r="AO9" i="1"/>
  <c r="AL9" i="1"/>
  <c r="AI9" i="1"/>
  <c r="A9" i="1"/>
  <c r="AV8" i="1"/>
  <c r="AR8" i="1"/>
  <c r="AO8" i="1"/>
  <c r="AL8" i="1"/>
  <c r="AI8" i="1"/>
  <c r="A8" i="1"/>
  <c r="AV7" i="1"/>
  <c r="AR7" i="1"/>
  <c r="AO7" i="1"/>
  <c r="AL7" i="1"/>
  <c r="AI7" i="1"/>
  <c r="A7" i="1"/>
  <c r="AV6" i="1"/>
  <c r="AR6" i="1"/>
  <c r="AO6" i="1"/>
  <c r="AL6" i="1"/>
  <c r="AI6" i="1"/>
  <c r="A6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27" i="1" l="1"/>
  <c r="AF27" i="1" s="1"/>
  <c r="AE34" i="1"/>
  <c r="AF34" i="1" s="1"/>
  <c r="AE7" i="1"/>
  <c r="AF7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23" i="1"/>
  <c r="AF23" i="1" s="1"/>
  <c r="AE33" i="1"/>
  <c r="AF33" i="1" s="1"/>
  <c r="AE32" i="1"/>
  <c r="AF32" i="1" s="1"/>
  <c r="AE19" i="1"/>
  <c r="AF19" i="1" s="1"/>
  <c r="AE20" i="1"/>
  <c r="AF20" i="1" s="1"/>
  <c r="AE22" i="1"/>
  <c r="AF22" i="1" s="1"/>
  <c r="AR2" i="1"/>
  <c r="AE41" i="1"/>
  <c r="AF41" i="1" s="1"/>
  <c r="AE21" i="1"/>
  <c r="AF21" i="1" s="1"/>
  <c r="AV2" i="1"/>
  <c r="AE29" i="1"/>
  <c r="AF29" i="1" s="1"/>
  <c r="AE40" i="1"/>
  <c r="AF40" i="1" s="1"/>
  <c r="AE38" i="1"/>
  <c r="AF38" i="1" s="1"/>
  <c r="AE24" i="1"/>
  <c r="AF24" i="1" s="1"/>
  <c r="AE25" i="1"/>
  <c r="AF25" i="1" s="1"/>
  <c r="AE26" i="1"/>
  <c r="AF26" i="1" s="1"/>
  <c r="AE30" i="1"/>
  <c r="AF30" i="1" s="1"/>
  <c r="AY2" i="1"/>
  <c r="AE39" i="1"/>
  <c r="AF39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28" i="1"/>
  <c r="AF28" i="1" s="1"/>
  <c r="AE37" i="1"/>
  <c r="AF37" i="1" s="1"/>
  <c r="AE36" i="1"/>
  <c r="AF36" i="1" s="1"/>
  <c r="AE35" i="1"/>
  <c r="AF35" i="1" s="1"/>
  <c r="AE31" i="1"/>
  <c r="AF31" i="1" s="1"/>
  <c r="AE4" i="1"/>
  <c r="AF4" i="1" s="1"/>
</calcChain>
</file>

<file path=xl/sharedStrings.xml><?xml version="1.0" encoding="utf-8"?>
<sst xmlns="http://schemas.openxmlformats.org/spreadsheetml/2006/main" count="396" uniqueCount="159">
  <si>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</si>
  <si>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</si>
  <si>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</si>
  <si>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</si>
  <si>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</si>
  <si>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</si>
  <si>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</si>
  <si>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</si>
  <si>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</si>
  <si>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</si>
  <si>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</si>
  <si>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</si>
  <si>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</si>
  <si>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</si>
  <si>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</si>
  <si>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</si>
  <si>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</si>
  <si>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</si>
  <si>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</si>
  <si>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</si>
  <si>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</si>
  <si>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</si>
  <si>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</si>
  <si>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</si>
  <si>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</si>
  <si>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</si>
  <si>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</si>
  <si>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</si>
  <si>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</si>
  <si>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</si>
  <si>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</si>
  <si>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</si>
  <si>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</si>
  <si>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</si>
  <si>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</si>
  <si>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</si>
  <si>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</si>
  <si>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</si>
  <si>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</si>
  <si>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</si>
  <si>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</si>
  <si>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</si>
  <si>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</si>
  <si>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</si>
  <si>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</si>
  <si>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</si>
  <si>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</si>
  <si>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</si>
  <si>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</si>
  <si>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</si>
  <si>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</si>
  <si>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</si>
  <si>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</si>
  <si>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</si>
  <si>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</si>
  <si>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</si>
  <si>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</si>
  <si>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</si>
  <si>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</si>
  <si>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</si>
  <si>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</si>
  <si>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</si>
  <si>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</si>
  <si>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</si>
  <si>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</si>
  <si>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</si>
  <si>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</si>
  <si>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</si>
  <si>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</si>
  <si>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251223SCF-AS-MK251224-3A-1</t>
  </si>
  <si>
    <t>MK251224-3A-1</t>
  </si>
  <si>
    <t>SUPPORT</t>
  </si>
  <si>
    <t>251223SCF-AS-MK251224-3B-1</t>
  </si>
  <si>
    <t>MK251224-3B-1</t>
  </si>
  <si>
    <t>251223SCF-AS-MK251224-3C-1</t>
  </si>
  <si>
    <t>MK251224-3C-1</t>
  </si>
  <si>
    <t>251223SCF-AS-MK251224-3D-1</t>
  </si>
  <si>
    <t>MK251224-3D-1</t>
  </si>
  <si>
    <t>251223SCF-AS-MK251224-3E-1</t>
  </si>
  <si>
    <t>MK251224-3E-1</t>
  </si>
  <si>
    <t>251223SCF-AS-MK251224-3E-2</t>
  </si>
  <si>
    <t>MK251224-3E-2</t>
  </si>
  <si>
    <t>251223SCF-AS-MK251224-3E-3</t>
  </si>
  <si>
    <t>MK251224-3E-3</t>
  </si>
  <si>
    <t>251223SCF-AS-MK251224-3F-1</t>
  </si>
  <si>
    <t>MK251224-3F-1</t>
  </si>
  <si>
    <t>251223SCF-AS-MK251224-3F-2</t>
  </si>
  <si>
    <t>MK251224-3F-2</t>
  </si>
  <si>
    <t>251223SCF-AS-MK251224-3F-3</t>
  </si>
  <si>
    <t>MK251224-3F-3</t>
  </si>
  <si>
    <t>251223SCF-AS-MK251224-3G-1</t>
  </si>
  <si>
    <t>MK251224-3G-1</t>
  </si>
  <si>
    <t>251223SCF-AS-MK251224-3G-2</t>
  </si>
  <si>
    <t>MK251224-3G-2</t>
  </si>
  <si>
    <t>251223SCF-AS-MK251224-3G-3</t>
  </si>
  <si>
    <t>MK251224-3G-3</t>
  </si>
  <si>
    <t>251223SCF-AS-MK251224-3G-4</t>
  </si>
  <si>
    <t>MK251224-3G-4</t>
  </si>
  <si>
    <t>251223SCF-AS-MK251224-3H-1</t>
  </si>
  <si>
    <t>MK251224-3H-1</t>
  </si>
  <si>
    <t>251223SCF-AS-MK251224-3H-2</t>
  </si>
  <si>
    <t>MK251224-3H-2</t>
  </si>
  <si>
    <t>251223SCF-AS-MK251224-4A-1</t>
  </si>
  <si>
    <t>MK251224-4A-1</t>
  </si>
  <si>
    <t>FRAME (1/2)</t>
  </si>
  <si>
    <t>251223SCF-AS-MK251224-4B-1</t>
  </si>
  <si>
    <t>MK251224-4B-1</t>
  </si>
  <si>
    <t>251223SCF-AS-MK251224-5A-1</t>
  </si>
  <si>
    <t>MK251224-5A-1</t>
  </si>
  <si>
    <t>251223SCF-AS-MK251224-5B-1</t>
  </si>
  <si>
    <t>MK251224-5B-1</t>
  </si>
  <si>
    <t>251223SCF-AS-MK251224-6A-1</t>
  </si>
  <si>
    <t>MK251224-6A-1</t>
  </si>
  <si>
    <t>251223SCF-AS-MK251224-6B-1</t>
  </si>
  <si>
    <t>MK251224-6B-1</t>
  </si>
  <si>
    <t>251223SCF-AS-MK251224-6C-1</t>
  </si>
  <si>
    <t>MK251224-6C-1</t>
  </si>
  <si>
    <t>251223SCF-AS-MK251224-6D-1</t>
  </si>
  <si>
    <t>MK251224-6D-1</t>
  </si>
  <si>
    <t>251223SCF-AS-MK251224-6E-1</t>
  </si>
  <si>
    <t>MK251224-6E-1</t>
  </si>
  <si>
    <t>251223SCF-AS-MK251224-6F-1</t>
  </si>
  <si>
    <t>MK251224-6F-1</t>
  </si>
  <si>
    <t>251223SCF-AS-MK251224-6G-1</t>
  </si>
  <si>
    <t>MK251224-6G-1</t>
  </si>
  <si>
    <t>(1459x2x25)</t>
  </si>
  <si>
    <t>(1637x2x25)</t>
  </si>
  <si>
    <t>(359x2x35)</t>
  </si>
  <si>
    <t>(562x2x35)</t>
  </si>
  <si>
    <t>(851x2x135)</t>
  </si>
  <si>
    <t>(1219x2x135)</t>
  </si>
  <si>
    <t>(1229x2x135)</t>
  </si>
  <si>
    <t>(1110x2x287)</t>
  </si>
  <si>
    <t>(1219x2x287)</t>
  </si>
  <si>
    <t>(272x2x287)</t>
  </si>
  <si>
    <t>(38x193x1212)</t>
  </si>
  <si>
    <t>(38x193x1219)</t>
  </si>
  <si>
    <t>(38x193x439)</t>
  </si>
  <si>
    <t>(133x5x581)</t>
  </si>
  <si>
    <t>(133x5x1219)</t>
  </si>
  <si>
    <t>(15126x1626x3889)</t>
  </si>
  <si>
    <t>(11461x1626x3889)</t>
  </si>
  <si>
    <t>(102x203x38)</t>
  </si>
  <si>
    <t>(102x222x38)</t>
  </si>
  <si>
    <t>(203x114x114)</t>
  </si>
  <si>
    <t>(152x65x65)</t>
  </si>
  <si>
    <t>(89x10x89)</t>
  </si>
  <si>
    <t>(229x12x102)</t>
  </si>
  <si>
    <t>(1397x6x3839)</t>
  </si>
  <si>
    <t>Shipment 1</t>
  </si>
  <si>
    <t>SCR Frame</t>
  </si>
  <si>
    <t>U311</t>
  </si>
  <si>
    <t>PAC</t>
  </si>
  <si>
    <t>STRUCTURE</t>
  </si>
  <si>
    <t>U311-001</t>
  </si>
  <si>
    <t>S1</t>
  </si>
  <si>
    <t>U311-003</t>
  </si>
  <si>
    <t>U311-004</t>
  </si>
  <si>
    <t>U311-002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</si>
</sst>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7">
    <dxf>
      <fill>
        <patternFill patternType="none">
          <fgColor indexed="64"/>
          <bgColor indexed="6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U311-AM2-FN-003.xlsx" TargetMode="External"/><Relationship Id="rId1" Type="http://schemas.openxmlformats.org/officeDocument/2006/relationships/externalLinkPath" Target="file:///C:\Users\DELL\AppData\Local\Temp\Zalo%20Temp\TempDownloads\U311-AM2-FN-0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9">
          <cell r="D9" t="str">
            <v>MK251224-3A-1</v>
          </cell>
          <cell r="F9">
            <v>2</v>
          </cell>
        </row>
        <row r="10">
          <cell r="D10" t="str">
            <v>MK251224-3B-1</v>
          </cell>
          <cell r="F10">
            <v>2</v>
          </cell>
        </row>
        <row r="11">
          <cell r="D11" t="str">
            <v>MK251224-3C-1</v>
          </cell>
          <cell r="F11">
            <v>4</v>
          </cell>
        </row>
        <row r="12">
          <cell r="D12" t="str">
            <v>MK251224-3D-1</v>
          </cell>
          <cell r="F12">
            <v>1</v>
          </cell>
        </row>
        <row r="13">
          <cell r="D13" t="str">
            <v>MK251224-3E-1</v>
          </cell>
          <cell r="F13">
            <v>2</v>
          </cell>
        </row>
        <row r="14">
          <cell r="D14" t="str">
            <v>MK251224-3E-2</v>
          </cell>
          <cell r="F14">
            <v>44</v>
          </cell>
        </row>
        <row r="15">
          <cell r="D15" t="str">
            <v>MK251224-3E-3</v>
          </cell>
          <cell r="F15">
            <v>2</v>
          </cell>
        </row>
        <row r="16">
          <cell r="D16" t="str">
            <v>MK251224-3F-1</v>
          </cell>
          <cell r="F16">
            <v>1</v>
          </cell>
        </row>
        <row r="17">
          <cell r="D17" t="str">
            <v>MK251224-3F-2</v>
          </cell>
          <cell r="F17">
            <v>6</v>
          </cell>
        </row>
        <row r="18">
          <cell r="D18" t="str">
            <v>MK251224-3F-3</v>
          </cell>
          <cell r="F18">
            <v>1</v>
          </cell>
        </row>
        <row r="19">
          <cell r="D19" t="str">
            <v>MK251224-3G-1</v>
          </cell>
          <cell r="F19">
            <v>1</v>
          </cell>
        </row>
        <row r="20">
          <cell r="D20" t="str">
            <v>MK251224-3G-2</v>
          </cell>
          <cell r="F20">
            <v>4</v>
          </cell>
        </row>
        <row r="21">
          <cell r="D21" t="str">
            <v>MK251224-3G-3</v>
          </cell>
          <cell r="F21">
            <v>1</v>
          </cell>
        </row>
        <row r="22">
          <cell r="D22" t="str">
            <v>MK251224-3G-4</v>
          </cell>
          <cell r="F22">
            <v>1</v>
          </cell>
        </row>
        <row r="23">
          <cell r="D23" t="str">
            <v>MK251224-3H-1</v>
          </cell>
          <cell r="F23">
            <v>2</v>
          </cell>
        </row>
        <row r="24">
          <cell r="D24" t="str">
            <v>MK251224-3H-2</v>
          </cell>
          <cell r="F24">
            <v>42</v>
          </cell>
        </row>
        <row r="25">
          <cell r="D25" t="str">
            <v>MK251224-6A-1</v>
          </cell>
          <cell r="F25">
            <v>64</v>
          </cell>
        </row>
        <row r="26">
          <cell r="D26" t="str">
            <v>MK251224-6B-1</v>
          </cell>
          <cell r="F26">
            <v>104</v>
          </cell>
        </row>
        <row r="27">
          <cell r="D27" t="str">
            <v>MK251224-6D-1</v>
          </cell>
          <cell r="F27">
            <v>12</v>
          </cell>
        </row>
        <row r="28">
          <cell r="D28" t="str">
            <v>MK251224-6E-1</v>
          </cell>
          <cell r="F28">
            <v>2</v>
          </cell>
        </row>
        <row r="29">
          <cell r="D29" t="str">
            <v>MK251224-6F-1</v>
          </cell>
          <cell r="F29">
            <v>52</v>
          </cell>
        </row>
        <row r="30">
          <cell r="D30" t="str">
            <v>MK251224-6G-1</v>
          </cell>
          <cell r="F30">
            <v>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46.343521296294" createdVersion="8" refreshedVersion="8" minRefreshableVersion="3" recordCount="38" xr:uid="{4067F58C-28E2-44CB-8FA2-A8EFFD878FFB}">
  <cacheSource type="worksheet">
    <worksheetSource ref="A3:BA41" sheet="Progress"/>
  </cacheSource>
  <cacheFields count="53">
    <cacheField name="TT" numFmtId="0">
      <sharedItems containsMixedTypes="1" containsNumber="1" containsInteger="1" minValue="0" maxValue="1"/>
    </cacheField>
    <cacheField name="Số Dự Án" numFmtId="0">
      <sharedItems containsBlank="1" count="2">
        <s v="U311"/>
        <m/>
      </sharedItems>
    </cacheField>
    <cacheField name="Group ID" numFmtId="0">
      <sharedItems/>
    </cacheField>
    <cacheField name="Group/Shipment" numFmtId="0">
      <sharedItems containsBlank="1" count="2">
        <s v="Shipment 1"/>
        <m/>
      </sharedItems>
    </cacheField>
    <cacheField name="Hạng mục" numFmtId="0">
      <sharedItems containsBlank="1" count="2">
        <s v="SCR Frame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6-06-19T00:00:00" maxDate="2026-06-20T00:00:00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104"/>
    </cacheField>
    <cacheField name="U.Weight" numFmtId="43">
      <sharedItems containsString="0" containsBlank="1" containsNumber="1" minValue="0.1" maxValue="5085.6000000000004"/>
    </cacheField>
    <cacheField name="T.Weight" numFmtId="43">
      <sharedItems containsString="0" containsBlank="1" containsNumber="1" minValue="0.2" maxValue="5085.6000000000004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5085.6000000000013"/>
    </cacheField>
    <cacheField name="Còn lại" numFmtId="43">
      <sharedItems containsSemiMixedTypes="0" containsString="0" containsNumber="1" containsInteger="1" minValue="0" maxValue="0"/>
    </cacheField>
    <cacheField name="Kế hoạch Tháng" numFmtId="0">
      <sharedItems containsNonDate="0" containsString="0" containsBlank="1"/>
    </cacheField>
    <cacheField name="Nhận Phôi" numFmtId="9">
      <sharedItems containsNonDate="0" containsString="0" containsBlank="1"/>
    </cacheField>
    <cacheField name="Khối lượng" numFmtId="164">
      <sharedItems containsSemiMixedTypes="0" containsString="0" containsNumber="1" containsInteger="1" minValue="0" maxValue="0"/>
    </cacheField>
    <cacheField name="Ngày Gá" numFmtId="14">
      <sharedItems containsNonDate="0" containsDate="1" containsString="0" containsBlank="1" minDate="2026-06-17T00:00:00" maxDate="2026-08-08T00:00:00"/>
    </cacheField>
    <cacheField name="SL Gá" numFmtId="0">
      <sharedItems containsString="0" containsBlank="1" containsNumber="1" containsInteger="1" minValue="1" maxValue="104"/>
    </cacheField>
    <cacheField name="KL Gá" numFmtId="43">
      <sharedItems containsSemiMixedTypes="0" containsString="0" containsNumber="1" minValue="0" maxValue="5085.6000000000004"/>
    </cacheField>
    <cacheField name="Ngày Hàn" numFmtId="14">
      <sharedItems containsNonDate="0" containsDate="1" containsString="0" containsBlank="1" minDate="2026-06-25T00:00:00" maxDate="2026-08-12T00:00:00"/>
    </cacheField>
    <cacheField name="SL Hàn" numFmtId="0">
      <sharedItems containsString="0" containsBlank="1" containsNumber="1" containsInteger="1" minValue="1" maxValue="104"/>
    </cacheField>
    <cacheField name="KL Hàn" numFmtId="43">
      <sharedItems containsSemiMixedTypes="0" containsString="0" containsNumber="1" minValue="0" maxValue="5085.6000000000004"/>
    </cacheField>
    <cacheField name="Ngày TH" numFmtId="14">
      <sharedItems containsNonDate="0" containsDate="1" containsString="0" containsBlank="1" minDate="2026-07-15T00:00:00" maxDate="2026-07-16T00:00:00"/>
    </cacheField>
    <cacheField name="SL TH" numFmtId="0">
      <sharedItems containsString="0" containsBlank="1" containsNumber="1" containsInteger="1" minValue="1" maxValue="1"/>
    </cacheField>
    <cacheField name="KL TH" numFmtId="43">
      <sharedItems containsSemiMixedTypes="0" containsString="0" containsNumber="1" minValue="0" maxValue="5085.6000000000004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7-15T00:00:00" maxDate="2026-08-12T00:00:00"/>
    </cacheField>
    <cacheField name="SL NT" numFmtId="0">
      <sharedItems containsString="0" containsBlank="1" containsNumber="1" containsInteger="1" minValue="1" maxValue="104"/>
    </cacheField>
    <cacheField name="KL NT" numFmtId="43">
      <sharedItems containsSemiMixedTypes="0" containsString="0" containsNumber="1" minValue="0" maxValue="5085.6000000000004"/>
    </cacheField>
    <cacheField name="Ngày BG" numFmtId="14">
      <sharedItems containsNonDate="0" containsDate="1" containsString="0" containsBlank="1" minDate="2026-07-20T00:00:00" maxDate="2026-07-21T00:00:00"/>
    </cacheField>
    <cacheField name="SL BG" numFmtId="0">
      <sharedItems containsString="0" containsBlank="1" containsNumber="1" containsInteger="1" minValue="1" maxValue="1"/>
    </cacheField>
    <cacheField name="KL BG" numFmtId="43">
      <sharedItems containsSemiMixedTypes="0" containsString="0" containsNumber="1" minValue="0" maxValue="5085.6000000000004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0"/>
    <x v="0"/>
    <s v="Shipment 1 SCR Frame"/>
    <x v="0"/>
    <x v="0"/>
    <m/>
    <d v="2026-06-19T00:00:00"/>
    <s v="STRUCTURE"/>
    <m/>
    <s v="S1"/>
    <s v="251223SCF-AS-MK251224-3A-1"/>
    <s v="MK251224-3A-1"/>
    <s v="SUPPORT"/>
    <n v="2"/>
    <n v="0.4"/>
    <n v="0.9"/>
    <s v="(1459x2x25)"/>
    <m/>
    <m/>
    <m/>
    <m/>
    <m/>
    <m/>
    <m/>
    <m/>
    <m/>
    <m/>
    <m/>
    <m/>
    <m/>
    <n v="0.9"/>
    <n v="0"/>
    <m/>
    <m/>
    <n v="0"/>
    <d v="2026-08-07T00:00:00"/>
    <n v="2"/>
    <n v="0.9"/>
    <d v="2026-08-11T00:00:00"/>
    <n v="2"/>
    <n v="0.9"/>
    <m/>
    <m/>
    <n v="0"/>
    <s v="U311-003"/>
    <d v="2026-08-11T00:00:00"/>
    <n v="2"/>
    <n v="0.9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B-1"/>
    <s v="MK251224-3B-1"/>
    <s v="SUPPORT"/>
    <n v="2"/>
    <n v="0.5"/>
    <n v="1"/>
    <s v="(1637x2x25)"/>
    <m/>
    <m/>
    <m/>
    <m/>
    <m/>
    <m/>
    <m/>
    <m/>
    <m/>
    <m/>
    <m/>
    <m/>
    <m/>
    <n v="1"/>
    <n v="0"/>
    <m/>
    <m/>
    <n v="0"/>
    <d v="2026-08-07T00:00:00"/>
    <n v="2"/>
    <n v="1"/>
    <d v="2026-08-11T00:00:00"/>
    <n v="2"/>
    <n v="1"/>
    <m/>
    <m/>
    <n v="0"/>
    <s v="U311-003"/>
    <d v="2026-08-11T00:00:00"/>
    <n v="2"/>
    <n v="1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C-1"/>
    <s v="MK251224-3C-1"/>
    <s v="SUPPORT"/>
    <n v="4"/>
    <n v="0.1"/>
    <n v="0.5"/>
    <s v="(359x2x35)"/>
    <m/>
    <m/>
    <m/>
    <m/>
    <m/>
    <m/>
    <m/>
    <m/>
    <m/>
    <m/>
    <m/>
    <m/>
    <m/>
    <n v="0.5"/>
    <n v="0"/>
    <m/>
    <m/>
    <n v="0"/>
    <d v="2026-08-07T00:00:00"/>
    <n v="4"/>
    <n v="0.5"/>
    <d v="2026-08-11T00:00:00"/>
    <n v="4"/>
    <n v="0.5"/>
    <m/>
    <m/>
    <n v="0"/>
    <s v="U311-003"/>
    <d v="2026-08-11T00:00:00"/>
    <n v="4"/>
    <n v="0.5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D-1"/>
    <s v="MK251224-3D-1"/>
    <s v="SUPPORT"/>
    <n v="1"/>
    <n v="0.2"/>
    <n v="0.2"/>
    <s v="(562x2x35)"/>
    <m/>
    <m/>
    <m/>
    <m/>
    <m/>
    <m/>
    <m/>
    <m/>
    <m/>
    <m/>
    <m/>
    <m/>
    <m/>
    <n v="0.2"/>
    <n v="0"/>
    <m/>
    <m/>
    <n v="0"/>
    <d v="2026-08-07T00:00:00"/>
    <n v="1"/>
    <n v="0.2"/>
    <d v="2026-08-11T00:00:00"/>
    <n v="1"/>
    <n v="0.2"/>
    <m/>
    <m/>
    <n v="0"/>
    <s v="U311-003"/>
    <d v="2026-08-11T00:00:00"/>
    <n v="1"/>
    <n v="0.2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E-1"/>
    <s v="MK251224-3E-1"/>
    <s v="SUPPORT"/>
    <n v="2"/>
    <n v="1.4"/>
    <n v="2.7"/>
    <s v="(851x2x135)"/>
    <m/>
    <m/>
    <m/>
    <m/>
    <m/>
    <m/>
    <m/>
    <m/>
    <m/>
    <m/>
    <m/>
    <m/>
    <m/>
    <n v="2.7"/>
    <n v="0"/>
    <m/>
    <m/>
    <n v="0"/>
    <d v="2026-08-07T00:00:00"/>
    <n v="2"/>
    <n v="2.7"/>
    <d v="2026-08-11T00:00:00"/>
    <n v="2"/>
    <n v="2.7"/>
    <m/>
    <m/>
    <n v="0"/>
    <s v="U311-003"/>
    <d v="2026-08-11T00:00:00"/>
    <n v="2"/>
    <n v="2.7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E-2"/>
    <s v="MK251224-3E-2"/>
    <s v="SUPPORT"/>
    <n v="44"/>
    <n v="1.9"/>
    <n v="85.3"/>
    <s v="(1219x2x135)"/>
    <m/>
    <m/>
    <m/>
    <m/>
    <m/>
    <m/>
    <m/>
    <m/>
    <m/>
    <m/>
    <m/>
    <m/>
    <m/>
    <n v="85.3"/>
    <n v="0"/>
    <m/>
    <m/>
    <n v="0"/>
    <d v="2026-08-07T00:00:00"/>
    <n v="44"/>
    <n v="85.3"/>
    <d v="2026-08-11T00:00:00"/>
    <n v="44"/>
    <n v="85.3"/>
    <m/>
    <m/>
    <n v="0"/>
    <s v="U311-003"/>
    <d v="2026-08-11T00:00:00"/>
    <n v="44"/>
    <n v="85.3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E-3"/>
    <s v="MK251224-3E-3"/>
    <s v="SUPPORT"/>
    <n v="2"/>
    <n v="2"/>
    <n v="3.9"/>
    <s v="(1229x2x135)"/>
    <m/>
    <m/>
    <m/>
    <m/>
    <m/>
    <m/>
    <m/>
    <m/>
    <m/>
    <m/>
    <m/>
    <m/>
    <m/>
    <n v="3.9"/>
    <n v="0"/>
    <m/>
    <m/>
    <n v="0"/>
    <d v="2026-08-07T00:00:00"/>
    <n v="2"/>
    <n v="3.9"/>
    <d v="2026-08-11T00:00:00"/>
    <n v="2"/>
    <n v="3.9"/>
    <m/>
    <m/>
    <n v="0"/>
    <s v="U311-003"/>
    <d v="2026-08-11T00:00:00"/>
    <n v="2"/>
    <n v="3.9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F-1"/>
    <s v="MK251224-3F-1"/>
    <s v="SUPPORT"/>
    <n v="1"/>
    <n v="3.8"/>
    <n v="3.8"/>
    <s v="(1110x2x287)"/>
    <m/>
    <m/>
    <m/>
    <m/>
    <m/>
    <m/>
    <m/>
    <m/>
    <m/>
    <m/>
    <m/>
    <m/>
    <m/>
    <n v="3.8"/>
    <n v="0"/>
    <m/>
    <m/>
    <n v="0"/>
    <d v="2026-08-07T00:00:00"/>
    <n v="1"/>
    <n v="3.8"/>
    <d v="2026-08-11T00:00:00"/>
    <n v="1"/>
    <n v="3.8"/>
    <m/>
    <m/>
    <n v="0"/>
    <s v="U311-003"/>
    <d v="2026-08-11T00:00:00"/>
    <n v="1"/>
    <n v="3.8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F-2"/>
    <s v="MK251224-3F-2"/>
    <s v="SUPPORT"/>
    <n v="6"/>
    <n v="4.0999999999999996"/>
    <n v="24.7"/>
    <s v="(1219x2x287)"/>
    <m/>
    <m/>
    <m/>
    <m/>
    <m/>
    <m/>
    <m/>
    <m/>
    <m/>
    <m/>
    <m/>
    <m/>
    <m/>
    <n v="24.7"/>
    <n v="0"/>
    <m/>
    <m/>
    <n v="0"/>
    <d v="2026-08-07T00:00:00"/>
    <n v="6"/>
    <n v="24.7"/>
    <d v="2026-08-11T00:00:00"/>
    <n v="6"/>
    <n v="24.7"/>
    <m/>
    <m/>
    <n v="0"/>
    <s v="U311-003"/>
    <d v="2026-08-11T00:00:00"/>
    <n v="6"/>
    <n v="24.7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F-3"/>
    <s v="MK251224-3F-3"/>
    <s v="SUPPORT"/>
    <n v="1"/>
    <n v="0.9"/>
    <n v="0.9"/>
    <s v="(272x2x287)"/>
    <m/>
    <m/>
    <m/>
    <m/>
    <m/>
    <m/>
    <m/>
    <m/>
    <m/>
    <m/>
    <m/>
    <m/>
    <m/>
    <n v="0.9"/>
    <n v="0"/>
    <m/>
    <m/>
    <n v="0"/>
    <d v="2026-08-07T00:00:00"/>
    <n v="1"/>
    <n v="0.9"/>
    <d v="2026-08-11T00:00:00"/>
    <n v="1"/>
    <n v="0.9"/>
    <m/>
    <m/>
    <n v="0"/>
    <s v="U311-003"/>
    <d v="2026-08-11T00:00:00"/>
    <n v="1"/>
    <n v="0.9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G-1"/>
    <s v="MK251224-3G-1"/>
    <s v="SUPPORT"/>
    <n v="1"/>
    <n v="6.4"/>
    <n v="6.4"/>
    <s v="(38x193x1212)"/>
    <m/>
    <m/>
    <m/>
    <m/>
    <m/>
    <m/>
    <m/>
    <m/>
    <m/>
    <m/>
    <m/>
    <m/>
    <m/>
    <n v="6.4"/>
    <n v="0"/>
    <m/>
    <m/>
    <n v="0"/>
    <d v="2026-08-07T00:00:00"/>
    <n v="1"/>
    <n v="6.4"/>
    <d v="2026-08-11T00:00:00"/>
    <n v="1"/>
    <n v="6.4"/>
    <m/>
    <m/>
    <n v="0"/>
    <s v="U311-003"/>
    <d v="2026-08-11T00:00:00"/>
    <n v="1"/>
    <n v="6.4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G-2"/>
    <s v="MK251224-3G-2"/>
    <s v="SUPPORT"/>
    <n v="4"/>
    <n v="6.5"/>
    <n v="26.2"/>
    <s v="(38x193x1219)"/>
    <m/>
    <m/>
    <m/>
    <m/>
    <m/>
    <m/>
    <m/>
    <m/>
    <m/>
    <m/>
    <m/>
    <m/>
    <m/>
    <n v="26.2"/>
    <n v="0"/>
    <m/>
    <m/>
    <n v="0"/>
    <d v="2026-08-07T00:00:00"/>
    <n v="4"/>
    <n v="26.2"/>
    <d v="2026-08-11T00:00:00"/>
    <n v="4"/>
    <n v="26.2"/>
    <m/>
    <m/>
    <n v="0"/>
    <s v="U311-003"/>
    <d v="2026-08-11T00:00:00"/>
    <n v="4"/>
    <n v="26.2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G-3"/>
    <s v="MK251224-3G-3"/>
    <s v="SUPPORT"/>
    <n v="1"/>
    <n v="2.2000000000000002"/>
    <n v="2.2000000000000002"/>
    <s v="(38x193x439)"/>
    <m/>
    <m/>
    <m/>
    <m/>
    <m/>
    <m/>
    <m/>
    <m/>
    <m/>
    <m/>
    <m/>
    <m/>
    <m/>
    <n v="2.2000000000000002"/>
    <n v="0"/>
    <m/>
    <m/>
    <n v="0"/>
    <d v="2026-08-07T00:00:00"/>
    <n v="1"/>
    <n v="2.2000000000000002"/>
    <d v="2026-08-11T00:00:00"/>
    <n v="1"/>
    <n v="2.2000000000000002"/>
    <m/>
    <m/>
    <n v="0"/>
    <s v="U311-003"/>
    <d v="2026-08-11T00:00:00"/>
    <n v="1"/>
    <n v="2.2000000000000002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G-4"/>
    <s v="MK251224-3G-4"/>
    <s v="SUPPORT"/>
    <n v="1"/>
    <n v="6.3"/>
    <n v="6.3"/>
    <s v="(38x193x1219)"/>
    <m/>
    <m/>
    <m/>
    <m/>
    <m/>
    <m/>
    <m/>
    <m/>
    <m/>
    <m/>
    <m/>
    <m/>
    <m/>
    <n v="6.3"/>
    <n v="0"/>
    <m/>
    <m/>
    <n v="0"/>
    <d v="2026-08-07T00:00:00"/>
    <n v="1"/>
    <n v="6.3"/>
    <d v="2026-08-11T00:00:00"/>
    <n v="1"/>
    <n v="6.3"/>
    <m/>
    <m/>
    <n v="0"/>
    <s v="U311-003"/>
    <d v="2026-08-11T00:00:00"/>
    <n v="1"/>
    <n v="6.3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H-1"/>
    <s v="MK251224-3H-1"/>
    <s v="SUPPORT"/>
    <n v="2"/>
    <n v="1.8"/>
    <n v="3.6"/>
    <s v="(133x5x581)"/>
    <m/>
    <m/>
    <m/>
    <m/>
    <m/>
    <m/>
    <m/>
    <m/>
    <m/>
    <m/>
    <m/>
    <m/>
    <m/>
    <n v="3.6"/>
    <n v="0"/>
    <m/>
    <m/>
    <n v="0"/>
    <d v="2026-08-07T00:00:00"/>
    <n v="2"/>
    <n v="3.6"/>
    <d v="2026-08-11T00:00:00"/>
    <n v="2"/>
    <n v="3.6"/>
    <m/>
    <m/>
    <n v="0"/>
    <s v="U311-003"/>
    <d v="2026-08-11T00:00:00"/>
    <n v="2"/>
    <n v="3.6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3H-2"/>
    <s v="MK251224-3H-2"/>
    <s v="SUPPORT"/>
    <n v="42"/>
    <n v="3.8"/>
    <n v="160.69999999999999"/>
    <s v="(133x5x1219)"/>
    <m/>
    <m/>
    <m/>
    <m/>
    <m/>
    <m/>
    <m/>
    <m/>
    <m/>
    <m/>
    <m/>
    <m/>
    <m/>
    <n v="160.69999999999999"/>
    <n v="0"/>
    <m/>
    <m/>
    <n v="0"/>
    <d v="2026-08-07T00:00:00"/>
    <n v="42"/>
    <n v="160.69999999999999"/>
    <d v="2026-08-11T00:00:00"/>
    <n v="42"/>
    <n v="160.69999999999999"/>
    <m/>
    <m/>
    <n v="0"/>
    <s v="U311-003"/>
    <d v="2026-08-11T00:00:00"/>
    <n v="42"/>
    <n v="160.69999999999999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4A-1"/>
    <s v="MK251224-4A-1"/>
    <s v="FRAME (1/2)"/>
    <n v="1"/>
    <n v="5085.6000000000004"/>
    <n v="5085.6000000000004"/>
    <s v="(15126x1626x3889)"/>
    <m/>
    <m/>
    <m/>
    <m/>
    <m/>
    <m/>
    <m/>
    <m/>
    <m/>
    <m/>
    <m/>
    <m/>
    <m/>
    <n v="5085.6000000000013"/>
    <n v="0"/>
    <m/>
    <m/>
    <n v="0"/>
    <d v="2026-06-22T00:00:00"/>
    <n v="1"/>
    <n v="5085.6000000000004"/>
    <d v="2026-07-08T00:00:00"/>
    <n v="1"/>
    <n v="5085.6000000000004"/>
    <d v="2026-07-15T00:00:00"/>
    <n v="1"/>
    <n v="5085.6000000000004"/>
    <s v="U311-001"/>
    <d v="2026-07-15T00:00:00"/>
    <n v="1"/>
    <n v="5085.6000000000004"/>
    <d v="2026-07-20T00:00:00"/>
    <n v="1"/>
    <n v="5085.6000000000004"/>
    <s v="PAC"/>
    <s v="U311-001"/>
  </r>
  <r>
    <n v="0"/>
    <x v="0"/>
    <s v="Shipment 1 SCR Frame"/>
    <x v="0"/>
    <x v="0"/>
    <m/>
    <d v="2026-06-19T00:00:00"/>
    <s v="STRUCTURE"/>
    <m/>
    <s v="S1"/>
    <s v="251223SCF-AS-MK251224-4B-1"/>
    <s v="MK251224-4B-1"/>
    <s v="FRAME (1/2)"/>
    <n v="1"/>
    <n v="3881.3"/>
    <n v="3881.3"/>
    <s v="(11461x1626x3889)"/>
    <m/>
    <m/>
    <m/>
    <m/>
    <m/>
    <m/>
    <m/>
    <m/>
    <m/>
    <m/>
    <m/>
    <m/>
    <m/>
    <n v="3881.3"/>
    <n v="0"/>
    <m/>
    <m/>
    <n v="0"/>
    <d v="2026-06-23T00:00:00"/>
    <n v="1"/>
    <n v="3881.3"/>
    <d v="2026-06-30T00:00:00"/>
    <n v="1"/>
    <n v="3881.3"/>
    <d v="2026-07-15T00:00:00"/>
    <n v="1"/>
    <n v="3881.3"/>
    <s v="U311-001"/>
    <d v="2026-07-15T00:00:00"/>
    <n v="1"/>
    <n v="3881.3"/>
    <d v="2026-07-20T00:00:00"/>
    <n v="1"/>
    <n v="3881.3"/>
    <s v="PAC"/>
    <s v="U311-001"/>
  </r>
  <r>
    <n v="0"/>
    <x v="0"/>
    <s v="Shipment 1 SCR Frame"/>
    <x v="0"/>
    <x v="0"/>
    <m/>
    <d v="2026-06-19T00:00:00"/>
    <s v="STRUCTURE"/>
    <m/>
    <s v="S1"/>
    <s v="251223SCF-AS-MK251224-5A-1"/>
    <s v="MK251224-5A-1"/>
    <s v="FRAME (1/2)"/>
    <n v="1"/>
    <n v="5085.6000000000004"/>
    <n v="5085.6000000000004"/>
    <s v="(15126x1626x3889)"/>
    <m/>
    <m/>
    <m/>
    <m/>
    <m/>
    <m/>
    <m/>
    <m/>
    <m/>
    <m/>
    <m/>
    <m/>
    <m/>
    <n v="5085.6000000000013"/>
    <n v="0"/>
    <m/>
    <m/>
    <n v="0"/>
    <d v="2026-06-17T00:00:00"/>
    <n v="1"/>
    <n v="5085.6000000000004"/>
    <d v="2026-06-25T00:00:00"/>
    <n v="1"/>
    <n v="5085.6000000000004"/>
    <d v="2026-07-15T00:00:00"/>
    <n v="1"/>
    <n v="5085.6000000000004"/>
    <s v="U311-001"/>
    <d v="2026-07-15T00:00:00"/>
    <n v="1"/>
    <n v="5085.6000000000004"/>
    <d v="2026-07-20T00:00:00"/>
    <n v="1"/>
    <n v="5085.6000000000004"/>
    <s v="PAC"/>
    <s v="U311-001"/>
  </r>
  <r>
    <n v="0"/>
    <x v="0"/>
    <s v="Shipment 1 SCR Frame"/>
    <x v="0"/>
    <x v="0"/>
    <m/>
    <d v="2026-06-19T00:00:00"/>
    <s v="STRUCTURE"/>
    <m/>
    <s v="S1"/>
    <s v="251223SCF-AS-MK251224-5B-1"/>
    <s v="MK251224-5B-1"/>
    <s v="FRAME (1/2)"/>
    <n v="1"/>
    <n v="3881.3"/>
    <n v="3881.3"/>
    <s v="(11461x1626x3889)"/>
    <m/>
    <m/>
    <m/>
    <m/>
    <m/>
    <m/>
    <m/>
    <m/>
    <m/>
    <m/>
    <m/>
    <m/>
    <m/>
    <n v="3881.3"/>
    <n v="0"/>
    <m/>
    <m/>
    <n v="0"/>
    <d v="2026-06-20T00:00:00"/>
    <n v="1"/>
    <n v="3881.3"/>
    <d v="2026-07-03T00:00:00"/>
    <n v="1"/>
    <n v="3881.3"/>
    <d v="2026-07-15T00:00:00"/>
    <n v="1"/>
    <n v="3881.3"/>
    <s v="U311-001"/>
    <d v="2026-07-15T00:00:00"/>
    <n v="1"/>
    <n v="3881.3"/>
    <d v="2026-07-20T00:00:00"/>
    <n v="1"/>
    <n v="3881.3"/>
    <s v="PAC"/>
    <s v="U311-001"/>
  </r>
  <r>
    <n v="0"/>
    <x v="0"/>
    <s v="Shipment 1 SCR Frame"/>
    <x v="0"/>
    <x v="0"/>
    <m/>
    <d v="2026-06-19T00:00:00"/>
    <s v="STRUCTURE"/>
    <m/>
    <s v="S1"/>
    <s v="251223SCF-AS-MK251224-6A-1"/>
    <s v="MK251224-6A-1"/>
    <s v="SUPPORT"/>
    <n v="64"/>
    <n v="0.7"/>
    <n v="42.2"/>
    <s v="(102x203x38)"/>
    <m/>
    <m/>
    <m/>
    <m/>
    <m/>
    <m/>
    <m/>
    <m/>
    <m/>
    <m/>
    <m/>
    <m/>
    <m/>
    <n v="42.2"/>
    <n v="0"/>
    <m/>
    <m/>
    <n v="0"/>
    <d v="2026-07-25T00:00:00"/>
    <n v="64"/>
    <n v="42.2"/>
    <d v="2026-07-25T00:00:00"/>
    <n v="64"/>
    <n v="42.2"/>
    <m/>
    <m/>
    <n v="0"/>
    <s v="U311-003"/>
    <d v="2026-08-11T00:00:00"/>
    <n v="64"/>
    <n v="42.2"/>
    <m/>
    <m/>
    <n v="0"/>
    <s v="PAC"/>
    <m/>
  </r>
  <r>
    <n v="0"/>
    <x v="0"/>
    <s v="Shipment 1 SCR Frame"/>
    <x v="0"/>
    <x v="0"/>
    <m/>
    <d v="2026-06-19T00:00:00"/>
    <s v="STRUCTURE"/>
    <m/>
    <s v="S1"/>
    <s v="251223SCF-AS-MK251224-6B-1"/>
    <s v="MK251224-6B-1"/>
    <s v="SUPPORT"/>
    <n v="104"/>
    <n v="0.6"/>
    <n v="60.7"/>
    <s v="(102x222x38)"/>
    <m/>
    <m/>
    <m/>
    <m/>
    <m/>
    <m/>
    <m/>
    <m/>
    <m/>
    <m/>
    <m/>
    <m/>
    <m/>
    <n v="60.7"/>
    <n v="0"/>
    <m/>
    <m/>
    <n v="0"/>
    <d v="2026-07-25T00:00:00"/>
    <n v="104"/>
    <n v="60.7"/>
    <d v="2026-07-25T00:00:00"/>
    <n v="104"/>
    <n v="60.7"/>
    <m/>
    <m/>
    <n v="0"/>
    <s v="U311-003"/>
    <d v="2026-08-11T00:00:00"/>
    <n v="104"/>
    <n v="60.7"/>
    <m/>
    <m/>
    <n v="0"/>
    <s v="PAC"/>
    <m/>
  </r>
  <r>
    <n v="1"/>
    <x v="0"/>
    <s v="Shipment 1 SCR Frame"/>
    <x v="0"/>
    <x v="0"/>
    <m/>
    <d v="2026-06-19T00:00:00"/>
    <s v="STRUCTURE"/>
    <m/>
    <s v="S1"/>
    <s v="251223SCF-AS-MK251224-6C-1"/>
    <s v="MK251224-6C-1"/>
    <s v="SUPPORT"/>
    <n v="4"/>
    <n v="4.4000000000000004"/>
    <n v="17.600000000000001"/>
    <s v="(203x114x114)"/>
    <m/>
    <m/>
    <m/>
    <m/>
    <m/>
    <m/>
    <m/>
    <m/>
    <m/>
    <m/>
    <m/>
    <m/>
    <m/>
    <n v="17.600000000000001"/>
    <n v="0"/>
    <m/>
    <m/>
    <n v="0"/>
    <d v="2026-07-25T00:00:00"/>
    <n v="4"/>
    <n v="17.600000000000001"/>
    <d v="2026-07-25T00:00:00"/>
    <n v="4"/>
    <n v="17.600000000000001"/>
    <m/>
    <m/>
    <n v="0"/>
    <s v="U311-004"/>
    <d v="2026-08-11T00:00:00"/>
    <n v="4"/>
    <n v="17.600000000000001"/>
    <m/>
    <m/>
    <n v="0"/>
    <s v="PAC"/>
    <m/>
  </r>
  <r>
    <n v="1"/>
    <x v="0"/>
    <s v="Shipment 1 SCR Frame"/>
    <x v="0"/>
    <x v="0"/>
    <m/>
    <d v="2026-06-19T00:00:00"/>
    <s v="STRUCTURE"/>
    <m/>
    <s v="S1"/>
    <s v="251223SCF-AS-MK251224-6D-1"/>
    <s v="MK251224-6D-1"/>
    <s v="SUPPORT"/>
    <n v="12"/>
    <n v="3.9"/>
    <n v="46.3"/>
    <s v="(152x65x65)"/>
    <m/>
    <m/>
    <m/>
    <m/>
    <m/>
    <m/>
    <m/>
    <m/>
    <m/>
    <m/>
    <m/>
    <m/>
    <m/>
    <n v="46.299999999999983"/>
    <n v="0"/>
    <m/>
    <m/>
    <n v="0"/>
    <d v="2026-07-25T00:00:00"/>
    <n v="12"/>
    <n v="46.29999999999999"/>
    <d v="2026-07-25T00:00:00"/>
    <n v="12"/>
    <n v="46.29999999999999"/>
    <m/>
    <m/>
    <n v="0"/>
    <s v="U311-003"/>
    <d v="2026-08-11T00:00:00"/>
    <n v="12"/>
    <n v="46.29999999999999"/>
    <m/>
    <m/>
    <n v="0"/>
    <s v="PAC"/>
    <m/>
  </r>
  <r>
    <n v="1"/>
    <x v="0"/>
    <s v="Shipment 1 SCR Frame"/>
    <x v="0"/>
    <x v="0"/>
    <m/>
    <d v="2026-06-19T00:00:00"/>
    <s v="STRUCTURE"/>
    <m/>
    <s v="S1"/>
    <s v="251223SCF-AS-MK251224-6E-1"/>
    <s v="MK251224-6E-1"/>
    <s v="SUPPORT"/>
    <n v="2"/>
    <n v="0.6"/>
    <n v="1.2"/>
    <s v="(89x10x89)"/>
    <m/>
    <m/>
    <m/>
    <m/>
    <m/>
    <m/>
    <m/>
    <m/>
    <m/>
    <m/>
    <m/>
    <m/>
    <m/>
    <n v="1.2000000000000002"/>
    <n v="0"/>
    <m/>
    <m/>
    <n v="0"/>
    <d v="2026-07-25T00:00:00"/>
    <n v="2"/>
    <n v="1.2"/>
    <d v="2026-07-25T00:00:00"/>
    <n v="2"/>
    <n v="1.2"/>
    <m/>
    <m/>
    <n v="0"/>
    <s v="U311-003"/>
    <d v="2026-08-11T00:00:00"/>
    <n v="2"/>
    <n v="1.2"/>
    <m/>
    <m/>
    <n v="0"/>
    <s v="PAC"/>
    <m/>
  </r>
  <r>
    <n v="1"/>
    <x v="0"/>
    <s v="Shipment 1 SCR Frame"/>
    <x v="0"/>
    <x v="0"/>
    <m/>
    <d v="2026-06-19T00:00:00"/>
    <s v="STRUCTURE"/>
    <m/>
    <s v="S1"/>
    <s v="251223SCF-AS-MK251224-6F-1"/>
    <s v="MK251224-6F-1"/>
    <s v="SUPPORT"/>
    <n v="52"/>
    <n v="2.2000000000000002"/>
    <n v="114.4"/>
    <s v="(229x12x102)"/>
    <m/>
    <m/>
    <m/>
    <m/>
    <m/>
    <m/>
    <m/>
    <m/>
    <m/>
    <m/>
    <m/>
    <m/>
    <m/>
    <n v="114.4"/>
    <n v="0"/>
    <m/>
    <m/>
    <n v="0"/>
    <d v="2026-07-25T00:00:00"/>
    <n v="52"/>
    <n v="114.4"/>
    <d v="2026-07-25T00:00:00"/>
    <n v="52"/>
    <n v="114.4"/>
    <m/>
    <m/>
    <n v="0"/>
    <s v="U311-003"/>
    <d v="2026-08-11T00:00:00"/>
    <n v="52"/>
    <n v="114.4"/>
    <m/>
    <m/>
    <n v="0"/>
    <s v="PAC"/>
    <m/>
  </r>
  <r>
    <n v="1"/>
    <x v="0"/>
    <s v="Shipment 1 SCR Frame"/>
    <x v="0"/>
    <x v="0"/>
    <m/>
    <d v="2026-06-19T00:00:00"/>
    <s v="STRUCTURE"/>
    <m/>
    <s v="S1"/>
    <s v="251223SCF-AS-MK251224-6G-1"/>
    <s v="MK251224-6G-1"/>
    <s v="SUPPORT"/>
    <n v="2"/>
    <n v="252.6"/>
    <n v="505.2"/>
    <s v="(1397x6x3839)"/>
    <m/>
    <m/>
    <m/>
    <m/>
    <m/>
    <m/>
    <m/>
    <m/>
    <m/>
    <m/>
    <m/>
    <m/>
    <m/>
    <n v="505.2"/>
    <n v="0"/>
    <m/>
    <m/>
    <n v="0"/>
    <d v="2026-07-10T00:00:00"/>
    <n v="2"/>
    <n v="505.2"/>
    <d v="2026-07-25T00:00:00"/>
    <n v="2"/>
    <n v="505.2"/>
    <m/>
    <m/>
    <n v="0"/>
    <s v="U311-003"/>
    <d v="2026-08-11T00:00:00"/>
    <n v="2"/>
    <n v="505.2"/>
    <m/>
    <m/>
    <n v="0"/>
    <s v="PAC"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7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4">
    <i>
      <x v="1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41"/>
  <sheetViews>
    <sheetView tabSelected="1" zoomScale="70" zoomScaleNormal="70" workbookViewId="0">
      <pane xSplit="18" ySplit="3" topLeftCell="AO4" activePane="bottomRight" state="frozen"/>
      <selection pane="topRight" activeCell="S1" sqref="S1"/>
      <selection pane="bottomLeft" activeCell="A4" sqref="A4"/>
      <selection pane="bottomRight" activeCell="AX42" sqref="AX42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5.125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16.12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ÁN:U311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46245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SUBTOTAL(9,AK4:AK41)</f>
        <v>352</v>
      </c>
      <c r="AL2" s="68">
        <f>SUBTOTAL(9,AL4:AL41)</f>
        <v>1099.3</v>
      </c>
      <c r="AM2" s="15"/>
      <c r="AN2" s="67">
        <f>SUBTOTAL(9,AN4:AN41)</f>
        <v>352</v>
      </c>
      <c r="AO2" s="68">
        <f>SUBTOTAL(9,AO4:AO41)</f>
        <v>1099.3</v>
      </c>
      <c r="AP2" s="15"/>
      <c r="AQ2" s="67">
        <f>SUBTOTAL(9,AQ4:AQ41)</f>
        <v>0</v>
      </c>
      <c r="AR2" s="68">
        <f>SUBTOTAL(9,AR4:AR41)</f>
        <v>0</v>
      </c>
      <c r="AS2" s="16" t="str">
        <f>SUBSTITUTE(A1,"DỰ ÁN:","")&amp;"-"</f>
        <v>U311-</v>
      </c>
      <c r="AT2" s="17"/>
      <c r="AU2" s="67">
        <f>SUBTOTAL(9,AU4:AU41)</f>
        <v>352</v>
      </c>
      <c r="AV2" s="68">
        <f>SUBTOTAL(9,AV4:AV41)</f>
        <v>1099.3</v>
      </c>
      <c r="AW2" s="16"/>
      <c r="AX2" s="67">
        <f>SUBTOTAL(9,AX4:AX41)</f>
        <v>352</v>
      </c>
      <c r="AY2" s="67">
        <f>SUBTOTAL(9,AY4:AY41)</f>
        <v>1099.3</v>
      </c>
      <c r="AZ2" s="17"/>
      <c r="BA2" s="18" t="str">
        <f>SUBSTITUTE(A1,"DỰ ÁN:","")&amp;"-"</f>
        <v>U311-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151</v>
      </c>
      <c r="C4" s="25" t="str">
        <f>D4&amp;" "&amp;E4</f>
        <v>Shipment 1 SCR Frame</v>
      </c>
      <c r="D4" s="25" t="s">
        <v>149</v>
      </c>
      <c r="E4" s="25" t="s">
        <v>150</v>
      </c>
      <c r="F4" s="25"/>
      <c r="G4" s="65">
        <v>46192</v>
      </c>
      <c r="H4" s="25" t="s">
        <v>153</v>
      </c>
      <c r="I4" s="25"/>
      <c r="J4" s="26" t="s">
        <v>155</v>
      </c>
      <c r="K4" s="27" t="s">
        <v>69</v>
      </c>
      <c r="L4" s="28" t="s">
        <v>70</v>
      </c>
      <c r="M4" s="28" t="s">
        <v>71</v>
      </c>
      <c r="N4" s="25">
        <v>2</v>
      </c>
      <c r="O4" s="29">
        <v>0.4</v>
      </c>
      <c r="P4" s="29">
        <v>0.9</v>
      </c>
      <c r="Q4" s="25" t="s">
        <v>125</v>
      </c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0.9</v>
      </c>
      <c r="AF4" s="32">
        <f>+P4-AE4</f>
        <v>0</v>
      </c>
      <c r="AG4" s="30"/>
      <c r="AH4" s="33"/>
      <c r="AI4" s="34">
        <f>+AH4*P4</f>
        <v>0</v>
      </c>
      <c r="AJ4" s="35">
        <v>46241</v>
      </c>
      <c r="AK4" s="30">
        <v>2</v>
      </c>
      <c r="AL4" s="36">
        <f>IFERROR(AK4*$P4/$N4,0)</f>
        <v>0.9</v>
      </c>
      <c r="AM4" s="35">
        <v>46245</v>
      </c>
      <c r="AN4" s="30">
        <v>2</v>
      </c>
      <c r="AO4" s="36">
        <f>IFERROR(AN4*$P4/$N4,0)</f>
        <v>0.9</v>
      </c>
      <c r="AP4" s="35"/>
      <c r="AQ4" s="30"/>
      <c r="AR4" s="36">
        <f>IFERROR(AQ4*$P4/$N4,0)</f>
        <v>0</v>
      </c>
      <c r="AS4" s="27" t="s">
        <v>156</v>
      </c>
      <c r="AT4" s="37">
        <v>46245</v>
      </c>
      <c r="AU4" s="30">
        <v>2</v>
      </c>
      <c r="AV4" s="36">
        <f>IFERROR(AU4*$P4/$N4,0)</f>
        <v>0.9</v>
      </c>
      <c r="AW4" s="35">
        <v>46245</v>
      </c>
      <c r="AX4" s="30">
        <v>2</v>
      </c>
      <c r="AY4" s="32">
        <f>IFERROR(AX4*$P4/$N4,0)</f>
        <v>0.9</v>
      </c>
      <c r="AZ4" s="30" t="s">
        <v>152</v>
      </c>
      <c r="BA4" s="63" t="s">
        <v>158</v>
      </c>
      <c r="BB4" s="71"/>
      <c r="BC4" s="71"/>
      <c r="BD4" s="71"/>
      <c r="BF4" s="59" t="s">
        <v>151</v>
      </c>
      <c r="BG4" s="72">
        <v>19050.700000000004</v>
      </c>
      <c r="BH4" s="70">
        <v>19050.700000000004</v>
      </c>
    </row>
    <row r="5" spans="1:60" x14ac:dyDescent="0.25">
      <c r="A5" s="24">
        <f>IF(B5="","",SUBTOTAL(3,$B$4:B5))</f>
        <v>2</v>
      </c>
      <c r="B5" s="25" t="s">
        <v>151</v>
      </c>
      <c r="C5" s="25" t="str">
        <f t="shared" ref="C5:C41" si="0">D5&amp;" "&amp;E5</f>
        <v>Shipment 1 SCR Frame</v>
      </c>
      <c r="D5" s="25" t="s">
        <v>149</v>
      </c>
      <c r="E5" s="25" t="s">
        <v>150</v>
      </c>
      <c r="F5" s="25"/>
      <c r="G5" s="65">
        <v>46192</v>
      </c>
      <c r="H5" s="25" t="s">
        <v>153</v>
      </c>
      <c r="I5" s="25"/>
      <c r="J5" s="26" t="s">
        <v>155</v>
      </c>
      <c r="K5" s="27" t="s">
        <v>72</v>
      </c>
      <c r="L5" s="28" t="s">
        <v>73</v>
      </c>
      <c r="M5" s="28" t="s">
        <v>71</v>
      </c>
      <c r="N5" s="25">
        <v>2</v>
      </c>
      <c r="O5" s="29">
        <v>0.5</v>
      </c>
      <c r="P5" s="29">
        <v>1</v>
      </c>
      <c r="Q5" s="25" t="s">
        <v>126</v>
      </c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41" si="1">+AL5*0.5+AO5*0.4+AV5*0.1</f>
        <v>1</v>
      </c>
      <c r="AF5" s="32">
        <f t="shared" ref="AF5:AF41" si="2">+P5-AE5</f>
        <v>0</v>
      </c>
      <c r="AG5" s="30"/>
      <c r="AH5" s="33"/>
      <c r="AI5" s="34">
        <f t="shared" ref="AI5:AI41" si="3">+AH5*P5</f>
        <v>0</v>
      </c>
      <c r="AJ5" s="35">
        <v>46241</v>
      </c>
      <c r="AK5" s="30">
        <v>2</v>
      </c>
      <c r="AL5" s="36">
        <f t="shared" ref="AL5:AL41" si="4">IFERROR(AK5*$P5/$N5,0)</f>
        <v>1</v>
      </c>
      <c r="AM5" s="35">
        <v>46245</v>
      </c>
      <c r="AN5" s="30">
        <v>2</v>
      </c>
      <c r="AO5" s="36">
        <f t="shared" ref="AO5:AO41" si="5">IFERROR(AN5*$P5/$N5,0)</f>
        <v>1</v>
      </c>
      <c r="AP5" s="35"/>
      <c r="AQ5" s="30"/>
      <c r="AR5" s="36">
        <f t="shared" ref="AR5:AR41" si="6">IFERROR(AQ5*$P5/$N5,0)</f>
        <v>0</v>
      </c>
      <c r="AS5" s="27" t="s">
        <v>156</v>
      </c>
      <c r="AT5" s="37">
        <v>46245</v>
      </c>
      <c r="AU5" s="30">
        <v>2</v>
      </c>
      <c r="AV5" s="36">
        <f t="shared" ref="AV5:AV41" si="7">IFERROR(AU5*$P5/$N5,0)</f>
        <v>1</v>
      </c>
      <c r="AW5" s="35">
        <v>46245</v>
      </c>
      <c r="AX5" s="30">
        <v>2</v>
      </c>
      <c r="AY5" s="32">
        <f t="shared" ref="AY5:AY19" si="8">IFERROR(AX5*$P5/$N5,0)</f>
        <v>1</v>
      </c>
      <c r="AZ5" s="30" t="s">
        <v>152</v>
      </c>
      <c r="BA5" s="63" t="s">
        <v>158</v>
      </c>
      <c r="BB5" s="71"/>
      <c r="BC5" s="71"/>
      <c r="BD5" s="71"/>
      <c r="BF5" s="60" t="s">
        <v>149</v>
      </c>
      <c r="BG5" s="72">
        <v>19050.700000000004</v>
      </c>
      <c r="BH5" s="70">
        <v>19050.700000000004</v>
      </c>
    </row>
    <row r="6" spans="1:60" x14ac:dyDescent="0.25">
      <c r="A6" s="24">
        <f>IF(B6="","",SUBTOTAL(3,$B$4:B6))</f>
        <v>3</v>
      </c>
      <c r="B6" s="25" t="s">
        <v>151</v>
      </c>
      <c r="C6" s="25" t="str">
        <f t="shared" si="0"/>
        <v>Shipment 1 SCR Frame</v>
      </c>
      <c r="D6" s="25" t="s">
        <v>149</v>
      </c>
      <c r="E6" s="25" t="s">
        <v>150</v>
      </c>
      <c r="F6" s="25"/>
      <c r="G6" s="65">
        <v>46192</v>
      </c>
      <c r="H6" s="25" t="s">
        <v>153</v>
      </c>
      <c r="I6" s="25"/>
      <c r="J6" s="26" t="s">
        <v>155</v>
      </c>
      <c r="K6" s="27" t="s">
        <v>74</v>
      </c>
      <c r="L6" s="28" t="s">
        <v>75</v>
      </c>
      <c r="M6" s="28" t="s">
        <v>71</v>
      </c>
      <c r="N6" s="25">
        <v>4</v>
      </c>
      <c r="O6" s="29">
        <v>0.1</v>
      </c>
      <c r="P6" s="29">
        <v>0.5</v>
      </c>
      <c r="Q6" s="25" t="s">
        <v>127</v>
      </c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0.5</v>
      </c>
      <c r="AF6" s="32">
        <f t="shared" si="2"/>
        <v>0</v>
      </c>
      <c r="AG6" s="30"/>
      <c r="AH6" s="33"/>
      <c r="AI6" s="34">
        <f t="shared" si="3"/>
        <v>0</v>
      </c>
      <c r="AJ6" s="35">
        <v>46241</v>
      </c>
      <c r="AK6" s="30">
        <v>4</v>
      </c>
      <c r="AL6" s="36">
        <f t="shared" si="4"/>
        <v>0.5</v>
      </c>
      <c r="AM6" s="35">
        <v>46245</v>
      </c>
      <c r="AN6" s="30">
        <v>4</v>
      </c>
      <c r="AO6" s="36">
        <f t="shared" si="5"/>
        <v>0.5</v>
      </c>
      <c r="AP6" s="35"/>
      <c r="AQ6" s="30"/>
      <c r="AR6" s="36">
        <f t="shared" si="6"/>
        <v>0</v>
      </c>
      <c r="AS6" s="27" t="s">
        <v>156</v>
      </c>
      <c r="AT6" s="37">
        <v>46245</v>
      </c>
      <c r="AU6" s="30">
        <v>4</v>
      </c>
      <c r="AV6" s="36">
        <f t="shared" si="7"/>
        <v>0.5</v>
      </c>
      <c r="AW6" s="35">
        <v>46245</v>
      </c>
      <c r="AX6" s="30">
        <v>4</v>
      </c>
      <c r="AY6" s="32">
        <f t="shared" si="8"/>
        <v>0.5</v>
      </c>
      <c r="AZ6" s="30" t="s">
        <v>152</v>
      </c>
      <c r="BA6" s="63" t="s">
        <v>158</v>
      </c>
      <c r="BB6" s="71"/>
      <c r="BC6" s="71"/>
      <c r="BD6" s="71"/>
      <c r="BF6" s="61" t="s">
        <v>150</v>
      </c>
      <c r="BG6" s="72">
        <v>19050.700000000004</v>
      </c>
      <c r="BH6" s="70">
        <v>19050.700000000004</v>
      </c>
    </row>
    <row r="7" spans="1:60" x14ac:dyDescent="0.25">
      <c r="A7" s="24">
        <f>IF(B7="","",SUBTOTAL(3,$B$4:B7))</f>
        <v>4</v>
      </c>
      <c r="B7" s="25" t="s">
        <v>151</v>
      </c>
      <c r="C7" s="25" t="str">
        <f t="shared" si="0"/>
        <v>Shipment 1 SCR Frame</v>
      </c>
      <c r="D7" s="25" t="s">
        <v>149</v>
      </c>
      <c r="E7" s="25" t="s">
        <v>150</v>
      </c>
      <c r="F7" s="25"/>
      <c r="G7" s="65">
        <v>46192</v>
      </c>
      <c r="H7" s="25" t="s">
        <v>153</v>
      </c>
      <c r="I7" s="25"/>
      <c r="J7" s="26" t="s">
        <v>155</v>
      </c>
      <c r="K7" s="27" t="s">
        <v>76</v>
      </c>
      <c r="L7" s="28" t="s">
        <v>77</v>
      </c>
      <c r="M7" s="28" t="s">
        <v>71</v>
      </c>
      <c r="N7" s="25">
        <v>1</v>
      </c>
      <c r="O7" s="29">
        <v>0.2</v>
      </c>
      <c r="P7" s="29">
        <v>0.2</v>
      </c>
      <c r="Q7" s="25" t="s">
        <v>128</v>
      </c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0.2</v>
      </c>
      <c r="AF7" s="32">
        <f t="shared" si="2"/>
        <v>0</v>
      </c>
      <c r="AG7" s="30"/>
      <c r="AH7" s="33"/>
      <c r="AI7" s="34">
        <f t="shared" si="3"/>
        <v>0</v>
      </c>
      <c r="AJ7" s="35">
        <v>46241</v>
      </c>
      <c r="AK7" s="30">
        <v>1</v>
      </c>
      <c r="AL7" s="36">
        <f t="shared" si="4"/>
        <v>0.2</v>
      </c>
      <c r="AM7" s="35">
        <v>46245</v>
      </c>
      <c r="AN7" s="30">
        <v>1</v>
      </c>
      <c r="AO7" s="36">
        <f t="shared" si="5"/>
        <v>0.2</v>
      </c>
      <c r="AP7" s="35"/>
      <c r="AQ7" s="30"/>
      <c r="AR7" s="36">
        <f t="shared" si="6"/>
        <v>0</v>
      </c>
      <c r="AS7" s="27" t="s">
        <v>156</v>
      </c>
      <c r="AT7" s="37">
        <v>46245</v>
      </c>
      <c r="AU7" s="30">
        <v>1</v>
      </c>
      <c r="AV7" s="36">
        <f t="shared" si="7"/>
        <v>0.2</v>
      </c>
      <c r="AW7" s="35">
        <v>46245</v>
      </c>
      <c r="AX7" s="30">
        <v>1</v>
      </c>
      <c r="AY7" s="32">
        <f t="shared" si="8"/>
        <v>0.2</v>
      </c>
      <c r="AZ7" s="30" t="s">
        <v>152</v>
      </c>
      <c r="BA7" s="63" t="s">
        <v>158</v>
      </c>
      <c r="BB7" s="71"/>
      <c r="BC7" s="71"/>
      <c r="BD7" s="71"/>
      <c r="BF7" s="59" t="s">
        <v>50</v>
      </c>
      <c r="BG7" s="72">
        <v>19050.700000000004</v>
      </c>
      <c r="BH7" s="70">
        <v>19050.700000000004</v>
      </c>
    </row>
    <row r="8" spans="1:60" x14ac:dyDescent="0.25">
      <c r="A8" s="24">
        <f>IF(B8="","",SUBTOTAL(3,$B$4:B8))</f>
        <v>5</v>
      </c>
      <c r="B8" s="25" t="s">
        <v>151</v>
      </c>
      <c r="C8" s="25" t="str">
        <f t="shared" si="0"/>
        <v>Shipment 1 SCR Frame</v>
      </c>
      <c r="D8" s="25" t="s">
        <v>149</v>
      </c>
      <c r="E8" s="25" t="s">
        <v>150</v>
      </c>
      <c r="F8" s="25"/>
      <c r="G8" s="65">
        <v>46192</v>
      </c>
      <c r="H8" s="25" t="s">
        <v>153</v>
      </c>
      <c r="I8" s="25"/>
      <c r="J8" s="26" t="s">
        <v>155</v>
      </c>
      <c r="K8" s="27" t="s">
        <v>78</v>
      </c>
      <c r="L8" s="28" t="s">
        <v>79</v>
      </c>
      <c r="M8" s="28" t="s">
        <v>71</v>
      </c>
      <c r="N8" s="25">
        <v>2</v>
      </c>
      <c r="O8" s="29">
        <v>1.4</v>
      </c>
      <c r="P8" s="29">
        <v>2.7</v>
      </c>
      <c r="Q8" s="25" t="s">
        <v>129</v>
      </c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2.7</v>
      </c>
      <c r="AF8" s="32">
        <f t="shared" si="2"/>
        <v>0</v>
      </c>
      <c r="AG8" s="30"/>
      <c r="AH8" s="33"/>
      <c r="AI8" s="34">
        <f t="shared" si="3"/>
        <v>0</v>
      </c>
      <c r="AJ8" s="35">
        <v>46241</v>
      </c>
      <c r="AK8" s="30">
        <v>2</v>
      </c>
      <c r="AL8" s="36">
        <f t="shared" si="4"/>
        <v>2.7</v>
      </c>
      <c r="AM8" s="35">
        <v>46245</v>
      </c>
      <c r="AN8" s="30">
        <v>2</v>
      </c>
      <c r="AO8" s="36">
        <f t="shared" si="5"/>
        <v>2.7</v>
      </c>
      <c r="AP8" s="35"/>
      <c r="AQ8" s="30"/>
      <c r="AR8" s="36">
        <f t="shared" si="6"/>
        <v>0</v>
      </c>
      <c r="AS8" s="27" t="s">
        <v>156</v>
      </c>
      <c r="AT8" s="37">
        <v>46245</v>
      </c>
      <c r="AU8" s="30">
        <v>2</v>
      </c>
      <c r="AV8" s="36">
        <f t="shared" si="7"/>
        <v>2.7</v>
      </c>
      <c r="AW8" s="35">
        <v>46245</v>
      </c>
      <c r="AX8" s="30">
        <v>2</v>
      </c>
      <c r="AY8" s="32">
        <f t="shared" si="8"/>
        <v>2.7</v>
      </c>
      <c r="AZ8" s="30" t="s">
        <v>152</v>
      </c>
      <c r="BA8" s="63" t="s">
        <v>158</v>
      </c>
      <c r="BB8" s="71"/>
      <c r="BC8" s="71"/>
      <c r="BD8" s="71"/>
    </row>
    <row r="9" spans="1:60" x14ac:dyDescent="0.25">
      <c r="A9" s="24">
        <f>IF(B9="","",SUBTOTAL(3,$B$4:B9))</f>
        <v>6</v>
      </c>
      <c r="B9" s="25" t="s">
        <v>151</v>
      </c>
      <c r="C9" s="25" t="str">
        <f t="shared" si="0"/>
        <v>Shipment 1 SCR Frame</v>
      </c>
      <c r="D9" s="25" t="s">
        <v>149</v>
      </c>
      <c r="E9" s="25" t="s">
        <v>150</v>
      </c>
      <c r="F9" s="25"/>
      <c r="G9" s="65">
        <v>46192</v>
      </c>
      <c r="H9" s="25" t="s">
        <v>153</v>
      </c>
      <c r="I9" s="25"/>
      <c r="J9" s="26" t="s">
        <v>155</v>
      </c>
      <c r="K9" s="27" t="s">
        <v>80</v>
      </c>
      <c r="L9" s="28" t="s">
        <v>81</v>
      </c>
      <c r="M9" s="28" t="s">
        <v>71</v>
      </c>
      <c r="N9" s="25">
        <v>44</v>
      </c>
      <c r="O9" s="29">
        <v>1.9</v>
      </c>
      <c r="P9" s="29">
        <v>85.3</v>
      </c>
      <c r="Q9" s="25" t="s">
        <v>130</v>
      </c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85.3</v>
      </c>
      <c r="AF9" s="32">
        <f t="shared" si="2"/>
        <v>0</v>
      </c>
      <c r="AG9" s="30"/>
      <c r="AH9" s="33"/>
      <c r="AI9" s="34">
        <f t="shared" si="3"/>
        <v>0</v>
      </c>
      <c r="AJ9" s="35">
        <v>46241</v>
      </c>
      <c r="AK9" s="30">
        <v>44</v>
      </c>
      <c r="AL9" s="36">
        <f t="shared" si="4"/>
        <v>85.3</v>
      </c>
      <c r="AM9" s="35">
        <v>46245</v>
      </c>
      <c r="AN9" s="30">
        <v>44</v>
      </c>
      <c r="AO9" s="36">
        <f t="shared" si="5"/>
        <v>85.3</v>
      </c>
      <c r="AP9" s="35"/>
      <c r="AQ9" s="30"/>
      <c r="AR9" s="36">
        <f t="shared" si="6"/>
        <v>0</v>
      </c>
      <c r="AS9" s="27" t="s">
        <v>156</v>
      </c>
      <c r="AT9" s="37">
        <v>46245</v>
      </c>
      <c r="AU9" s="30">
        <v>44</v>
      </c>
      <c r="AV9" s="36">
        <f t="shared" si="7"/>
        <v>85.3</v>
      </c>
      <c r="AW9" s="35">
        <v>46245</v>
      </c>
      <c r="AX9" s="30">
        <v>44</v>
      </c>
      <c r="AY9" s="32">
        <f t="shared" si="8"/>
        <v>85.3</v>
      </c>
      <c r="AZ9" s="30" t="s">
        <v>152</v>
      </c>
      <c r="BA9" s="63" t="s">
        <v>158</v>
      </c>
      <c r="BB9" s="71"/>
      <c r="BC9" s="71"/>
      <c r="BD9" s="71"/>
    </row>
    <row r="10" spans="1:60" x14ac:dyDescent="0.25">
      <c r="A10" s="24">
        <f>IF(B10="","",SUBTOTAL(3,$B$4:B10))</f>
        <v>7</v>
      </c>
      <c r="B10" s="25" t="s">
        <v>151</v>
      </c>
      <c r="C10" s="25" t="str">
        <f t="shared" si="0"/>
        <v>Shipment 1 SCR Frame</v>
      </c>
      <c r="D10" s="25" t="s">
        <v>149</v>
      </c>
      <c r="E10" s="25" t="s">
        <v>150</v>
      </c>
      <c r="F10" s="25"/>
      <c r="G10" s="65">
        <v>46192</v>
      </c>
      <c r="H10" s="25" t="s">
        <v>153</v>
      </c>
      <c r="I10" s="25"/>
      <c r="J10" s="26" t="s">
        <v>155</v>
      </c>
      <c r="K10" s="27" t="s">
        <v>82</v>
      </c>
      <c r="L10" s="28" t="s">
        <v>83</v>
      </c>
      <c r="M10" s="28" t="s">
        <v>71</v>
      </c>
      <c r="N10" s="25">
        <v>2</v>
      </c>
      <c r="O10" s="29">
        <v>2</v>
      </c>
      <c r="P10" s="29">
        <v>3.9</v>
      </c>
      <c r="Q10" s="25" t="s">
        <v>131</v>
      </c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3.9</v>
      </c>
      <c r="AF10" s="32">
        <f t="shared" si="2"/>
        <v>0</v>
      </c>
      <c r="AG10" s="30"/>
      <c r="AH10" s="33"/>
      <c r="AI10" s="34">
        <f t="shared" si="3"/>
        <v>0</v>
      </c>
      <c r="AJ10" s="35">
        <v>46241</v>
      </c>
      <c r="AK10" s="30">
        <v>2</v>
      </c>
      <c r="AL10" s="36">
        <f t="shared" si="4"/>
        <v>3.9</v>
      </c>
      <c r="AM10" s="35">
        <v>46245</v>
      </c>
      <c r="AN10" s="30">
        <v>2</v>
      </c>
      <c r="AO10" s="36">
        <f t="shared" si="5"/>
        <v>3.9</v>
      </c>
      <c r="AP10" s="35"/>
      <c r="AQ10" s="30"/>
      <c r="AR10" s="36">
        <f t="shared" si="6"/>
        <v>0</v>
      </c>
      <c r="AS10" s="27" t="s">
        <v>156</v>
      </c>
      <c r="AT10" s="37">
        <v>46245</v>
      </c>
      <c r="AU10" s="30">
        <v>2</v>
      </c>
      <c r="AV10" s="36">
        <f t="shared" si="7"/>
        <v>3.9</v>
      </c>
      <c r="AW10" s="35">
        <v>46245</v>
      </c>
      <c r="AX10" s="30">
        <v>2</v>
      </c>
      <c r="AY10" s="32">
        <f t="shared" si="8"/>
        <v>3.9</v>
      </c>
      <c r="AZ10" s="30" t="s">
        <v>152</v>
      </c>
      <c r="BA10" s="63" t="s">
        <v>158</v>
      </c>
      <c r="BB10" s="71"/>
      <c r="BC10" s="71"/>
      <c r="BD10" s="71"/>
    </row>
    <row r="11" spans="1:60" x14ac:dyDescent="0.25">
      <c r="A11" s="24">
        <f>IF(B11="","",SUBTOTAL(3,$B$4:B11))</f>
        <v>8</v>
      </c>
      <c r="B11" s="25" t="s">
        <v>151</v>
      </c>
      <c r="C11" s="25" t="str">
        <f t="shared" si="0"/>
        <v>Shipment 1 SCR Frame</v>
      </c>
      <c r="D11" s="25" t="s">
        <v>149</v>
      </c>
      <c r="E11" s="25" t="s">
        <v>150</v>
      </c>
      <c r="F11" s="25"/>
      <c r="G11" s="65">
        <v>46192</v>
      </c>
      <c r="H11" s="25" t="s">
        <v>153</v>
      </c>
      <c r="I11" s="25"/>
      <c r="J11" s="26" t="s">
        <v>155</v>
      </c>
      <c r="K11" s="27" t="s">
        <v>84</v>
      </c>
      <c r="L11" s="28" t="s">
        <v>85</v>
      </c>
      <c r="M11" s="28" t="s">
        <v>71</v>
      </c>
      <c r="N11" s="25">
        <v>1</v>
      </c>
      <c r="O11" s="29">
        <v>3.8</v>
      </c>
      <c r="P11" s="29">
        <v>3.8</v>
      </c>
      <c r="Q11" s="25" t="s">
        <v>132</v>
      </c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"/>
        <v>3.8</v>
      </c>
      <c r="AF11" s="32">
        <f t="shared" si="2"/>
        <v>0</v>
      </c>
      <c r="AG11" s="30"/>
      <c r="AH11" s="33"/>
      <c r="AI11" s="34">
        <f t="shared" si="3"/>
        <v>0</v>
      </c>
      <c r="AJ11" s="35">
        <v>46241</v>
      </c>
      <c r="AK11" s="30">
        <v>1</v>
      </c>
      <c r="AL11" s="36">
        <f t="shared" si="4"/>
        <v>3.8</v>
      </c>
      <c r="AM11" s="35">
        <v>46245</v>
      </c>
      <c r="AN11" s="30">
        <v>1</v>
      </c>
      <c r="AO11" s="36">
        <f t="shared" si="5"/>
        <v>3.8</v>
      </c>
      <c r="AP11" s="35"/>
      <c r="AQ11" s="30"/>
      <c r="AR11" s="36">
        <f t="shared" si="6"/>
        <v>0</v>
      </c>
      <c r="AS11" s="27" t="s">
        <v>156</v>
      </c>
      <c r="AT11" s="37">
        <v>46245</v>
      </c>
      <c r="AU11" s="30">
        <v>1</v>
      </c>
      <c r="AV11" s="36">
        <f t="shared" si="7"/>
        <v>3.8</v>
      </c>
      <c r="AW11" s="35">
        <v>46245</v>
      </c>
      <c r="AX11" s="30">
        <v>1</v>
      </c>
      <c r="AY11" s="32">
        <f t="shared" si="8"/>
        <v>3.8</v>
      </c>
      <c r="AZ11" s="30" t="s">
        <v>152</v>
      </c>
      <c r="BA11" s="63" t="s">
        <v>158</v>
      </c>
      <c r="BB11" s="71"/>
      <c r="BC11" s="71"/>
      <c r="BD11" s="71"/>
    </row>
    <row r="12" spans="1:60" x14ac:dyDescent="0.25">
      <c r="A12" s="24">
        <f>IF(B12="","",SUBTOTAL(3,$B$4:B12))</f>
        <v>9</v>
      </c>
      <c r="B12" s="25" t="s">
        <v>151</v>
      </c>
      <c r="C12" s="25" t="str">
        <f t="shared" si="0"/>
        <v>Shipment 1 SCR Frame</v>
      </c>
      <c r="D12" s="25" t="s">
        <v>149</v>
      </c>
      <c r="E12" s="25" t="s">
        <v>150</v>
      </c>
      <c r="F12" s="25"/>
      <c r="G12" s="65">
        <v>46192</v>
      </c>
      <c r="H12" s="25" t="s">
        <v>153</v>
      </c>
      <c r="I12" s="25"/>
      <c r="J12" s="26" t="s">
        <v>155</v>
      </c>
      <c r="K12" s="27" t="s">
        <v>86</v>
      </c>
      <c r="L12" s="28" t="s">
        <v>87</v>
      </c>
      <c r="M12" s="28" t="s">
        <v>71</v>
      </c>
      <c r="N12" s="25">
        <v>6</v>
      </c>
      <c r="O12" s="29">
        <v>4.0999999999999996</v>
      </c>
      <c r="P12" s="29">
        <v>24.7</v>
      </c>
      <c r="Q12" s="25" t="s">
        <v>133</v>
      </c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"/>
        <v>24.7</v>
      </c>
      <c r="AF12" s="32">
        <f t="shared" si="2"/>
        <v>0</v>
      </c>
      <c r="AG12" s="30"/>
      <c r="AH12" s="33"/>
      <c r="AI12" s="34">
        <f t="shared" si="3"/>
        <v>0</v>
      </c>
      <c r="AJ12" s="35">
        <v>46241</v>
      </c>
      <c r="AK12" s="30">
        <v>6</v>
      </c>
      <c r="AL12" s="36">
        <f t="shared" si="4"/>
        <v>24.7</v>
      </c>
      <c r="AM12" s="35">
        <v>46245</v>
      </c>
      <c r="AN12" s="30">
        <v>6</v>
      </c>
      <c r="AO12" s="36">
        <f t="shared" si="5"/>
        <v>24.7</v>
      </c>
      <c r="AP12" s="35"/>
      <c r="AQ12" s="30"/>
      <c r="AR12" s="36">
        <f t="shared" si="6"/>
        <v>0</v>
      </c>
      <c r="AS12" s="27" t="s">
        <v>156</v>
      </c>
      <c r="AT12" s="37">
        <v>46245</v>
      </c>
      <c r="AU12" s="30">
        <v>6</v>
      </c>
      <c r="AV12" s="36">
        <f t="shared" si="7"/>
        <v>24.7</v>
      </c>
      <c r="AW12" s="35">
        <v>46245</v>
      </c>
      <c r="AX12" s="30">
        <v>6</v>
      </c>
      <c r="AY12" s="32">
        <f t="shared" si="8"/>
        <v>24.7</v>
      </c>
      <c r="AZ12" s="30" t="s">
        <v>152</v>
      </c>
      <c r="BA12" s="63" t="s">
        <v>158</v>
      </c>
      <c r="BB12" s="71"/>
      <c r="BC12" s="71"/>
      <c r="BD12" s="71"/>
    </row>
    <row r="13" spans="1:60" x14ac:dyDescent="0.25">
      <c r="A13" s="24">
        <f>IF(B13="","",SUBTOTAL(3,$B$4:B13))</f>
        <v>10</v>
      </c>
      <c r="B13" s="25" t="s">
        <v>151</v>
      </c>
      <c r="C13" s="25" t="str">
        <f t="shared" si="0"/>
        <v>Shipment 1 SCR Frame</v>
      </c>
      <c r="D13" s="25" t="s">
        <v>149</v>
      </c>
      <c r="E13" s="25" t="s">
        <v>150</v>
      </c>
      <c r="F13" s="25"/>
      <c r="G13" s="65">
        <v>46192</v>
      </c>
      <c r="H13" s="25" t="s">
        <v>153</v>
      </c>
      <c r="I13" s="25"/>
      <c r="J13" s="26" t="s">
        <v>155</v>
      </c>
      <c r="K13" s="27" t="s">
        <v>88</v>
      </c>
      <c r="L13" s="28" t="s">
        <v>89</v>
      </c>
      <c r="M13" s="28" t="s">
        <v>71</v>
      </c>
      <c r="N13" s="25">
        <v>1</v>
      </c>
      <c r="O13" s="29">
        <v>0.9</v>
      </c>
      <c r="P13" s="29">
        <v>0.9</v>
      </c>
      <c r="Q13" s="25" t="s">
        <v>134</v>
      </c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"/>
        <v>0.9</v>
      </c>
      <c r="AF13" s="32">
        <f t="shared" si="2"/>
        <v>0</v>
      </c>
      <c r="AG13" s="30"/>
      <c r="AH13" s="33"/>
      <c r="AI13" s="34">
        <f t="shared" si="3"/>
        <v>0</v>
      </c>
      <c r="AJ13" s="35">
        <v>46241</v>
      </c>
      <c r="AK13" s="30">
        <v>1</v>
      </c>
      <c r="AL13" s="36">
        <f t="shared" si="4"/>
        <v>0.9</v>
      </c>
      <c r="AM13" s="35">
        <v>46245</v>
      </c>
      <c r="AN13" s="30">
        <v>1</v>
      </c>
      <c r="AO13" s="36">
        <f t="shared" si="5"/>
        <v>0.9</v>
      </c>
      <c r="AP13" s="35"/>
      <c r="AQ13" s="30"/>
      <c r="AR13" s="36">
        <f t="shared" si="6"/>
        <v>0</v>
      </c>
      <c r="AS13" s="27" t="s">
        <v>156</v>
      </c>
      <c r="AT13" s="37">
        <v>46245</v>
      </c>
      <c r="AU13" s="30">
        <v>1</v>
      </c>
      <c r="AV13" s="36">
        <f t="shared" si="7"/>
        <v>0.9</v>
      </c>
      <c r="AW13" s="35">
        <v>46245</v>
      </c>
      <c r="AX13" s="30">
        <v>1</v>
      </c>
      <c r="AY13" s="32">
        <f t="shared" si="8"/>
        <v>0.9</v>
      </c>
      <c r="AZ13" s="30" t="s">
        <v>152</v>
      </c>
      <c r="BA13" s="63" t="s">
        <v>158</v>
      </c>
      <c r="BB13" s="71"/>
      <c r="BC13" s="71"/>
      <c r="BD13" s="71"/>
    </row>
    <row r="14" spans="1:60" x14ac:dyDescent="0.25">
      <c r="A14" s="24">
        <f>IF(B14="","",SUBTOTAL(3,$B$4:B14))</f>
        <v>11</v>
      </c>
      <c r="B14" s="25" t="s">
        <v>151</v>
      </c>
      <c r="C14" s="25" t="str">
        <f t="shared" si="0"/>
        <v>Shipment 1 SCR Frame</v>
      </c>
      <c r="D14" s="25" t="s">
        <v>149</v>
      </c>
      <c r="E14" s="25" t="s">
        <v>150</v>
      </c>
      <c r="F14" s="25"/>
      <c r="G14" s="65">
        <v>46192</v>
      </c>
      <c r="H14" s="25" t="s">
        <v>153</v>
      </c>
      <c r="I14" s="25"/>
      <c r="J14" s="26" t="s">
        <v>155</v>
      </c>
      <c r="K14" s="27" t="s">
        <v>90</v>
      </c>
      <c r="L14" s="28" t="s">
        <v>91</v>
      </c>
      <c r="M14" s="28" t="s">
        <v>71</v>
      </c>
      <c r="N14" s="25">
        <v>1</v>
      </c>
      <c r="O14" s="29">
        <v>6.4</v>
      </c>
      <c r="P14" s="29">
        <v>6.4</v>
      </c>
      <c r="Q14" s="25" t="s">
        <v>135</v>
      </c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"/>
        <v>6.4</v>
      </c>
      <c r="AF14" s="32">
        <f t="shared" si="2"/>
        <v>0</v>
      </c>
      <c r="AG14" s="30"/>
      <c r="AH14" s="33"/>
      <c r="AI14" s="34">
        <f t="shared" si="3"/>
        <v>0</v>
      </c>
      <c r="AJ14" s="35">
        <v>46241</v>
      </c>
      <c r="AK14" s="30">
        <v>1</v>
      </c>
      <c r="AL14" s="36">
        <f t="shared" si="4"/>
        <v>6.4</v>
      </c>
      <c r="AM14" s="35">
        <v>46245</v>
      </c>
      <c r="AN14" s="30">
        <v>1</v>
      </c>
      <c r="AO14" s="36">
        <f t="shared" si="5"/>
        <v>6.4</v>
      </c>
      <c r="AP14" s="35"/>
      <c r="AQ14" s="30"/>
      <c r="AR14" s="36">
        <f t="shared" si="6"/>
        <v>0</v>
      </c>
      <c r="AS14" s="27" t="s">
        <v>156</v>
      </c>
      <c r="AT14" s="37">
        <v>46245</v>
      </c>
      <c r="AU14" s="30">
        <v>1</v>
      </c>
      <c r="AV14" s="36">
        <f t="shared" si="7"/>
        <v>6.4</v>
      </c>
      <c r="AW14" s="35">
        <v>46245</v>
      </c>
      <c r="AX14" s="30">
        <v>1</v>
      </c>
      <c r="AY14" s="32">
        <f t="shared" si="8"/>
        <v>6.4</v>
      </c>
      <c r="AZ14" s="30" t="s">
        <v>152</v>
      </c>
      <c r="BA14" s="63" t="s">
        <v>158</v>
      </c>
      <c r="BB14" s="71"/>
      <c r="BC14" s="71"/>
      <c r="BD14" s="71"/>
    </row>
    <row r="15" spans="1:60" x14ac:dyDescent="0.25">
      <c r="A15" s="24">
        <f>IF(B15="","",SUBTOTAL(3,$B$4:B15))</f>
        <v>12</v>
      </c>
      <c r="B15" s="25" t="s">
        <v>151</v>
      </c>
      <c r="C15" s="25" t="str">
        <f t="shared" si="0"/>
        <v>Shipment 1 SCR Frame</v>
      </c>
      <c r="D15" s="25" t="s">
        <v>149</v>
      </c>
      <c r="E15" s="25" t="s">
        <v>150</v>
      </c>
      <c r="F15" s="25"/>
      <c r="G15" s="65">
        <v>46192</v>
      </c>
      <c r="H15" s="25" t="s">
        <v>153</v>
      </c>
      <c r="I15" s="25"/>
      <c r="J15" s="26" t="s">
        <v>155</v>
      </c>
      <c r="K15" s="27" t="s">
        <v>92</v>
      </c>
      <c r="L15" s="28" t="s">
        <v>93</v>
      </c>
      <c r="M15" s="28" t="s">
        <v>71</v>
      </c>
      <c r="N15" s="25">
        <v>4</v>
      </c>
      <c r="O15" s="29">
        <v>6.5</v>
      </c>
      <c r="P15" s="29">
        <v>26.2</v>
      </c>
      <c r="Q15" s="25" t="s">
        <v>136</v>
      </c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"/>
        <v>26.2</v>
      </c>
      <c r="AF15" s="32">
        <f t="shared" si="2"/>
        <v>0</v>
      </c>
      <c r="AG15" s="30"/>
      <c r="AH15" s="33"/>
      <c r="AI15" s="34">
        <f t="shared" si="3"/>
        <v>0</v>
      </c>
      <c r="AJ15" s="35">
        <v>46241</v>
      </c>
      <c r="AK15" s="30">
        <v>4</v>
      </c>
      <c r="AL15" s="36">
        <f t="shared" si="4"/>
        <v>26.2</v>
      </c>
      <c r="AM15" s="35">
        <v>46245</v>
      </c>
      <c r="AN15" s="30">
        <v>4</v>
      </c>
      <c r="AO15" s="36">
        <f t="shared" si="5"/>
        <v>26.2</v>
      </c>
      <c r="AP15" s="35"/>
      <c r="AQ15" s="30"/>
      <c r="AR15" s="36">
        <f t="shared" si="6"/>
        <v>0</v>
      </c>
      <c r="AS15" s="27" t="s">
        <v>156</v>
      </c>
      <c r="AT15" s="37">
        <v>46245</v>
      </c>
      <c r="AU15" s="30">
        <v>4</v>
      </c>
      <c r="AV15" s="36">
        <f t="shared" si="7"/>
        <v>26.2</v>
      </c>
      <c r="AW15" s="35">
        <v>46245</v>
      </c>
      <c r="AX15" s="30">
        <v>4</v>
      </c>
      <c r="AY15" s="32">
        <f t="shared" si="8"/>
        <v>26.2</v>
      </c>
      <c r="AZ15" s="30" t="s">
        <v>152</v>
      </c>
      <c r="BA15" s="63" t="s">
        <v>158</v>
      </c>
      <c r="BB15" s="71"/>
      <c r="BC15" s="71"/>
      <c r="BD15" s="71"/>
    </row>
    <row r="16" spans="1:60" x14ac:dyDescent="0.25">
      <c r="A16" s="24">
        <f>IF(B16="","",SUBTOTAL(3,$B$4:B16))</f>
        <v>13</v>
      </c>
      <c r="B16" s="25" t="s">
        <v>151</v>
      </c>
      <c r="C16" s="25" t="str">
        <f t="shared" si="0"/>
        <v>Shipment 1 SCR Frame</v>
      </c>
      <c r="D16" s="25" t="s">
        <v>149</v>
      </c>
      <c r="E16" s="25" t="s">
        <v>150</v>
      </c>
      <c r="F16" s="25"/>
      <c r="G16" s="65">
        <v>46192</v>
      </c>
      <c r="H16" s="25" t="s">
        <v>153</v>
      </c>
      <c r="I16" s="25"/>
      <c r="J16" s="26" t="s">
        <v>155</v>
      </c>
      <c r="K16" s="27" t="s">
        <v>94</v>
      </c>
      <c r="L16" s="28" t="s">
        <v>95</v>
      </c>
      <c r="M16" s="28" t="s">
        <v>71</v>
      </c>
      <c r="N16" s="25">
        <v>1</v>
      </c>
      <c r="O16" s="29">
        <v>2.2000000000000002</v>
      </c>
      <c r="P16" s="29">
        <v>2.2000000000000002</v>
      </c>
      <c r="Q16" s="25" t="s">
        <v>137</v>
      </c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"/>
        <v>2.2000000000000002</v>
      </c>
      <c r="AF16" s="32">
        <f t="shared" si="2"/>
        <v>0</v>
      </c>
      <c r="AG16" s="30"/>
      <c r="AH16" s="33"/>
      <c r="AI16" s="34">
        <f t="shared" si="3"/>
        <v>0</v>
      </c>
      <c r="AJ16" s="35">
        <v>46241</v>
      </c>
      <c r="AK16" s="30">
        <v>1</v>
      </c>
      <c r="AL16" s="36">
        <f t="shared" si="4"/>
        <v>2.2000000000000002</v>
      </c>
      <c r="AM16" s="35">
        <v>46245</v>
      </c>
      <c r="AN16" s="30">
        <v>1</v>
      </c>
      <c r="AO16" s="36">
        <f t="shared" si="5"/>
        <v>2.2000000000000002</v>
      </c>
      <c r="AP16" s="35"/>
      <c r="AQ16" s="30"/>
      <c r="AR16" s="36">
        <f t="shared" si="6"/>
        <v>0</v>
      </c>
      <c r="AS16" s="27" t="s">
        <v>156</v>
      </c>
      <c r="AT16" s="37">
        <v>46245</v>
      </c>
      <c r="AU16" s="30">
        <v>1</v>
      </c>
      <c r="AV16" s="36">
        <f t="shared" si="7"/>
        <v>2.2000000000000002</v>
      </c>
      <c r="AW16" s="35">
        <v>46245</v>
      </c>
      <c r="AX16" s="30">
        <v>1</v>
      </c>
      <c r="AY16" s="32">
        <f t="shared" si="8"/>
        <v>2.2000000000000002</v>
      </c>
      <c r="AZ16" s="30" t="s">
        <v>152</v>
      </c>
      <c r="BA16" s="63" t="s">
        <v>158</v>
      </c>
      <c r="BB16" s="71"/>
      <c r="BC16" s="71"/>
      <c r="BD16" s="71"/>
    </row>
    <row r="17" spans="1:56" x14ac:dyDescent="0.25">
      <c r="A17" s="24">
        <f>IF(B17="","",SUBTOTAL(3,$B$4:B17))</f>
        <v>14</v>
      </c>
      <c r="B17" s="25" t="s">
        <v>151</v>
      </c>
      <c r="C17" s="25" t="str">
        <f t="shared" si="0"/>
        <v>Shipment 1 SCR Frame</v>
      </c>
      <c r="D17" s="25" t="s">
        <v>149</v>
      </c>
      <c r="E17" s="25" t="s">
        <v>150</v>
      </c>
      <c r="F17" s="25"/>
      <c r="G17" s="65">
        <v>46192</v>
      </c>
      <c r="H17" s="25" t="s">
        <v>153</v>
      </c>
      <c r="I17" s="25"/>
      <c r="J17" s="26" t="s">
        <v>155</v>
      </c>
      <c r="K17" s="27" t="s">
        <v>96</v>
      </c>
      <c r="L17" s="28" t="s">
        <v>97</v>
      </c>
      <c r="M17" s="28" t="s">
        <v>71</v>
      </c>
      <c r="N17" s="25">
        <v>1</v>
      </c>
      <c r="O17" s="29">
        <v>6.3</v>
      </c>
      <c r="P17" s="29">
        <v>6.3</v>
      </c>
      <c r="Q17" s="25" t="s">
        <v>136</v>
      </c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"/>
        <v>6.3</v>
      </c>
      <c r="AF17" s="32">
        <f t="shared" si="2"/>
        <v>0</v>
      </c>
      <c r="AG17" s="30"/>
      <c r="AH17" s="33"/>
      <c r="AI17" s="34">
        <f t="shared" si="3"/>
        <v>0</v>
      </c>
      <c r="AJ17" s="35">
        <v>46241</v>
      </c>
      <c r="AK17" s="30">
        <v>1</v>
      </c>
      <c r="AL17" s="36">
        <f t="shared" si="4"/>
        <v>6.3</v>
      </c>
      <c r="AM17" s="35">
        <v>46245</v>
      </c>
      <c r="AN17" s="30">
        <v>1</v>
      </c>
      <c r="AO17" s="36">
        <f t="shared" si="5"/>
        <v>6.3</v>
      </c>
      <c r="AP17" s="35"/>
      <c r="AQ17" s="30"/>
      <c r="AR17" s="36">
        <f t="shared" si="6"/>
        <v>0</v>
      </c>
      <c r="AS17" s="27" t="s">
        <v>156</v>
      </c>
      <c r="AT17" s="37">
        <v>46245</v>
      </c>
      <c r="AU17" s="30">
        <v>1</v>
      </c>
      <c r="AV17" s="36">
        <f t="shared" si="7"/>
        <v>6.3</v>
      </c>
      <c r="AW17" s="35">
        <v>46245</v>
      </c>
      <c r="AX17" s="30">
        <v>1</v>
      </c>
      <c r="AY17" s="32">
        <f t="shared" si="8"/>
        <v>6.3</v>
      </c>
      <c r="AZ17" s="30" t="s">
        <v>152</v>
      </c>
      <c r="BA17" s="63" t="s">
        <v>158</v>
      </c>
      <c r="BB17" s="71"/>
      <c r="BC17" s="71"/>
      <c r="BD17" s="71"/>
    </row>
    <row r="18" spans="1:56" x14ac:dyDescent="0.25">
      <c r="A18" s="24">
        <f>IF(B18="","",SUBTOTAL(3,$B$4:B18))</f>
        <v>15</v>
      </c>
      <c r="B18" s="25" t="s">
        <v>151</v>
      </c>
      <c r="C18" s="25" t="str">
        <f t="shared" si="0"/>
        <v>Shipment 1 SCR Frame</v>
      </c>
      <c r="D18" s="25" t="s">
        <v>149</v>
      </c>
      <c r="E18" s="25" t="s">
        <v>150</v>
      </c>
      <c r="F18" s="25"/>
      <c r="G18" s="65">
        <v>46192</v>
      </c>
      <c r="H18" s="25" t="s">
        <v>153</v>
      </c>
      <c r="I18" s="25"/>
      <c r="J18" s="26" t="s">
        <v>155</v>
      </c>
      <c r="K18" s="27" t="s">
        <v>98</v>
      </c>
      <c r="L18" s="28" t="s">
        <v>99</v>
      </c>
      <c r="M18" s="28" t="s">
        <v>71</v>
      </c>
      <c r="N18" s="25">
        <v>2</v>
      </c>
      <c r="O18" s="29">
        <v>1.8</v>
      </c>
      <c r="P18" s="29">
        <v>3.6</v>
      </c>
      <c r="Q18" s="25" t="s">
        <v>138</v>
      </c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"/>
        <v>3.6</v>
      </c>
      <c r="AF18" s="32">
        <f t="shared" si="2"/>
        <v>0</v>
      </c>
      <c r="AG18" s="30"/>
      <c r="AH18" s="33"/>
      <c r="AI18" s="34">
        <f t="shared" si="3"/>
        <v>0</v>
      </c>
      <c r="AJ18" s="35">
        <v>46241</v>
      </c>
      <c r="AK18" s="30">
        <v>2</v>
      </c>
      <c r="AL18" s="36">
        <f t="shared" si="4"/>
        <v>3.6</v>
      </c>
      <c r="AM18" s="35">
        <v>46245</v>
      </c>
      <c r="AN18" s="30">
        <v>2</v>
      </c>
      <c r="AO18" s="36">
        <f t="shared" si="5"/>
        <v>3.6</v>
      </c>
      <c r="AP18" s="35"/>
      <c r="AQ18" s="30"/>
      <c r="AR18" s="36">
        <f t="shared" si="6"/>
        <v>0</v>
      </c>
      <c r="AS18" s="27" t="s">
        <v>156</v>
      </c>
      <c r="AT18" s="37">
        <v>46245</v>
      </c>
      <c r="AU18" s="30">
        <v>2</v>
      </c>
      <c r="AV18" s="36">
        <f t="shared" si="7"/>
        <v>3.6</v>
      </c>
      <c r="AW18" s="35">
        <v>46245</v>
      </c>
      <c r="AX18" s="30">
        <v>2</v>
      </c>
      <c r="AY18" s="32">
        <f t="shared" si="8"/>
        <v>3.6</v>
      </c>
      <c r="AZ18" s="30" t="s">
        <v>152</v>
      </c>
      <c r="BA18" s="63" t="s">
        <v>158</v>
      </c>
      <c r="BB18" s="71"/>
      <c r="BC18" s="71"/>
      <c r="BD18" s="71"/>
    </row>
    <row r="19" spans="1:56" x14ac:dyDescent="0.25">
      <c r="A19" s="24">
        <f>IF(B19="","",SUBTOTAL(3,$B$4:B19))</f>
        <v>16</v>
      </c>
      <c r="B19" s="25" t="s">
        <v>151</v>
      </c>
      <c r="C19" s="25" t="str">
        <f t="shared" si="0"/>
        <v>Shipment 1 SCR Frame</v>
      </c>
      <c r="D19" s="25" t="s">
        <v>149</v>
      </c>
      <c r="E19" s="25" t="s">
        <v>150</v>
      </c>
      <c r="F19" s="25"/>
      <c r="G19" s="65">
        <v>46192</v>
      </c>
      <c r="H19" s="25" t="s">
        <v>153</v>
      </c>
      <c r="I19" s="25"/>
      <c r="J19" s="26" t="s">
        <v>155</v>
      </c>
      <c r="K19" s="27" t="s">
        <v>100</v>
      </c>
      <c r="L19" s="28" t="s">
        <v>101</v>
      </c>
      <c r="M19" s="28" t="s">
        <v>71</v>
      </c>
      <c r="N19" s="25">
        <v>42</v>
      </c>
      <c r="O19" s="29">
        <v>3.8</v>
      </c>
      <c r="P19" s="29">
        <v>160.69999999999999</v>
      </c>
      <c r="Q19" s="25" t="s">
        <v>139</v>
      </c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"/>
        <v>160.69999999999999</v>
      </c>
      <c r="AF19" s="32">
        <f t="shared" si="2"/>
        <v>0</v>
      </c>
      <c r="AG19" s="30"/>
      <c r="AH19" s="33"/>
      <c r="AI19" s="34">
        <f t="shared" si="3"/>
        <v>0</v>
      </c>
      <c r="AJ19" s="35">
        <v>46241</v>
      </c>
      <c r="AK19" s="30">
        <v>42</v>
      </c>
      <c r="AL19" s="36">
        <f t="shared" si="4"/>
        <v>160.69999999999999</v>
      </c>
      <c r="AM19" s="35">
        <v>46245</v>
      </c>
      <c r="AN19" s="30">
        <v>42</v>
      </c>
      <c r="AO19" s="36">
        <f t="shared" si="5"/>
        <v>160.69999999999999</v>
      </c>
      <c r="AP19" s="35"/>
      <c r="AQ19" s="30"/>
      <c r="AR19" s="36">
        <f t="shared" si="6"/>
        <v>0</v>
      </c>
      <c r="AS19" s="27" t="s">
        <v>156</v>
      </c>
      <c r="AT19" s="37">
        <v>46245</v>
      </c>
      <c r="AU19" s="30">
        <v>42</v>
      </c>
      <c r="AV19" s="36">
        <f t="shared" si="7"/>
        <v>160.69999999999999</v>
      </c>
      <c r="AW19" s="35">
        <v>46245</v>
      </c>
      <c r="AX19" s="30">
        <v>42</v>
      </c>
      <c r="AY19" s="32">
        <f t="shared" si="8"/>
        <v>160.69999999999999</v>
      </c>
      <c r="AZ19" s="30" t="s">
        <v>152</v>
      </c>
      <c r="BA19" s="63" t="s">
        <v>158</v>
      </c>
      <c r="BB19" s="71"/>
      <c r="BC19" s="71"/>
      <c r="BD19" s="71"/>
    </row>
    <row r="20" spans="1:56" hidden="1" x14ac:dyDescent="0.25">
      <c r="A20" s="24">
        <f>IF(B20="","",SUBTOTAL(3,$B$4:B20))</f>
        <v>16</v>
      </c>
      <c r="B20" s="25" t="s">
        <v>151</v>
      </c>
      <c r="C20" s="25" t="str">
        <f t="shared" si="0"/>
        <v>Shipment 1 SCR Frame</v>
      </c>
      <c r="D20" s="25" t="s">
        <v>149</v>
      </c>
      <c r="E20" s="25" t="s">
        <v>150</v>
      </c>
      <c r="F20" s="25"/>
      <c r="G20" s="65">
        <v>46192</v>
      </c>
      <c r="H20" s="25" t="s">
        <v>153</v>
      </c>
      <c r="I20" s="25"/>
      <c r="J20" s="26" t="s">
        <v>155</v>
      </c>
      <c r="K20" s="27" t="s">
        <v>102</v>
      </c>
      <c r="L20" s="28" t="s">
        <v>103</v>
      </c>
      <c r="M20" s="28" t="s">
        <v>104</v>
      </c>
      <c r="N20" s="25">
        <v>1</v>
      </c>
      <c r="O20" s="29">
        <v>5085.6000000000004</v>
      </c>
      <c r="P20" s="29">
        <v>5085.6000000000004</v>
      </c>
      <c r="Q20" s="25" t="s">
        <v>140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"/>
        <v>5085.6000000000013</v>
      </c>
      <c r="AF20" s="32">
        <f t="shared" si="2"/>
        <v>0</v>
      </c>
      <c r="AG20" s="30"/>
      <c r="AH20" s="33"/>
      <c r="AI20" s="34">
        <f t="shared" si="3"/>
        <v>0</v>
      </c>
      <c r="AJ20" s="35">
        <v>46195</v>
      </c>
      <c r="AK20" s="30">
        <v>1</v>
      </c>
      <c r="AL20" s="36">
        <f t="shared" si="4"/>
        <v>5085.6000000000004</v>
      </c>
      <c r="AM20" s="35">
        <v>46211</v>
      </c>
      <c r="AN20" s="30">
        <v>1</v>
      </c>
      <c r="AO20" s="36">
        <f t="shared" si="5"/>
        <v>5085.6000000000004</v>
      </c>
      <c r="AP20" s="35">
        <v>46218</v>
      </c>
      <c r="AQ20" s="30">
        <v>1</v>
      </c>
      <c r="AR20" s="36">
        <f t="shared" si="6"/>
        <v>5085.6000000000004</v>
      </c>
      <c r="AS20" s="27" t="s">
        <v>154</v>
      </c>
      <c r="AT20" s="37">
        <v>46218</v>
      </c>
      <c r="AU20" s="30">
        <v>1</v>
      </c>
      <c r="AV20" s="36">
        <f t="shared" si="7"/>
        <v>5085.6000000000004</v>
      </c>
      <c r="AW20" s="35">
        <v>46223</v>
      </c>
      <c r="AX20" s="30">
        <v>1</v>
      </c>
      <c r="AY20" s="32">
        <f t="shared" ref="AY5:AY41" si="9">IFERROR(AX20*$P20/$N20,0)</f>
        <v>5085.6000000000004</v>
      </c>
      <c r="AZ20" s="30" t="s">
        <v>152</v>
      </c>
      <c r="BA20" s="63" t="s">
        <v>154</v>
      </c>
      <c r="BB20" s="71"/>
      <c r="BC20" s="71"/>
      <c r="BD20" s="71"/>
    </row>
    <row r="21" spans="1:56" hidden="1" x14ac:dyDescent="0.25">
      <c r="A21" s="24">
        <f>IF(B21="","",SUBTOTAL(3,$B$4:B21))</f>
        <v>16</v>
      </c>
      <c r="B21" s="25" t="s">
        <v>151</v>
      </c>
      <c r="C21" s="25" t="str">
        <f t="shared" si="0"/>
        <v>Shipment 1 SCR Frame</v>
      </c>
      <c r="D21" s="25" t="s">
        <v>149</v>
      </c>
      <c r="E21" s="25" t="s">
        <v>150</v>
      </c>
      <c r="F21" s="25"/>
      <c r="G21" s="65">
        <v>46192</v>
      </c>
      <c r="H21" s="25" t="s">
        <v>153</v>
      </c>
      <c r="I21" s="25"/>
      <c r="J21" s="26" t="s">
        <v>155</v>
      </c>
      <c r="K21" s="27" t="s">
        <v>105</v>
      </c>
      <c r="L21" s="28" t="s">
        <v>106</v>
      </c>
      <c r="M21" s="28" t="s">
        <v>104</v>
      </c>
      <c r="N21" s="25">
        <v>1</v>
      </c>
      <c r="O21" s="29">
        <v>3881.3</v>
      </c>
      <c r="P21" s="29">
        <v>3881.3</v>
      </c>
      <c r="Q21" s="25" t="s">
        <v>141</v>
      </c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"/>
        <v>3881.3</v>
      </c>
      <c r="AF21" s="32">
        <f t="shared" si="2"/>
        <v>0</v>
      </c>
      <c r="AG21" s="30"/>
      <c r="AH21" s="33"/>
      <c r="AI21" s="34">
        <f t="shared" si="3"/>
        <v>0</v>
      </c>
      <c r="AJ21" s="35">
        <v>46196</v>
      </c>
      <c r="AK21" s="30">
        <v>1</v>
      </c>
      <c r="AL21" s="36">
        <f t="shared" si="4"/>
        <v>3881.3</v>
      </c>
      <c r="AM21" s="35">
        <v>46203</v>
      </c>
      <c r="AN21" s="30">
        <v>1</v>
      </c>
      <c r="AO21" s="36">
        <f t="shared" si="5"/>
        <v>3881.3</v>
      </c>
      <c r="AP21" s="35">
        <v>46218</v>
      </c>
      <c r="AQ21" s="30">
        <v>1</v>
      </c>
      <c r="AR21" s="36">
        <f t="shared" ref="AR21:AR23" si="10">IFERROR(AQ21*$P21/$N21,0)</f>
        <v>3881.3</v>
      </c>
      <c r="AS21" s="27" t="s">
        <v>154</v>
      </c>
      <c r="AT21" s="37">
        <v>46218</v>
      </c>
      <c r="AU21" s="30">
        <v>1</v>
      </c>
      <c r="AV21" s="36">
        <f t="shared" si="7"/>
        <v>3881.3</v>
      </c>
      <c r="AW21" s="35">
        <v>46223</v>
      </c>
      <c r="AX21" s="30">
        <v>1</v>
      </c>
      <c r="AY21" s="32">
        <f t="shared" ref="AY21:AY25" si="11">IFERROR(AX21*$P21/$N21,0)</f>
        <v>3881.3</v>
      </c>
      <c r="AZ21" s="30" t="s">
        <v>152</v>
      </c>
      <c r="BA21" s="63" t="s">
        <v>154</v>
      </c>
      <c r="BB21" s="71"/>
      <c r="BC21" s="71"/>
      <c r="BD21" s="71"/>
    </row>
    <row r="22" spans="1:56" hidden="1" x14ac:dyDescent="0.25">
      <c r="A22" s="24">
        <f>IF(B22="","",SUBTOTAL(3,$B$4:B22))</f>
        <v>16</v>
      </c>
      <c r="B22" s="25" t="s">
        <v>151</v>
      </c>
      <c r="C22" s="25" t="str">
        <f t="shared" si="0"/>
        <v>Shipment 1 SCR Frame</v>
      </c>
      <c r="D22" s="25" t="s">
        <v>149</v>
      </c>
      <c r="E22" s="25" t="s">
        <v>150</v>
      </c>
      <c r="F22" s="25"/>
      <c r="G22" s="65">
        <v>46192</v>
      </c>
      <c r="H22" s="25" t="s">
        <v>153</v>
      </c>
      <c r="I22" s="25"/>
      <c r="J22" s="26" t="s">
        <v>155</v>
      </c>
      <c r="K22" s="27" t="s">
        <v>107</v>
      </c>
      <c r="L22" s="28" t="s">
        <v>108</v>
      </c>
      <c r="M22" s="28" t="s">
        <v>104</v>
      </c>
      <c r="N22" s="25">
        <v>1</v>
      </c>
      <c r="O22" s="29">
        <v>5085.6000000000004</v>
      </c>
      <c r="P22" s="29">
        <v>5085.6000000000004</v>
      </c>
      <c r="Q22" s="25" t="s">
        <v>140</v>
      </c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"/>
        <v>5085.6000000000013</v>
      </c>
      <c r="AF22" s="32">
        <f t="shared" si="2"/>
        <v>0</v>
      </c>
      <c r="AG22" s="30"/>
      <c r="AH22" s="33"/>
      <c r="AI22" s="34">
        <f t="shared" si="3"/>
        <v>0</v>
      </c>
      <c r="AJ22" s="35">
        <v>46190</v>
      </c>
      <c r="AK22" s="30">
        <v>1</v>
      </c>
      <c r="AL22" s="36">
        <f t="shared" si="4"/>
        <v>5085.6000000000004</v>
      </c>
      <c r="AM22" s="35">
        <v>46198</v>
      </c>
      <c r="AN22" s="30">
        <v>1</v>
      </c>
      <c r="AO22" s="36">
        <f t="shared" si="5"/>
        <v>5085.6000000000004</v>
      </c>
      <c r="AP22" s="35">
        <v>46218</v>
      </c>
      <c r="AQ22" s="30">
        <v>1</v>
      </c>
      <c r="AR22" s="36">
        <f t="shared" si="10"/>
        <v>5085.6000000000004</v>
      </c>
      <c r="AS22" s="27" t="s">
        <v>154</v>
      </c>
      <c r="AT22" s="37">
        <v>46218</v>
      </c>
      <c r="AU22" s="30">
        <v>1</v>
      </c>
      <c r="AV22" s="36">
        <f t="shared" si="7"/>
        <v>5085.6000000000004</v>
      </c>
      <c r="AW22" s="35">
        <v>46223</v>
      </c>
      <c r="AX22" s="30">
        <v>1</v>
      </c>
      <c r="AY22" s="32">
        <f t="shared" si="11"/>
        <v>5085.6000000000004</v>
      </c>
      <c r="AZ22" s="30" t="s">
        <v>152</v>
      </c>
      <c r="BA22" s="63" t="s">
        <v>154</v>
      </c>
      <c r="BB22" s="71"/>
      <c r="BC22" s="71"/>
      <c r="BD22" s="71"/>
    </row>
    <row r="23" spans="1:56" hidden="1" x14ac:dyDescent="0.25">
      <c r="A23" s="24">
        <f>IF(B23="","",SUBTOTAL(3,$B$4:B23))</f>
        <v>16</v>
      </c>
      <c r="B23" s="25" t="s">
        <v>151</v>
      </c>
      <c r="C23" s="25" t="str">
        <f t="shared" si="0"/>
        <v>Shipment 1 SCR Frame</v>
      </c>
      <c r="D23" s="25" t="s">
        <v>149</v>
      </c>
      <c r="E23" s="25" t="s">
        <v>150</v>
      </c>
      <c r="F23" s="25"/>
      <c r="G23" s="65">
        <v>46192</v>
      </c>
      <c r="H23" s="25" t="s">
        <v>153</v>
      </c>
      <c r="I23" s="25"/>
      <c r="J23" s="26" t="s">
        <v>155</v>
      </c>
      <c r="K23" s="27" t="s">
        <v>109</v>
      </c>
      <c r="L23" s="28" t="s">
        <v>110</v>
      </c>
      <c r="M23" s="28" t="s">
        <v>104</v>
      </c>
      <c r="N23" s="25">
        <v>1</v>
      </c>
      <c r="O23" s="29">
        <v>3881.3</v>
      </c>
      <c r="P23" s="29">
        <v>3881.3</v>
      </c>
      <c r="Q23" s="25" t="s">
        <v>141</v>
      </c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"/>
        <v>3881.3</v>
      </c>
      <c r="AF23" s="32">
        <f t="shared" si="2"/>
        <v>0</v>
      </c>
      <c r="AG23" s="30"/>
      <c r="AH23" s="33"/>
      <c r="AI23" s="34">
        <f t="shared" si="3"/>
        <v>0</v>
      </c>
      <c r="AJ23" s="35">
        <v>46193</v>
      </c>
      <c r="AK23" s="30">
        <v>1</v>
      </c>
      <c r="AL23" s="36">
        <f t="shared" si="4"/>
        <v>3881.3</v>
      </c>
      <c r="AM23" s="35">
        <v>46206</v>
      </c>
      <c r="AN23" s="30">
        <v>1</v>
      </c>
      <c r="AO23" s="36">
        <f t="shared" si="5"/>
        <v>3881.3</v>
      </c>
      <c r="AP23" s="35">
        <v>46218</v>
      </c>
      <c r="AQ23" s="30">
        <v>1</v>
      </c>
      <c r="AR23" s="36">
        <f t="shared" si="10"/>
        <v>3881.3</v>
      </c>
      <c r="AS23" s="27" t="s">
        <v>154</v>
      </c>
      <c r="AT23" s="37">
        <v>46218</v>
      </c>
      <c r="AU23" s="30">
        <v>1</v>
      </c>
      <c r="AV23" s="36">
        <f t="shared" si="7"/>
        <v>3881.3</v>
      </c>
      <c r="AW23" s="35">
        <v>46223</v>
      </c>
      <c r="AX23" s="30">
        <v>1</v>
      </c>
      <c r="AY23" s="32">
        <f t="shared" si="11"/>
        <v>3881.3</v>
      </c>
      <c r="AZ23" s="30" t="s">
        <v>152</v>
      </c>
      <c r="BA23" s="63" t="s">
        <v>154</v>
      </c>
      <c r="BB23" s="71"/>
      <c r="BC23" s="71"/>
      <c r="BD23" s="71"/>
    </row>
    <row r="24" spans="1:56" x14ac:dyDescent="0.25">
      <c r="A24" s="24">
        <f>IF(B24="","",SUBTOTAL(3,$B$4:B24))</f>
        <v>17</v>
      </c>
      <c r="B24" s="25" t="s">
        <v>151</v>
      </c>
      <c r="C24" s="25" t="str">
        <f t="shared" si="0"/>
        <v>Shipment 1 SCR Frame</v>
      </c>
      <c r="D24" s="25" t="s">
        <v>149</v>
      </c>
      <c r="E24" s="25" t="s">
        <v>150</v>
      </c>
      <c r="F24" s="25"/>
      <c r="G24" s="65">
        <v>46192</v>
      </c>
      <c r="H24" s="25" t="s">
        <v>153</v>
      </c>
      <c r="I24" s="25"/>
      <c r="J24" s="26" t="s">
        <v>155</v>
      </c>
      <c r="K24" s="27" t="s">
        <v>111</v>
      </c>
      <c r="L24" s="28" t="s">
        <v>112</v>
      </c>
      <c r="M24" s="28" t="s">
        <v>71</v>
      </c>
      <c r="N24" s="25">
        <v>64</v>
      </c>
      <c r="O24" s="29">
        <v>0.7</v>
      </c>
      <c r="P24" s="29">
        <v>42.2</v>
      </c>
      <c r="Q24" s="25" t="s">
        <v>142</v>
      </c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"/>
        <v>42.2</v>
      </c>
      <c r="AF24" s="32">
        <f t="shared" si="2"/>
        <v>0</v>
      </c>
      <c r="AG24" s="30"/>
      <c r="AH24" s="33"/>
      <c r="AI24" s="34">
        <f t="shared" si="3"/>
        <v>0</v>
      </c>
      <c r="AJ24" s="35">
        <v>46228</v>
      </c>
      <c r="AK24" s="30">
        <v>64</v>
      </c>
      <c r="AL24" s="36">
        <f t="shared" si="4"/>
        <v>42.2</v>
      </c>
      <c r="AM24" s="35">
        <v>46228</v>
      </c>
      <c r="AN24" s="30">
        <v>64</v>
      </c>
      <c r="AO24" s="36">
        <f t="shared" si="5"/>
        <v>42.2</v>
      </c>
      <c r="AP24" s="35"/>
      <c r="AQ24" s="30"/>
      <c r="AR24" s="36">
        <f t="shared" si="6"/>
        <v>0</v>
      </c>
      <c r="AS24" s="27" t="s">
        <v>156</v>
      </c>
      <c r="AT24" s="37">
        <v>46245</v>
      </c>
      <c r="AU24" s="30">
        <v>64</v>
      </c>
      <c r="AV24" s="36">
        <f t="shared" si="7"/>
        <v>42.2</v>
      </c>
      <c r="AW24" s="35">
        <v>46245</v>
      </c>
      <c r="AX24" s="30">
        <v>64</v>
      </c>
      <c r="AY24" s="32">
        <f t="shared" si="11"/>
        <v>42.2</v>
      </c>
      <c r="AZ24" s="30" t="s">
        <v>152</v>
      </c>
      <c r="BA24" s="63" t="s">
        <v>158</v>
      </c>
      <c r="BB24" s="71"/>
      <c r="BC24" s="71"/>
      <c r="BD24" s="71"/>
    </row>
    <row r="25" spans="1:56" x14ac:dyDescent="0.25">
      <c r="A25" s="24">
        <f>IF(B25="","",SUBTOTAL(3,$B$4:B25))</f>
        <v>18</v>
      </c>
      <c r="B25" s="25" t="s">
        <v>151</v>
      </c>
      <c r="C25" s="25" t="str">
        <f t="shared" si="0"/>
        <v>Shipment 1 SCR Frame</v>
      </c>
      <c r="D25" s="25" t="s">
        <v>149</v>
      </c>
      <c r="E25" s="25" t="s">
        <v>150</v>
      </c>
      <c r="F25" s="25"/>
      <c r="G25" s="65">
        <v>46192</v>
      </c>
      <c r="H25" s="25" t="s">
        <v>153</v>
      </c>
      <c r="I25" s="25"/>
      <c r="J25" s="26" t="s">
        <v>155</v>
      </c>
      <c r="K25" s="27" t="s">
        <v>113</v>
      </c>
      <c r="L25" s="28" t="s">
        <v>114</v>
      </c>
      <c r="M25" s="28" t="s">
        <v>71</v>
      </c>
      <c r="N25" s="25">
        <v>104</v>
      </c>
      <c r="O25" s="29">
        <v>0.6</v>
      </c>
      <c r="P25" s="29">
        <v>60.7</v>
      </c>
      <c r="Q25" s="25" t="s">
        <v>143</v>
      </c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"/>
        <v>60.7</v>
      </c>
      <c r="AF25" s="32">
        <f t="shared" si="2"/>
        <v>0</v>
      </c>
      <c r="AG25" s="30"/>
      <c r="AH25" s="33"/>
      <c r="AI25" s="34">
        <f t="shared" si="3"/>
        <v>0</v>
      </c>
      <c r="AJ25" s="35">
        <v>46228</v>
      </c>
      <c r="AK25" s="30">
        <v>104</v>
      </c>
      <c r="AL25" s="36">
        <f t="shared" si="4"/>
        <v>60.7</v>
      </c>
      <c r="AM25" s="35">
        <v>46228</v>
      </c>
      <c r="AN25" s="30">
        <v>104</v>
      </c>
      <c r="AO25" s="36">
        <f t="shared" si="5"/>
        <v>60.7</v>
      </c>
      <c r="AP25" s="35"/>
      <c r="AQ25" s="30"/>
      <c r="AR25" s="36">
        <f t="shared" si="6"/>
        <v>0</v>
      </c>
      <c r="AS25" s="27" t="s">
        <v>156</v>
      </c>
      <c r="AT25" s="37">
        <v>46245</v>
      </c>
      <c r="AU25" s="30">
        <v>104</v>
      </c>
      <c r="AV25" s="36">
        <f t="shared" si="7"/>
        <v>60.7</v>
      </c>
      <c r="AW25" s="35">
        <v>46245</v>
      </c>
      <c r="AX25" s="30">
        <v>104</v>
      </c>
      <c r="AY25" s="32">
        <f t="shared" si="11"/>
        <v>60.7</v>
      </c>
      <c r="AZ25" s="30" t="s">
        <v>152</v>
      </c>
      <c r="BA25" s="63" t="s">
        <v>158</v>
      </c>
      <c r="BB25" s="71"/>
      <c r="BC25" s="71"/>
      <c r="BD25" s="71"/>
    </row>
    <row r="26" spans="1:56" hidden="1" x14ac:dyDescent="0.25">
      <c r="A26" s="24">
        <f>IF(B26="","",SUBTOTAL(3,$B$4:B26))</f>
        <v>18</v>
      </c>
      <c r="B26" s="25" t="s">
        <v>151</v>
      </c>
      <c r="C26" s="25" t="str">
        <f t="shared" si="0"/>
        <v>Shipment 1 SCR Frame</v>
      </c>
      <c r="D26" s="25" t="s">
        <v>149</v>
      </c>
      <c r="E26" s="25" t="s">
        <v>150</v>
      </c>
      <c r="F26" s="25"/>
      <c r="G26" s="65">
        <v>46192</v>
      </c>
      <c r="H26" s="25" t="s">
        <v>153</v>
      </c>
      <c r="I26" s="25"/>
      <c r="J26" s="26" t="s">
        <v>155</v>
      </c>
      <c r="K26" s="27" t="s">
        <v>115</v>
      </c>
      <c r="L26" s="28" t="s">
        <v>116</v>
      </c>
      <c r="M26" s="28" t="s">
        <v>71</v>
      </c>
      <c r="N26" s="25">
        <v>4</v>
      </c>
      <c r="O26" s="29">
        <v>4.4000000000000004</v>
      </c>
      <c r="P26" s="29">
        <v>17.600000000000001</v>
      </c>
      <c r="Q26" s="25" t="s">
        <v>144</v>
      </c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"/>
        <v>17.600000000000001</v>
      </c>
      <c r="AF26" s="32">
        <f t="shared" si="2"/>
        <v>0</v>
      </c>
      <c r="AG26" s="30"/>
      <c r="AH26" s="33"/>
      <c r="AI26" s="34">
        <f t="shared" si="3"/>
        <v>0</v>
      </c>
      <c r="AJ26" s="35">
        <v>46228</v>
      </c>
      <c r="AK26" s="30">
        <v>4</v>
      </c>
      <c r="AL26" s="36">
        <f t="shared" si="4"/>
        <v>17.600000000000001</v>
      </c>
      <c r="AM26" s="35">
        <v>46228</v>
      </c>
      <c r="AN26" s="30">
        <v>4</v>
      </c>
      <c r="AO26" s="36">
        <f t="shared" si="5"/>
        <v>17.600000000000001</v>
      </c>
      <c r="AP26" s="35"/>
      <c r="AQ26" s="30"/>
      <c r="AR26" s="36">
        <f t="shared" si="6"/>
        <v>0</v>
      </c>
      <c r="AS26" s="27" t="s">
        <v>157</v>
      </c>
      <c r="AT26" s="37">
        <v>46245</v>
      </c>
      <c r="AU26" s="30">
        <v>4</v>
      </c>
      <c r="AV26" s="36">
        <f t="shared" si="7"/>
        <v>17.600000000000001</v>
      </c>
      <c r="AW26" s="35">
        <v>46245</v>
      </c>
      <c r="AX26" s="30">
        <v>4</v>
      </c>
      <c r="AY26" s="32">
        <f t="shared" si="9"/>
        <v>17.600000000000001</v>
      </c>
      <c r="AZ26" s="30" t="s">
        <v>152</v>
      </c>
      <c r="BA26" s="63" t="s">
        <v>156</v>
      </c>
      <c r="BB26" s="71" t="e">
        <f>SUMIFS([1]Form!$F$9:$F$30,[1]Form!$D$9:$D$30,L26)</f>
        <v>#VALUE!</v>
      </c>
      <c r="BC26" s="71"/>
      <c r="BD26" s="71"/>
    </row>
    <row r="27" spans="1:56" x14ac:dyDescent="0.25">
      <c r="A27" s="24">
        <f>IF(B27="","",SUBTOTAL(3,$B$4:B27))</f>
        <v>19</v>
      </c>
      <c r="B27" s="25" t="s">
        <v>151</v>
      </c>
      <c r="C27" s="25" t="str">
        <f t="shared" si="0"/>
        <v>Shipment 1 SCR Frame</v>
      </c>
      <c r="D27" s="25" t="s">
        <v>149</v>
      </c>
      <c r="E27" s="25" t="s">
        <v>150</v>
      </c>
      <c r="F27" s="25"/>
      <c r="G27" s="65">
        <v>46192</v>
      </c>
      <c r="H27" s="25" t="s">
        <v>153</v>
      </c>
      <c r="I27" s="25"/>
      <c r="J27" s="26" t="s">
        <v>155</v>
      </c>
      <c r="K27" s="27" t="s">
        <v>117</v>
      </c>
      <c r="L27" s="28" t="s">
        <v>118</v>
      </c>
      <c r="M27" s="28" t="s">
        <v>71</v>
      </c>
      <c r="N27" s="25">
        <v>12</v>
      </c>
      <c r="O27" s="29">
        <v>3.9</v>
      </c>
      <c r="P27" s="29">
        <v>46.3</v>
      </c>
      <c r="Q27" s="25" t="s">
        <v>145</v>
      </c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"/>
        <v>46.299999999999983</v>
      </c>
      <c r="AF27" s="32">
        <f t="shared" si="2"/>
        <v>0</v>
      </c>
      <c r="AG27" s="30"/>
      <c r="AH27" s="33"/>
      <c r="AI27" s="34">
        <f t="shared" si="3"/>
        <v>0</v>
      </c>
      <c r="AJ27" s="35">
        <v>46228</v>
      </c>
      <c r="AK27" s="30">
        <v>12</v>
      </c>
      <c r="AL27" s="36">
        <f t="shared" si="4"/>
        <v>46.29999999999999</v>
      </c>
      <c r="AM27" s="35">
        <v>46228</v>
      </c>
      <c r="AN27" s="30">
        <v>12</v>
      </c>
      <c r="AO27" s="36">
        <f t="shared" si="5"/>
        <v>46.29999999999999</v>
      </c>
      <c r="AP27" s="35"/>
      <c r="AQ27" s="30"/>
      <c r="AR27" s="36">
        <f t="shared" si="6"/>
        <v>0</v>
      </c>
      <c r="AS27" s="27" t="s">
        <v>156</v>
      </c>
      <c r="AT27" s="37">
        <v>46245</v>
      </c>
      <c r="AU27" s="30">
        <v>12</v>
      </c>
      <c r="AV27" s="36">
        <f t="shared" si="7"/>
        <v>46.29999999999999</v>
      </c>
      <c r="AW27" s="35">
        <v>46245</v>
      </c>
      <c r="AX27" s="30">
        <v>12</v>
      </c>
      <c r="AY27" s="32">
        <f t="shared" si="9"/>
        <v>46.29999999999999</v>
      </c>
      <c r="AZ27" s="30" t="s">
        <v>152</v>
      </c>
      <c r="BA27" s="63" t="s">
        <v>158</v>
      </c>
      <c r="BB27" s="71"/>
      <c r="BC27" s="71"/>
      <c r="BD27" s="71"/>
    </row>
    <row r="28" spans="1:56" x14ac:dyDescent="0.25">
      <c r="A28" s="24">
        <f>IF(B28="","",SUBTOTAL(3,$B$4:B28))</f>
        <v>20</v>
      </c>
      <c r="B28" s="25" t="s">
        <v>151</v>
      </c>
      <c r="C28" s="25" t="str">
        <f t="shared" si="0"/>
        <v>Shipment 1 SCR Frame</v>
      </c>
      <c r="D28" s="25" t="s">
        <v>149</v>
      </c>
      <c r="E28" s="25" t="s">
        <v>150</v>
      </c>
      <c r="F28" s="25"/>
      <c r="G28" s="65">
        <v>46192</v>
      </c>
      <c r="H28" s="25" t="s">
        <v>153</v>
      </c>
      <c r="I28" s="25"/>
      <c r="J28" s="26" t="s">
        <v>155</v>
      </c>
      <c r="K28" s="27" t="s">
        <v>119</v>
      </c>
      <c r="L28" s="28" t="s">
        <v>120</v>
      </c>
      <c r="M28" s="28" t="s">
        <v>71</v>
      </c>
      <c r="N28" s="25">
        <v>2</v>
      </c>
      <c r="O28" s="29">
        <v>0.6</v>
      </c>
      <c r="P28" s="29">
        <v>1.2</v>
      </c>
      <c r="Q28" s="25" t="s">
        <v>146</v>
      </c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"/>
        <v>1.2000000000000002</v>
      </c>
      <c r="AF28" s="32">
        <f t="shared" si="2"/>
        <v>0</v>
      </c>
      <c r="AG28" s="30"/>
      <c r="AH28" s="33"/>
      <c r="AI28" s="34">
        <f t="shared" si="3"/>
        <v>0</v>
      </c>
      <c r="AJ28" s="35">
        <v>46228</v>
      </c>
      <c r="AK28" s="30">
        <v>2</v>
      </c>
      <c r="AL28" s="36">
        <f t="shared" si="4"/>
        <v>1.2</v>
      </c>
      <c r="AM28" s="35">
        <v>46228</v>
      </c>
      <c r="AN28" s="30">
        <v>2</v>
      </c>
      <c r="AO28" s="36">
        <f t="shared" si="5"/>
        <v>1.2</v>
      </c>
      <c r="AP28" s="35"/>
      <c r="AQ28" s="30"/>
      <c r="AR28" s="36">
        <f t="shared" si="6"/>
        <v>0</v>
      </c>
      <c r="AS28" s="27" t="s">
        <v>156</v>
      </c>
      <c r="AT28" s="37">
        <v>46245</v>
      </c>
      <c r="AU28" s="30">
        <v>2</v>
      </c>
      <c r="AV28" s="36">
        <f t="shared" si="7"/>
        <v>1.2</v>
      </c>
      <c r="AW28" s="35">
        <v>46245</v>
      </c>
      <c r="AX28" s="30">
        <v>2</v>
      </c>
      <c r="AY28" s="32">
        <f t="shared" si="9"/>
        <v>1.2</v>
      </c>
      <c r="AZ28" s="30" t="s">
        <v>152</v>
      </c>
      <c r="BA28" s="63" t="s">
        <v>158</v>
      </c>
      <c r="BB28" s="71"/>
      <c r="BC28" s="71"/>
      <c r="BD28" s="71"/>
    </row>
    <row r="29" spans="1:56" x14ac:dyDescent="0.25">
      <c r="A29" s="24">
        <f>IF(B29="","",SUBTOTAL(3,$B$4:B29))</f>
        <v>21</v>
      </c>
      <c r="B29" s="25" t="s">
        <v>151</v>
      </c>
      <c r="C29" s="25" t="str">
        <f t="shared" si="0"/>
        <v>Shipment 1 SCR Frame</v>
      </c>
      <c r="D29" s="25" t="s">
        <v>149</v>
      </c>
      <c r="E29" s="25" t="s">
        <v>150</v>
      </c>
      <c r="F29" s="25"/>
      <c r="G29" s="65">
        <v>46192</v>
      </c>
      <c r="H29" s="25" t="s">
        <v>153</v>
      </c>
      <c r="I29" s="25"/>
      <c r="J29" s="26" t="s">
        <v>155</v>
      </c>
      <c r="K29" s="27" t="s">
        <v>121</v>
      </c>
      <c r="L29" s="28" t="s">
        <v>122</v>
      </c>
      <c r="M29" s="28" t="s">
        <v>71</v>
      </c>
      <c r="N29" s="25">
        <v>52</v>
      </c>
      <c r="O29" s="29">
        <v>2.2000000000000002</v>
      </c>
      <c r="P29" s="29">
        <v>114.4</v>
      </c>
      <c r="Q29" s="25" t="s">
        <v>147</v>
      </c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"/>
        <v>114.4</v>
      </c>
      <c r="AF29" s="32">
        <f t="shared" si="2"/>
        <v>0</v>
      </c>
      <c r="AG29" s="30"/>
      <c r="AH29" s="33"/>
      <c r="AI29" s="34">
        <f t="shared" si="3"/>
        <v>0</v>
      </c>
      <c r="AJ29" s="35">
        <v>46228</v>
      </c>
      <c r="AK29" s="30">
        <v>52</v>
      </c>
      <c r="AL29" s="36">
        <f t="shared" si="4"/>
        <v>114.4</v>
      </c>
      <c r="AM29" s="35">
        <v>46228</v>
      </c>
      <c r="AN29" s="30">
        <v>52</v>
      </c>
      <c r="AO29" s="36">
        <f t="shared" si="5"/>
        <v>114.4</v>
      </c>
      <c r="AP29" s="35"/>
      <c r="AQ29" s="30"/>
      <c r="AR29" s="36">
        <f t="shared" si="6"/>
        <v>0</v>
      </c>
      <c r="AS29" s="27" t="s">
        <v>156</v>
      </c>
      <c r="AT29" s="37">
        <v>46245</v>
      </c>
      <c r="AU29" s="30">
        <v>52</v>
      </c>
      <c r="AV29" s="36">
        <f t="shared" si="7"/>
        <v>114.4</v>
      </c>
      <c r="AW29" s="35">
        <v>46245</v>
      </c>
      <c r="AX29" s="30">
        <v>52</v>
      </c>
      <c r="AY29" s="32">
        <f t="shared" si="9"/>
        <v>114.4</v>
      </c>
      <c r="AZ29" s="30" t="s">
        <v>152</v>
      </c>
      <c r="BA29" s="63" t="s">
        <v>158</v>
      </c>
      <c r="BB29" s="71"/>
      <c r="BC29" s="71"/>
      <c r="BD29" s="71"/>
    </row>
    <row r="30" spans="1:56" x14ac:dyDescent="0.25">
      <c r="A30" s="24">
        <f>IF(B30="","",SUBTOTAL(3,$B$4:B30))</f>
        <v>22</v>
      </c>
      <c r="B30" s="25" t="s">
        <v>151</v>
      </c>
      <c r="C30" s="25" t="str">
        <f t="shared" si="0"/>
        <v>Shipment 1 SCR Frame</v>
      </c>
      <c r="D30" s="25" t="s">
        <v>149</v>
      </c>
      <c r="E30" s="25" t="s">
        <v>150</v>
      </c>
      <c r="F30" s="25"/>
      <c r="G30" s="65">
        <v>46192</v>
      </c>
      <c r="H30" s="25" t="s">
        <v>153</v>
      </c>
      <c r="I30" s="25"/>
      <c r="J30" s="26" t="s">
        <v>155</v>
      </c>
      <c r="K30" s="24" t="s">
        <v>123</v>
      </c>
      <c r="L30" s="28" t="s">
        <v>124</v>
      </c>
      <c r="M30" s="28" t="s">
        <v>71</v>
      </c>
      <c r="N30" s="25">
        <v>2</v>
      </c>
      <c r="O30" s="29">
        <v>252.6</v>
      </c>
      <c r="P30" s="29">
        <v>505.2</v>
      </c>
      <c r="Q30" s="25" t="s">
        <v>148</v>
      </c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"/>
        <v>505.2</v>
      </c>
      <c r="AF30" s="32">
        <f t="shared" si="2"/>
        <v>0</v>
      </c>
      <c r="AG30" s="30"/>
      <c r="AH30" s="33"/>
      <c r="AI30" s="34">
        <f t="shared" si="3"/>
        <v>0</v>
      </c>
      <c r="AJ30" s="35">
        <v>46213</v>
      </c>
      <c r="AK30" s="30">
        <v>2</v>
      </c>
      <c r="AL30" s="36">
        <f t="shared" si="4"/>
        <v>505.2</v>
      </c>
      <c r="AM30" s="35">
        <v>46228</v>
      </c>
      <c r="AN30" s="30">
        <v>2</v>
      </c>
      <c r="AO30" s="36">
        <f t="shared" si="5"/>
        <v>505.2</v>
      </c>
      <c r="AP30" s="35"/>
      <c r="AQ30" s="30"/>
      <c r="AR30" s="36">
        <f t="shared" si="6"/>
        <v>0</v>
      </c>
      <c r="AS30" s="27" t="s">
        <v>156</v>
      </c>
      <c r="AT30" s="37">
        <v>46245</v>
      </c>
      <c r="AU30" s="30">
        <v>2</v>
      </c>
      <c r="AV30" s="36">
        <f t="shared" si="7"/>
        <v>505.2</v>
      </c>
      <c r="AW30" s="35">
        <v>46245</v>
      </c>
      <c r="AX30" s="30">
        <v>2</v>
      </c>
      <c r="AY30" s="32">
        <f t="shared" si="9"/>
        <v>505.2</v>
      </c>
      <c r="AZ30" s="30" t="s">
        <v>152</v>
      </c>
      <c r="BA30" s="63" t="s">
        <v>158</v>
      </c>
      <c r="BB30" s="71"/>
      <c r="BC30" s="71"/>
      <c r="BD30" s="71"/>
    </row>
    <row r="31" spans="1:56" hidden="1" x14ac:dyDescent="0.25">
      <c r="A31" s="24" t="str">
        <f>IF(B31="","",SUBTOTAL(3,$B$4:B31))</f>
        <v/>
      </c>
      <c r="B31" s="25"/>
      <c r="C31" s="25" t="str">
        <f t="shared" si="0"/>
        <v xml:space="preserve"> </v>
      </c>
      <c r="D31" s="25"/>
      <c r="E31" s="25"/>
      <c r="F31" s="25"/>
      <c r="G31" s="65"/>
      <c r="H31" s="25"/>
      <c r="I31" s="25"/>
      <c r="J31" s="26"/>
      <c r="K31" s="24"/>
      <c r="L31" s="28"/>
      <c r="M31" s="28"/>
      <c r="N31" s="25"/>
      <c r="O31" s="29"/>
      <c r="P31" s="29"/>
      <c r="Q31" s="25"/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"/>
        <v>0</v>
      </c>
      <c r="AF31" s="32">
        <f t="shared" si="2"/>
        <v>0</v>
      </c>
      <c r="AG31" s="30"/>
      <c r="AH31" s="33"/>
      <c r="AI31" s="34">
        <f t="shared" si="3"/>
        <v>0</v>
      </c>
      <c r="AJ31" s="35"/>
      <c r="AK31" s="30"/>
      <c r="AL31" s="36">
        <f t="shared" si="4"/>
        <v>0</v>
      </c>
      <c r="AM31" s="35"/>
      <c r="AN31" s="30"/>
      <c r="AO31" s="36">
        <f t="shared" si="5"/>
        <v>0</v>
      </c>
      <c r="AP31" s="35"/>
      <c r="AQ31" s="30"/>
      <c r="AR31" s="36">
        <f t="shared" si="6"/>
        <v>0</v>
      </c>
      <c r="AS31" s="27"/>
      <c r="AT31" s="37"/>
      <c r="AU31" s="30"/>
      <c r="AV31" s="36">
        <f t="shared" si="7"/>
        <v>0</v>
      </c>
      <c r="AW31" s="35"/>
      <c r="AX31" s="30"/>
      <c r="AY31" s="32">
        <f t="shared" si="9"/>
        <v>0</v>
      </c>
      <c r="AZ31" s="30"/>
      <c r="BA31" s="63"/>
      <c r="BB31" s="71"/>
      <c r="BC31" s="71"/>
      <c r="BD31" s="71"/>
    </row>
    <row r="32" spans="1:56" hidden="1" x14ac:dyDescent="0.25">
      <c r="A32" s="24" t="str">
        <f>IF(B32="","",SUBTOTAL(3,$B$4:B32))</f>
        <v/>
      </c>
      <c r="B32" s="25"/>
      <c r="C32" s="25" t="str">
        <f t="shared" si="0"/>
        <v xml:space="preserve"> </v>
      </c>
      <c r="D32" s="25"/>
      <c r="E32" s="25"/>
      <c r="F32" s="25"/>
      <c r="G32" s="65"/>
      <c r="H32" s="25"/>
      <c r="I32" s="25"/>
      <c r="J32" s="26"/>
      <c r="K32" s="24"/>
      <c r="L32" s="28"/>
      <c r="M32" s="28"/>
      <c r="N32" s="25"/>
      <c r="O32" s="29"/>
      <c r="P32" s="29"/>
      <c r="Q32" s="25"/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"/>
        <v>0</v>
      </c>
      <c r="AF32" s="32">
        <f t="shared" si="2"/>
        <v>0</v>
      </c>
      <c r="AG32" s="30"/>
      <c r="AH32" s="33"/>
      <c r="AI32" s="34">
        <f t="shared" si="3"/>
        <v>0</v>
      </c>
      <c r="AJ32" s="35"/>
      <c r="AK32" s="30"/>
      <c r="AL32" s="36">
        <f t="shared" si="4"/>
        <v>0</v>
      </c>
      <c r="AM32" s="35"/>
      <c r="AN32" s="30"/>
      <c r="AO32" s="36">
        <f t="shared" si="5"/>
        <v>0</v>
      </c>
      <c r="AP32" s="35"/>
      <c r="AQ32" s="30"/>
      <c r="AR32" s="36">
        <f t="shared" si="6"/>
        <v>0</v>
      </c>
      <c r="AS32" s="27"/>
      <c r="AT32" s="37"/>
      <c r="AU32" s="30"/>
      <c r="AV32" s="36">
        <f t="shared" si="7"/>
        <v>0</v>
      </c>
      <c r="AW32" s="35"/>
      <c r="AX32" s="30"/>
      <c r="AY32" s="32">
        <f t="shared" si="9"/>
        <v>0</v>
      </c>
      <c r="AZ32" s="30"/>
      <c r="BA32" s="63"/>
      <c r="BB32" s="71"/>
      <c r="BC32" s="71"/>
      <c r="BD32" s="71"/>
    </row>
    <row r="33" spans="1:56" hidden="1" x14ac:dyDescent="0.25">
      <c r="A33" s="24" t="str">
        <f>IF(B33="","",SUBTOTAL(3,$B$4:B33))</f>
        <v/>
      </c>
      <c r="B33" s="25"/>
      <c r="C33" s="25" t="str">
        <f t="shared" si="0"/>
        <v xml:space="preserve"> </v>
      </c>
      <c r="D33" s="25"/>
      <c r="E33" s="25"/>
      <c r="F33" s="25"/>
      <c r="G33" s="65"/>
      <c r="H33" s="25"/>
      <c r="I33" s="25"/>
      <c r="J33" s="26"/>
      <c r="K33" s="24"/>
      <c r="L33" s="28"/>
      <c r="M33" s="28"/>
      <c r="N33" s="25"/>
      <c r="O33" s="29"/>
      <c r="P33" s="29"/>
      <c r="Q33" s="25"/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"/>
        <v>0</v>
      </c>
      <c r="AF33" s="32">
        <f t="shared" si="2"/>
        <v>0</v>
      </c>
      <c r="AG33" s="30"/>
      <c r="AH33" s="33"/>
      <c r="AI33" s="34">
        <f t="shared" si="3"/>
        <v>0</v>
      </c>
      <c r="AJ33" s="35"/>
      <c r="AK33" s="30"/>
      <c r="AL33" s="36">
        <f t="shared" si="4"/>
        <v>0</v>
      </c>
      <c r="AM33" s="35"/>
      <c r="AN33" s="30"/>
      <c r="AO33" s="36">
        <f t="shared" si="5"/>
        <v>0</v>
      </c>
      <c r="AP33" s="35"/>
      <c r="AQ33" s="30"/>
      <c r="AR33" s="36">
        <f t="shared" si="6"/>
        <v>0</v>
      </c>
      <c r="AS33" s="27"/>
      <c r="AT33" s="37"/>
      <c r="AU33" s="30"/>
      <c r="AV33" s="36">
        <f t="shared" si="7"/>
        <v>0</v>
      </c>
      <c r="AW33" s="35"/>
      <c r="AX33" s="30"/>
      <c r="AY33" s="32">
        <f t="shared" si="9"/>
        <v>0</v>
      </c>
      <c r="AZ33" s="30"/>
      <c r="BA33" s="63"/>
      <c r="BB33" s="71"/>
      <c r="BC33" s="71"/>
      <c r="BD33" s="71"/>
    </row>
    <row r="34" spans="1:56" hidden="1" x14ac:dyDescent="0.25">
      <c r="A34" s="24" t="str">
        <f>IF(B34="","",SUBTOTAL(3,$B$4:B34))</f>
        <v/>
      </c>
      <c r="B34" s="25"/>
      <c r="C34" s="25" t="str">
        <f t="shared" si="0"/>
        <v xml:space="preserve"> </v>
      </c>
      <c r="D34" s="25"/>
      <c r="E34" s="25"/>
      <c r="F34" s="25"/>
      <c r="G34" s="65"/>
      <c r="H34" s="25"/>
      <c r="I34" s="25"/>
      <c r="J34" s="26"/>
      <c r="K34" s="24"/>
      <c r="L34" s="28"/>
      <c r="M34" s="28"/>
      <c r="N34" s="25"/>
      <c r="O34" s="29"/>
      <c r="P34" s="29"/>
      <c r="Q34" s="25"/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"/>
        <v>0</v>
      </c>
      <c r="AF34" s="32">
        <f t="shared" si="2"/>
        <v>0</v>
      </c>
      <c r="AG34" s="30"/>
      <c r="AH34" s="33"/>
      <c r="AI34" s="34">
        <f t="shared" si="3"/>
        <v>0</v>
      </c>
      <c r="AJ34" s="35"/>
      <c r="AK34" s="30"/>
      <c r="AL34" s="36">
        <f t="shared" si="4"/>
        <v>0</v>
      </c>
      <c r="AM34" s="35"/>
      <c r="AN34" s="30"/>
      <c r="AO34" s="36">
        <f t="shared" si="5"/>
        <v>0</v>
      </c>
      <c r="AP34" s="35"/>
      <c r="AQ34" s="30"/>
      <c r="AR34" s="36">
        <f t="shared" si="6"/>
        <v>0</v>
      </c>
      <c r="AS34" s="27"/>
      <c r="AT34" s="37"/>
      <c r="AU34" s="30"/>
      <c r="AV34" s="36">
        <f t="shared" si="7"/>
        <v>0</v>
      </c>
      <c r="AW34" s="35"/>
      <c r="AX34" s="30"/>
      <c r="AY34" s="32">
        <f t="shared" si="9"/>
        <v>0</v>
      </c>
      <c r="AZ34" s="30"/>
      <c r="BA34" s="63"/>
      <c r="BB34" s="71"/>
      <c r="BC34" s="71"/>
      <c r="BD34" s="71"/>
    </row>
    <row r="35" spans="1:56" hidden="1" x14ac:dyDescent="0.25">
      <c r="A35" s="24" t="str">
        <f>IF(B35="","",SUBTOTAL(3,$B$4:B35))</f>
        <v/>
      </c>
      <c r="B35" s="25"/>
      <c r="C35" s="25" t="str">
        <f t="shared" si="0"/>
        <v xml:space="preserve"> </v>
      </c>
      <c r="D35" s="25"/>
      <c r="E35" s="25"/>
      <c r="F35" s="25"/>
      <c r="G35" s="65"/>
      <c r="H35" s="25"/>
      <c r="I35" s="25"/>
      <c r="J35" s="26"/>
      <c r="K35" s="24"/>
      <c r="L35" s="28"/>
      <c r="M35" s="28"/>
      <c r="N35" s="25"/>
      <c r="O35" s="29"/>
      <c r="P35" s="29"/>
      <c r="Q35" s="25"/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"/>
        <v>0</v>
      </c>
      <c r="AF35" s="32">
        <f t="shared" si="2"/>
        <v>0</v>
      </c>
      <c r="AG35" s="30"/>
      <c r="AH35" s="33"/>
      <c r="AI35" s="34">
        <f t="shared" si="3"/>
        <v>0</v>
      </c>
      <c r="AJ35" s="35"/>
      <c r="AK35" s="30"/>
      <c r="AL35" s="36">
        <f t="shared" si="4"/>
        <v>0</v>
      </c>
      <c r="AM35" s="35"/>
      <c r="AN35" s="30"/>
      <c r="AO35" s="36">
        <f t="shared" si="5"/>
        <v>0</v>
      </c>
      <c r="AP35" s="35"/>
      <c r="AQ35" s="30"/>
      <c r="AR35" s="36">
        <f t="shared" si="6"/>
        <v>0</v>
      </c>
      <c r="AS35" s="27"/>
      <c r="AT35" s="37"/>
      <c r="AU35" s="30"/>
      <c r="AV35" s="36">
        <f t="shared" si="7"/>
        <v>0</v>
      </c>
      <c r="AW35" s="35"/>
      <c r="AX35" s="30"/>
      <c r="AY35" s="32">
        <f t="shared" si="9"/>
        <v>0</v>
      </c>
      <c r="AZ35" s="30"/>
      <c r="BA35" s="63"/>
      <c r="BB35" s="71"/>
      <c r="BC35" s="71"/>
      <c r="BD35" s="71"/>
    </row>
    <row r="36" spans="1:56" hidden="1" x14ac:dyDescent="0.25">
      <c r="A36" s="24" t="str">
        <f>IF(B36="","",SUBTOTAL(3,$B$4:B36))</f>
        <v/>
      </c>
      <c r="B36" s="25"/>
      <c r="C36" s="25" t="str">
        <f t="shared" si="0"/>
        <v xml:space="preserve"> </v>
      </c>
      <c r="D36" s="25"/>
      <c r="E36" s="25"/>
      <c r="F36" s="25"/>
      <c r="G36" s="65"/>
      <c r="H36" s="25"/>
      <c r="I36" s="25"/>
      <c r="J36" s="26"/>
      <c r="K36" s="24"/>
      <c r="L36" s="28"/>
      <c r="M36" s="28"/>
      <c r="N36" s="25"/>
      <c r="O36" s="29"/>
      <c r="P36" s="29"/>
      <c r="Q36" s="25"/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"/>
        <v>0</v>
      </c>
      <c r="AF36" s="32">
        <f t="shared" si="2"/>
        <v>0</v>
      </c>
      <c r="AG36" s="30"/>
      <c r="AH36" s="33"/>
      <c r="AI36" s="34">
        <f t="shared" si="3"/>
        <v>0</v>
      </c>
      <c r="AJ36" s="35"/>
      <c r="AK36" s="30"/>
      <c r="AL36" s="36">
        <f t="shared" si="4"/>
        <v>0</v>
      </c>
      <c r="AM36" s="35"/>
      <c r="AN36" s="30"/>
      <c r="AO36" s="36">
        <f t="shared" si="5"/>
        <v>0</v>
      </c>
      <c r="AP36" s="35"/>
      <c r="AQ36" s="30"/>
      <c r="AR36" s="36">
        <f t="shared" si="6"/>
        <v>0</v>
      </c>
      <c r="AS36" s="27"/>
      <c r="AT36" s="37"/>
      <c r="AU36" s="30"/>
      <c r="AV36" s="36">
        <f t="shared" si="7"/>
        <v>0</v>
      </c>
      <c r="AW36" s="35"/>
      <c r="AX36" s="30"/>
      <c r="AY36" s="32">
        <f t="shared" si="9"/>
        <v>0</v>
      </c>
      <c r="AZ36" s="30"/>
      <c r="BA36" s="63"/>
      <c r="BB36" s="71"/>
      <c r="BC36" s="71"/>
      <c r="BD36" s="71"/>
    </row>
    <row r="37" spans="1:56" hidden="1" x14ac:dyDescent="0.25">
      <c r="A37" s="24" t="str">
        <f>IF(B37="","",SUBTOTAL(3,$B$4:B37))</f>
        <v/>
      </c>
      <c r="B37" s="25"/>
      <c r="C37" s="25" t="str">
        <f t="shared" si="0"/>
        <v xml:space="preserve"> </v>
      </c>
      <c r="D37" s="25"/>
      <c r="E37" s="25"/>
      <c r="F37" s="25"/>
      <c r="G37" s="65"/>
      <c r="H37" s="25"/>
      <c r="I37" s="25"/>
      <c r="J37" s="26"/>
      <c r="K37" s="24"/>
      <c r="L37" s="28"/>
      <c r="M37" s="28"/>
      <c r="N37" s="25"/>
      <c r="O37" s="29"/>
      <c r="P37" s="29"/>
      <c r="Q37" s="25"/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"/>
        <v>0</v>
      </c>
      <c r="AF37" s="32">
        <f t="shared" si="2"/>
        <v>0</v>
      </c>
      <c r="AG37" s="30"/>
      <c r="AH37" s="33"/>
      <c r="AI37" s="34">
        <f t="shared" si="3"/>
        <v>0</v>
      </c>
      <c r="AJ37" s="35"/>
      <c r="AK37" s="30"/>
      <c r="AL37" s="36">
        <f t="shared" si="4"/>
        <v>0</v>
      </c>
      <c r="AM37" s="35"/>
      <c r="AN37" s="30"/>
      <c r="AO37" s="36">
        <f t="shared" si="5"/>
        <v>0</v>
      </c>
      <c r="AP37" s="35"/>
      <c r="AQ37" s="30"/>
      <c r="AR37" s="36">
        <f t="shared" si="6"/>
        <v>0</v>
      </c>
      <c r="AS37" s="27"/>
      <c r="AT37" s="37"/>
      <c r="AU37" s="30"/>
      <c r="AV37" s="36">
        <f t="shared" si="7"/>
        <v>0</v>
      </c>
      <c r="AW37" s="35"/>
      <c r="AX37" s="30"/>
      <c r="AY37" s="32">
        <f t="shared" si="9"/>
        <v>0</v>
      </c>
      <c r="AZ37" s="30"/>
      <c r="BA37" s="63"/>
      <c r="BB37" s="71"/>
      <c r="BC37" s="71"/>
      <c r="BD37" s="71"/>
    </row>
    <row r="38" spans="1:56" hidden="1" x14ac:dyDescent="0.25">
      <c r="A38" s="24" t="str">
        <f>IF(B38="","",SUBTOTAL(3,$B$4:B38))</f>
        <v/>
      </c>
      <c r="B38" s="25"/>
      <c r="C38" s="25" t="str">
        <f t="shared" si="0"/>
        <v xml:space="preserve"> </v>
      </c>
      <c r="D38" s="25"/>
      <c r="E38" s="25"/>
      <c r="F38" s="25"/>
      <c r="G38" s="65"/>
      <c r="H38" s="25"/>
      <c r="I38" s="25"/>
      <c r="J38" s="26"/>
      <c r="K38" s="24"/>
      <c r="L38" s="28"/>
      <c r="M38" s="28"/>
      <c r="N38" s="25"/>
      <c r="O38" s="29"/>
      <c r="P38" s="29"/>
      <c r="Q38" s="25"/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"/>
        <v>0</v>
      </c>
      <c r="AF38" s="32">
        <f t="shared" si="2"/>
        <v>0</v>
      </c>
      <c r="AG38" s="30"/>
      <c r="AH38" s="33"/>
      <c r="AI38" s="34">
        <f t="shared" si="3"/>
        <v>0</v>
      </c>
      <c r="AJ38" s="35"/>
      <c r="AK38" s="30"/>
      <c r="AL38" s="36">
        <f t="shared" si="4"/>
        <v>0</v>
      </c>
      <c r="AM38" s="35"/>
      <c r="AN38" s="30"/>
      <c r="AO38" s="36">
        <f t="shared" si="5"/>
        <v>0</v>
      </c>
      <c r="AP38" s="35"/>
      <c r="AQ38" s="30"/>
      <c r="AR38" s="36">
        <f t="shared" si="6"/>
        <v>0</v>
      </c>
      <c r="AS38" s="27"/>
      <c r="AT38" s="37"/>
      <c r="AU38" s="30"/>
      <c r="AV38" s="36">
        <f t="shared" si="7"/>
        <v>0</v>
      </c>
      <c r="AW38" s="35"/>
      <c r="AX38" s="30"/>
      <c r="AY38" s="32">
        <f t="shared" si="9"/>
        <v>0</v>
      </c>
      <c r="AZ38" s="30"/>
      <c r="BA38" s="63"/>
      <c r="BB38" s="71"/>
      <c r="BC38" s="71"/>
      <c r="BD38" s="71"/>
    </row>
    <row r="39" spans="1:56" hidden="1" x14ac:dyDescent="0.25">
      <c r="A39" s="24" t="str">
        <f>IF(B39="","",SUBTOTAL(3,$B$4:B39))</f>
        <v/>
      </c>
      <c r="B39" s="25"/>
      <c r="C39" s="25" t="str">
        <f t="shared" si="0"/>
        <v xml:space="preserve"> </v>
      </c>
      <c r="D39" s="25"/>
      <c r="E39" s="25"/>
      <c r="F39" s="25"/>
      <c r="G39" s="65"/>
      <c r="H39" s="25"/>
      <c r="I39" s="25"/>
      <c r="J39" s="26"/>
      <c r="K39" s="24"/>
      <c r="L39" s="28"/>
      <c r="M39" s="28"/>
      <c r="N39" s="25"/>
      <c r="O39" s="29"/>
      <c r="P39" s="29"/>
      <c r="Q39" s="25"/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"/>
        <v>0</v>
      </c>
      <c r="AF39" s="32">
        <f t="shared" si="2"/>
        <v>0</v>
      </c>
      <c r="AG39" s="30"/>
      <c r="AH39" s="33"/>
      <c r="AI39" s="34">
        <f t="shared" si="3"/>
        <v>0</v>
      </c>
      <c r="AJ39" s="35"/>
      <c r="AK39" s="30"/>
      <c r="AL39" s="36">
        <f t="shared" si="4"/>
        <v>0</v>
      </c>
      <c r="AM39" s="35"/>
      <c r="AN39" s="30"/>
      <c r="AO39" s="36">
        <f t="shared" si="5"/>
        <v>0</v>
      </c>
      <c r="AP39" s="35"/>
      <c r="AQ39" s="30"/>
      <c r="AR39" s="36">
        <f t="shared" si="6"/>
        <v>0</v>
      </c>
      <c r="AS39" s="27"/>
      <c r="AT39" s="37"/>
      <c r="AU39" s="30"/>
      <c r="AV39" s="36">
        <f t="shared" si="7"/>
        <v>0</v>
      </c>
      <c r="AW39" s="35"/>
      <c r="AX39" s="30"/>
      <c r="AY39" s="32">
        <f t="shared" si="9"/>
        <v>0</v>
      </c>
      <c r="AZ39" s="30"/>
      <c r="BA39" s="63"/>
      <c r="BB39" s="71"/>
      <c r="BC39" s="71"/>
      <c r="BD39" s="71"/>
    </row>
    <row r="40" spans="1:56" hidden="1" x14ac:dyDescent="0.25">
      <c r="A40" s="24" t="str">
        <f>IF(B40="","",SUBTOTAL(3,$B$4:B40))</f>
        <v/>
      </c>
      <c r="B40" s="25"/>
      <c r="C40" s="25" t="str">
        <f t="shared" si="0"/>
        <v xml:space="preserve"> </v>
      </c>
      <c r="D40" s="25"/>
      <c r="E40" s="25"/>
      <c r="F40" s="25"/>
      <c r="G40" s="65"/>
      <c r="H40" s="25"/>
      <c r="I40" s="25"/>
      <c r="J40" s="26"/>
      <c r="K40" s="24"/>
      <c r="L40" s="28"/>
      <c r="M40" s="28"/>
      <c r="N40" s="25"/>
      <c r="O40" s="29"/>
      <c r="P40" s="29"/>
      <c r="Q40" s="25"/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"/>
        <v>0</v>
      </c>
      <c r="AF40" s="32">
        <f t="shared" si="2"/>
        <v>0</v>
      </c>
      <c r="AG40" s="30"/>
      <c r="AH40" s="33"/>
      <c r="AI40" s="34">
        <f t="shared" si="3"/>
        <v>0</v>
      </c>
      <c r="AJ40" s="35"/>
      <c r="AK40" s="30"/>
      <c r="AL40" s="36">
        <f t="shared" si="4"/>
        <v>0</v>
      </c>
      <c r="AM40" s="35"/>
      <c r="AN40" s="30"/>
      <c r="AO40" s="36">
        <f t="shared" si="5"/>
        <v>0</v>
      </c>
      <c r="AP40" s="35"/>
      <c r="AQ40" s="30"/>
      <c r="AR40" s="36">
        <f t="shared" si="6"/>
        <v>0</v>
      </c>
      <c r="AS40" s="27"/>
      <c r="AT40" s="37"/>
      <c r="AU40" s="30"/>
      <c r="AV40" s="36">
        <f t="shared" si="7"/>
        <v>0</v>
      </c>
      <c r="AW40" s="35"/>
      <c r="AX40" s="30"/>
      <c r="AY40" s="32">
        <f t="shared" si="9"/>
        <v>0</v>
      </c>
      <c r="AZ40" s="30"/>
      <c r="BA40" s="63"/>
      <c r="BB40" s="71"/>
      <c r="BC40" s="71"/>
      <c r="BD40" s="71"/>
    </row>
    <row r="41" spans="1:56" ht="16.5" hidden="1" thickBot="1" x14ac:dyDescent="0.3">
      <c r="A41" s="38" t="str">
        <f>IF(B41="","",SUBTOTAL(3,$B$4:B41))</f>
        <v/>
      </c>
      <c r="B41" s="39"/>
      <c r="C41" s="39" t="str">
        <f t="shared" si="0"/>
        <v xml:space="preserve"> </v>
      </c>
      <c r="D41" s="39"/>
      <c r="E41" s="39"/>
      <c r="F41" s="39"/>
      <c r="G41" s="66"/>
      <c r="H41" s="39"/>
      <c r="I41" s="39"/>
      <c r="J41" s="40"/>
      <c r="K41" s="38"/>
      <c r="L41" s="42"/>
      <c r="M41" s="42"/>
      <c r="N41" s="39"/>
      <c r="O41" s="43"/>
      <c r="P41" s="43"/>
      <c r="Q41" s="39"/>
      <c r="R41" s="39"/>
      <c r="S41" s="40"/>
      <c r="T41" s="38"/>
      <c r="U41" s="41"/>
      <c r="V41" s="41"/>
      <c r="W41" s="41"/>
      <c r="X41" s="66"/>
      <c r="Y41" s="46"/>
      <c r="Z41" s="41"/>
      <c r="AA41" s="46"/>
      <c r="AB41" s="41"/>
      <c r="AC41" s="41"/>
      <c r="AD41" s="69"/>
      <c r="AE41" s="55">
        <f t="shared" si="1"/>
        <v>0</v>
      </c>
      <c r="AF41" s="47">
        <f t="shared" si="2"/>
        <v>0</v>
      </c>
      <c r="AG41" s="41"/>
      <c r="AH41" s="56"/>
      <c r="AI41" s="57">
        <f t="shared" si="3"/>
        <v>0</v>
      </c>
      <c r="AJ41" s="44"/>
      <c r="AK41" s="41"/>
      <c r="AL41" s="45">
        <f t="shared" si="4"/>
        <v>0</v>
      </c>
      <c r="AM41" s="44"/>
      <c r="AN41" s="41"/>
      <c r="AO41" s="45">
        <f t="shared" si="5"/>
        <v>0</v>
      </c>
      <c r="AP41" s="44"/>
      <c r="AQ41" s="41"/>
      <c r="AR41" s="45">
        <f t="shared" si="6"/>
        <v>0</v>
      </c>
      <c r="AS41" s="62"/>
      <c r="AT41" s="46"/>
      <c r="AU41" s="41"/>
      <c r="AV41" s="45">
        <f t="shared" si="7"/>
        <v>0</v>
      </c>
      <c r="AW41" s="44"/>
      <c r="AX41" s="41"/>
      <c r="AY41" s="47">
        <f t="shared" si="9"/>
        <v>0</v>
      </c>
      <c r="AZ41" s="41"/>
      <c r="BA41" s="64"/>
      <c r="BB41" s="71"/>
      <c r="BC41" s="71"/>
      <c r="BD41" s="71"/>
    </row>
  </sheetData>
  <autoFilter ref="A3:BD41" xr:uid="{334E9545-4D7F-4FF2-AE79-B0165FA68616}">
    <filterColumn colId="49">
      <colorFilter dxfId="0"/>
    </filterColumn>
  </autoFilter>
  <conditionalFormatting sqref="A4:AG41 AJ4:AL41">
    <cfRule type="expression" dxfId="6" priority="2">
      <formula>$AK4=$N4</formula>
    </cfRule>
  </conditionalFormatting>
  <conditionalFormatting sqref="AH4:AI41">
    <cfRule type="expression" dxfId="5" priority="1">
      <formula>$AH4=1</formula>
    </cfRule>
  </conditionalFormatting>
  <conditionalFormatting sqref="AM4:AO41">
    <cfRule type="expression" dxfId="4" priority="3">
      <formula>$AN4=$N4</formula>
    </cfRule>
  </conditionalFormatting>
  <conditionalFormatting sqref="AP4:AR41">
    <cfRule type="expression" dxfId="3" priority="4">
      <formula>$AQ4=$N4</formula>
    </cfRule>
  </conditionalFormatting>
  <conditionalFormatting sqref="AS4:AV41">
    <cfRule type="expression" dxfId="2" priority="5">
      <formula>$AU4=$N4</formula>
    </cfRule>
  </conditionalFormatting>
  <conditionalFormatting sqref="AW4:BA41">
    <cfRule type="expression" dxfId="1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2026-08-12T01:21:51Z</dcterms:modified>
</cp:coreProperties>
</file>