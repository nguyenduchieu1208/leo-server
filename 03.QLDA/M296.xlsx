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BB8349F9-9864-4DC8-B2C2-F9E7F66029C9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Progress!$A$3:$BD$258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10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08" i="1" l="1"/>
  <c r="AY207" i="1"/>
  <c r="AY202" i="1"/>
  <c r="AY201" i="1"/>
  <c r="AY197" i="1"/>
  <c r="AY196" i="1"/>
  <c r="AY191" i="1"/>
  <c r="AY190" i="1"/>
  <c r="AY206" i="1"/>
  <c r="AY205" i="1"/>
  <c r="AY204" i="1"/>
  <c r="AY203" i="1"/>
  <c r="AY200" i="1"/>
  <c r="AY199" i="1"/>
  <c r="AY198" i="1"/>
  <c r="AY195" i="1"/>
  <c r="AY194" i="1"/>
  <c r="AY193" i="1"/>
  <c r="AY192" i="1"/>
  <c r="AY189" i="1"/>
  <c r="AY166" i="1"/>
  <c r="AY165" i="1"/>
  <c r="AY155" i="1"/>
  <c r="AY128" i="1"/>
  <c r="AY120" i="1"/>
  <c r="AY119" i="1"/>
  <c r="AY118" i="1"/>
  <c r="AY151" i="1" l="1"/>
  <c r="AY141" i="1"/>
  <c r="AY110" i="1"/>
  <c r="AY109" i="1"/>
  <c r="AY108" i="1"/>
  <c r="AY106" i="1"/>
  <c r="AY91" i="1"/>
  <c r="AY144" i="1"/>
  <c r="AY132" i="1"/>
  <c r="AY111" i="1"/>
  <c r="AY107" i="1"/>
  <c r="AY104" i="1"/>
  <c r="AY103" i="1"/>
  <c r="AY101" i="1"/>
  <c r="AY100" i="1"/>
  <c r="AY43" i="1"/>
  <c r="AY39" i="1"/>
  <c r="AY35" i="1"/>
  <c r="AY34" i="1"/>
  <c r="AY33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30" i="1"/>
  <c r="BB31" i="1"/>
  <c r="BB32" i="1"/>
  <c r="BB36" i="1"/>
  <c r="BB37" i="1"/>
  <c r="BB40" i="1"/>
  <c r="BB41" i="1"/>
  <c r="BB42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2" i="1"/>
  <c r="BB93" i="1"/>
  <c r="BB95" i="1"/>
  <c r="BB96" i="1"/>
  <c r="BB97" i="1"/>
  <c r="BB98" i="1"/>
  <c r="BB99" i="1"/>
  <c r="BB102" i="1"/>
  <c r="BB105" i="1"/>
  <c r="BB112" i="1"/>
  <c r="BB113" i="1"/>
  <c r="BB114" i="1"/>
  <c r="BB115" i="1"/>
  <c r="BB116" i="1"/>
  <c r="BB117" i="1"/>
  <c r="BB121" i="1"/>
  <c r="BB122" i="1"/>
  <c r="BB123" i="1"/>
  <c r="BB124" i="1"/>
  <c r="BB125" i="1"/>
  <c r="BB126" i="1"/>
  <c r="BB127" i="1"/>
  <c r="BB129" i="1"/>
  <c r="BB130" i="1"/>
  <c r="BB131" i="1"/>
  <c r="BB133" i="1"/>
  <c r="BB134" i="1"/>
  <c r="BB135" i="1"/>
  <c r="BB136" i="1"/>
  <c r="BB137" i="1"/>
  <c r="BB138" i="1"/>
  <c r="BB139" i="1"/>
  <c r="BB140" i="1"/>
  <c r="BB142" i="1"/>
  <c r="BB143" i="1"/>
  <c r="BB145" i="1"/>
  <c r="BB146" i="1"/>
  <c r="BB147" i="1"/>
  <c r="BB148" i="1"/>
  <c r="BB149" i="1"/>
  <c r="BB150" i="1"/>
  <c r="BB152" i="1"/>
  <c r="BB153" i="1"/>
  <c r="BB154" i="1"/>
  <c r="BB156" i="1"/>
  <c r="BB157" i="1"/>
  <c r="BB158" i="1"/>
  <c r="BB159" i="1"/>
  <c r="BB160" i="1"/>
  <c r="BB161" i="1"/>
  <c r="BB162" i="1"/>
  <c r="BB163" i="1"/>
  <c r="BB164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4" i="1"/>
  <c r="AY98" i="1"/>
  <c r="AY92" i="1"/>
  <c r="AY210" i="1"/>
  <c r="AY186" i="1"/>
  <c r="AY185" i="1"/>
  <c r="AY184" i="1"/>
  <c r="AY183" i="1"/>
  <c r="AY161" i="1"/>
  <c r="AY97" i="1"/>
  <c r="AY88" i="1"/>
  <c r="AY124" i="1"/>
  <c r="AY123" i="1"/>
  <c r="AY30" i="1"/>
  <c r="AY19" i="1"/>
  <c r="AY17" i="1"/>
  <c r="AY7" i="1"/>
  <c r="AY6" i="1"/>
  <c r="AY117" i="1"/>
  <c r="AY116" i="1"/>
  <c r="AY115" i="1"/>
  <c r="AY114" i="1"/>
  <c r="AY113" i="1"/>
  <c r="AY112" i="1"/>
  <c r="AY84" i="1"/>
  <c r="AY169" i="1"/>
  <c r="AY153" i="1"/>
  <c r="AY146" i="1"/>
  <c r="AY96" i="1"/>
  <c r="AY95" i="1"/>
  <c r="AY182" i="1"/>
  <c r="AY181" i="1"/>
  <c r="AY149" i="1"/>
  <c r="AY105" i="1"/>
  <c r="AY102" i="1"/>
  <c r="AY99" i="1"/>
  <c r="AY93" i="1"/>
  <c r="AY90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92" i="1"/>
  <c r="C92" i="1"/>
  <c r="AY89" i="1"/>
  <c r="AY86" i="1"/>
  <c r="A89" i="1"/>
  <c r="C89" i="1"/>
  <c r="A98" i="1"/>
  <c r="C98" i="1"/>
  <c r="A86" i="1"/>
  <c r="C86" i="1"/>
  <c r="A88" i="1"/>
  <c r="C88" i="1"/>
  <c r="A90" i="1"/>
  <c r="C90" i="1"/>
  <c r="A91" i="1"/>
  <c r="C91" i="1"/>
  <c r="A93" i="1"/>
  <c r="C93" i="1"/>
  <c r="A94" i="1"/>
  <c r="C94" i="1"/>
  <c r="A95" i="1"/>
  <c r="C95" i="1"/>
  <c r="A96" i="1"/>
  <c r="C96" i="1"/>
  <c r="A97" i="1"/>
  <c r="C97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Y224" i="1"/>
  <c r="AY223" i="1"/>
  <c r="AY222" i="1"/>
  <c r="AY221" i="1"/>
  <c r="AY220" i="1"/>
  <c r="AY219" i="1"/>
  <c r="AY218" i="1"/>
  <c r="AY217" i="1"/>
  <c r="AY212" i="1"/>
  <c r="AY211" i="1"/>
  <c r="AY209" i="1"/>
  <c r="AY180" i="1"/>
  <c r="AY179" i="1"/>
  <c r="AY178" i="1"/>
  <c r="AY177" i="1"/>
  <c r="AY176" i="1"/>
  <c r="AY175" i="1"/>
  <c r="AY162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44" i="1"/>
  <c r="AY42" i="1"/>
  <c r="AY216" i="1"/>
  <c r="AY215" i="1"/>
  <c r="AY214" i="1"/>
  <c r="AY213" i="1"/>
  <c r="AY168" i="1"/>
  <c r="AY167" i="1"/>
  <c r="AY164" i="1"/>
  <c r="AY163" i="1"/>
  <c r="AY160" i="1"/>
  <c r="AY157" i="1"/>
  <c r="AY152" i="1"/>
  <c r="AY83" i="1"/>
  <c r="AY82" i="1"/>
  <c r="AY81" i="1"/>
  <c r="AY79" i="1"/>
  <c r="AY78" i="1"/>
  <c r="AY77" i="1"/>
  <c r="AY76" i="1"/>
  <c r="AY75" i="1"/>
  <c r="AY74" i="1"/>
  <c r="AY73" i="1"/>
  <c r="AY72" i="1"/>
  <c r="AY142" i="1"/>
  <c r="AY136" i="1"/>
  <c r="AY122" i="1"/>
  <c r="AY121" i="1"/>
  <c r="AY45" i="1"/>
  <c r="AY25" i="1"/>
  <c r="AY126" i="1"/>
  <c r="AY125" i="1"/>
  <c r="AY48" i="1"/>
  <c r="AY47" i="1"/>
  <c r="AY41" i="1"/>
  <c r="AY40" i="1"/>
  <c r="AY37" i="1"/>
  <c r="AY32" i="1"/>
  <c r="AY31" i="1"/>
  <c r="AY23" i="1"/>
  <c r="AY22" i="1"/>
  <c r="AY21" i="1"/>
  <c r="AY16" i="1"/>
  <c r="AY15" i="1"/>
  <c r="AY14" i="1"/>
  <c r="AY13" i="1"/>
  <c r="AY12" i="1"/>
  <c r="AY11" i="1"/>
  <c r="AY10" i="1"/>
  <c r="AY9" i="1"/>
  <c r="AY8" i="1"/>
  <c r="AY159" i="1"/>
  <c r="AY158" i="1"/>
  <c r="AY156" i="1"/>
  <c r="AY148" i="1"/>
  <c r="AY171" i="1"/>
  <c r="AY172" i="1"/>
  <c r="AY173" i="1"/>
  <c r="AY174" i="1"/>
  <c r="AY145" i="1"/>
  <c r="AY143" i="1"/>
  <c r="AY140" i="1"/>
  <c r="AY139" i="1"/>
  <c r="AY138" i="1"/>
  <c r="AY137" i="1"/>
  <c r="AY135" i="1"/>
  <c r="AY134" i="1"/>
  <c r="AY133" i="1"/>
  <c r="AY131" i="1"/>
  <c r="AY130" i="1"/>
  <c r="AY129" i="1"/>
  <c r="AY127" i="1"/>
  <c r="AY46" i="1"/>
  <c r="AY28" i="1"/>
  <c r="AY27" i="1"/>
  <c r="AY26" i="1"/>
  <c r="AY20" i="1"/>
  <c r="AO159" i="1"/>
  <c r="AO158" i="1"/>
  <c r="AO156" i="1"/>
  <c r="AO148" i="1"/>
  <c r="AI194" i="1"/>
  <c r="AI199" i="1"/>
  <c r="AI200" i="1"/>
  <c r="AI201" i="1"/>
  <c r="AI202" i="1"/>
  <c r="AI203" i="1"/>
  <c r="AI206" i="1"/>
  <c r="AI207" i="1"/>
  <c r="AI208" i="1"/>
  <c r="AI213" i="1"/>
  <c r="AI214" i="1"/>
  <c r="AI215" i="1"/>
  <c r="A13" i="1"/>
  <c r="C13" i="1"/>
  <c r="AI13" i="1"/>
  <c r="AL13" i="1"/>
  <c r="AO13" i="1"/>
  <c r="AR13" i="1"/>
  <c r="AV13" i="1"/>
  <c r="A14" i="1"/>
  <c r="C14" i="1"/>
  <c r="AI14" i="1"/>
  <c r="AL14" i="1"/>
  <c r="AO14" i="1"/>
  <c r="AR14" i="1"/>
  <c r="AV14" i="1"/>
  <c r="A15" i="1"/>
  <c r="C15" i="1"/>
  <c r="AI15" i="1"/>
  <c r="AL15" i="1"/>
  <c r="AO15" i="1"/>
  <c r="AR15" i="1"/>
  <c r="AV15" i="1"/>
  <c r="A16" i="1"/>
  <c r="C16" i="1"/>
  <c r="AI16" i="1"/>
  <c r="AL16" i="1"/>
  <c r="AO16" i="1"/>
  <c r="AR16" i="1"/>
  <c r="AV16" i="1"/>
  <c r="A17" i="1"/>
  <c r="C17" i="1"/>
  <c r="AI17" i="1"/>
  <c r="AL17" i="1"/>
  <c r="AO17" i="1"/>
  <c r="AR17" i="1"/>
  <c r="AV17" i="1"/>
  <c r="A18" i="1"/>
  <c r="C18" i="1"/>
  <c r="AI18" i="1"/>
  <c r="AL18" i="1"/>
  <c r="AO18" i="1"/>
  <c r="AR18" i="1"/>
  <c r="AV18" i="1"/>
  <c r="AY18" i="1"/>
  <c r="A19" i="1"/>
  <c r="C19" i="1"/>
  <c r="AI19" i="1"/>
  <c r="AL19" i="1"/>
  <c r="AO19" i="1"/>
  <c r="AR19" i="1"/>
  <c r="AV19" i="1"/>
  <c r="A20" i="1"/>
  <c r="C20" i="1"/>
  <c r="AI20" i="1"/>
  <c r="AL20" i="1"/>
  <c r="AO20" i="1"/>
  <c r="AR20" i="1"/>
  <c r="AV20" i="1"/>
  <c r="A21" i="1"/>
  <c r="C21" i="1"/>
  <c r="AI21" i="1"/>
  <c r="AL21" i="1"/>
  <c r="AO21" i="1"/>
  <c r="AR21" i="1"/>
  <c r="AV21" i="1"/>
  <c r="A22" i="1"/>
  <c r="C22" i="1"/>
  <c r="AI22" i="1"/>
  <c r="AL22" i="1"/>
  <c r="AO22" i="1"/>
  <c r="AR22" i="1"/>
  <c r="AV22" i="1"/>
  <c r="A23" i="1"/>
  <c r="C23" i="1"/>
  <c r="AI23" i="1"/>
  <c r="AL23" i="1"/>
  <c r="AO23" i="1"/>
  <c r="AR23" i="1"/>
  <c r="AV23" i="1"/>
  <c r="A24" i="1"/>
  <c r="C24" i="1"/>
  <c r="AI24" i="1"/>
  <c r="AL24" i="1"/>
  <c r="AO24" i="1"/>
  <c r="AR24" i="1"/>
  <c r="AV24" i="1"/>
  <c r="AY24" i="1"/>
  <c r="A25" i="1"/>
  <c r="C25" i="1"/>
  <c r="AI25" i="1"/>
  <c r="AL25" i="1"/>
  <c r="AO25" i="1"/>
  <c r="AR25" i="1"/>
  <c r="AV25" i="1"/>
  <c r="A26" i="1"/>
  <c r="C26" i="1"/>
  <c r="AI26" i="1"/>
  <c r="AL26" i="1"/>
  <c r="AO26" i="1"/>
  <c r="AR26" i="1"/>
  <c r="AV26" i="1"/>
  <c r="A27" i="1"/>
  <c r="C27" i="1"/>
  <c r="AI27" i="1"/>
  <c r="AL27" i="1"/>
  <c r="AO27" i="1"/>
  <c r="AR27" i="1"/>
  <c r="AV27" i="1"/>
  <c r="A28" i="1"/>
  <c r="C28" i="1"/>
  <c r="AI28" i="1"/>
  <c r="AL28" i="1"/>
  <c r="AO28" i="1"/>
  <c r="AR28" i="1"/>
  <c r="AV28" i="1"/>
  <c r="A29" i="1"/>
  <c r="C29" i="1"/>
  <c r="AL29" i="1"/>
  <c r="AO29" i="1"/>
  <c r="AR29" i="1"/>
  <c r="AV29" i="1"/>
  <c r="AY29" i="1"/>
  <c r="A30" i="1"/>
  <c r="C30" i="1"/>
  <c r="AI30" i="1"/>
  <c r="AL30" i="1"/>
  <c r="AO30" i="1"/>
  <c r="AR30" i="1"/>
  <c r="AV30" i="1"/>
  <c r="A31" i="1"/>
  <c r="C31" i="1"/>
  <c r="AI31" i="1"/>
  <c r="AL31" i="1"/>
  <c r="AO31" i="1"/>
  <c r="AR31" i="1"/>
  <c r="AV31" i="1"/>
  <c r="A32" i="1"/>
  <c r="C32" i="1"/>
  <c r="AI32" i="1"/>
  <c r="AL32" i="1"/>
  <c r="AO32" i="1"/>
  <c r="AR32" i="1"/>
  <c r="AV32" i="1"/>
  <c r="A33" i="1"/>
  <c r="C33" i="1"/>
  <c r="AI33" i="1"/>
  <c r="AL33" i="1"/>
  <c r="AO33" i="1"/>
  <c r="AR33" i="1"/>
  <c r="AV33" i="1"/>
  <c r="A34" i="1"/>
  <c r="C34" i="1"/>
  <c r="AI34" i="1"/>
  <c r="AL34" i="1"/>
  <c r="AO34" i="1"/>
  <c r="AR34" i="1"/>
  <c r="AV34" i="1"/>
  <c r="A35" i="1"/>
  <c r="C35" i="1"/>
  <c r="AI35" i="1"/>
  <c r="AL35" i="1"/>
  <c r="AO35" i="1"/>
  <c r="AR35" i="1"/>
  <c r="AV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38" i="1"/>
  <c r="C38" i="1"/>
  <c r="AI38" i="1"/>
  <c r="AL38" i="1"/>
  <c r="AO38" i="1"/>
  <c r="AR38" i="1"/>
  <c r="AV38" i="1"/>
  <c r="AY38" i="1"/>
  <c r="A39" i="1"/>
  <c r="C39" i="1"/>
  <c r="AI39" i="1"/>
  <c r="AL39" i="1"/>
  <c r="AO39" i="1"/>
  <c r="AR39" i="1"/>
  <c r="AV39" i="1"/>
  <c r="A40" i="1"/>
  <c r="C40" i="1"/>
  <c r="AI40" i="1"/>
  <c r="AL40" i="1"/>
  <c r="AO40" i="1"/>
  <c r="AR40" i="1"/>
  <c r="AV40" i="1"/>
  <c r="A41" i="1"/>
  <c r="C41" i="1"/>
  <c r="AI41" i="1"/>
  <c r="AL41" i="1"/>
  <c r="AO41" i="1"/>
  <c r="AR41" i="1"/>
  <c r="AV41" i="1"/>
  <c r="A42" i="1"/>
  <c r="C42" i="1"/>
  <c r="AI42" i="1"/>
  <c r="AL42" i="1"/>
  <c r="AO42" i="1"/>
  <c r="AR42" i="1"/>
  <c r="AV42" i="1"/>
  <c r="A43" i="1"/>
  <c r="C43" i="1"/>
  <c r="AI43" i="1"/>
  <c r="AL43" i="1"/>
  <c r="AO43" i="1"/>
  <c r="AR43" i="1"/>
  <c r="AV43" i="1"/>
  <c r="A44" i="1"/>
  <c r="C44" i="1"/>
  <c r="AI44" i="1"/>
  <c r="AL44" i="1"/>
  <c r="AO44" i="1"/>
  <c r="AR44" i="1"/>
  <c r="AV44" i="1"/>
  <c r="A45" i="1"/>
  <c r="C45" i="1"/>
  <c r="AI45" i="1"/>
  <c r="AL45" i="1"/>
  <c r="AO45" i="1"/>
  <c r="AR45" i="1"/>
  <c r="AV45" i="1"/>
  <c r="A46" i="1"/>
  <c r="C46" i="1"/>
  <c r="AI46" i="1"/>
  <c r="AL46" i="1"/>
  <c r="AO46" i="1"/>
  <c r="AR46" i="1"/>
  <c r="AV46" i="1"/>
  <c r="A47" i="1"/>
  <c r="C47" i="1"/>
  <c r="AI47" i="1"/>
  <c r="AL47" i="1"/>
  <c r="AO47" i="1"/>
  <c r="AR47" i="1"/>
  <c r="AV47" i="1"/>
  <c r="A48" i="1"/>
  <c r="C48" i="1"/>
  <c r="AI48" i="1"/>
  <c r="AL48" i="1"/>
  <c r="AO48" i="1"/>
  <c r="AR48" i="1"/>
  <c r="AV48" i="1"/>
  <c r="A49" i="1"/>
  <c r="C49" i="1"/>
  <c r="AI49" i="1"/>
  <c r="AL49" i="1"/>
  <c r="AO49" i="1"/>
  <c r="AR49" i="1"/>
  <c r="AV49" i="1"/>
  <c r="AY49" i="1"/>
  <c r="A50" i="1"/>
  <c r="C50" i="1"/>
  <c r="AI50" i="1"/>
  <c r="AL50" i="1"/>
  <c r="AO50" i="1"/>
  <c r="AR50" i="1"/>
  <c r="AV50" i="1"/>
  <c r="AY50" i="1"/>
  <c r="A51" i="1"/>
  <c r="C51" i="1"/>
  <c r="AI51" i="1"/>
  <c r="AL51" i="1"/>
  <c r="AO51" i="1"/>
  <c r="AR51" i="1"/>
  <c r="AV51" i="1"/>
  <c r="AY51" i="1"/>
  <c r="A52" i="1"/>
  <c r="C52" i="1"/>
  <c r="AI52" i="1"/>
  <c r="AL52" i="1"/>
  <c r="AO52" i="1"/>
  <c r="AR52" i="1"/>
  <c r="AV52" i="1"/>
  <c r="A53" i="1"/>
  <c r="C53" i="1"/>
  <c r="AI53" i="1"/>
  <c r="AL53" i="1"/>
  <c r="AO53" i="1"/>
  <c r="AR53" i="1"/>
  <c r="AV53" i="1"/>
  <c r="A54" i="1"/>
  <c r="C54" i="1"/>
  <c r="AI54" i="1"/>
  <c r="AL54" i="1"/>
  <c r="AO54" i="1"/>
  <c r="AR54" i="1"/>
  <c r="AV54" i="1"/>
  <c r="A55" i="1"/>
  <c r="C55" i="1"/>
  <c r="AI55" i="1"/>
  <c r="AL55" i="1"/>
  <c r="AO55" i="1"/>
  <c r="AR55" i="1"/>
  <c r="AV55" i="1"/>
  <c r="A56" i="1"/>
  <c r="C56" i="1"/>
  <c r="AI56" i="1"/>
  <c r="AL56" i="1"/>
  <c r="AO56" i="1"/>
  <c r="AR56" i="1"/>
  <c r="AV56" i="1"/>
  <c r="A57" i="1"/>
  <c r="C57" i="1"/>
  <c r="AI57" i="1"/>
  <c r="AL57" i="1"/>
  <c r="AO57" i="1"/>
  <c r="AR57" i="1"/>
  <c r="AV57" i="1"/>
  <c r="A58" i="1"/>
  <c r="C58" i="1"/>
  <c r="AI58" i="1"/>
  <c r="AL58" i="1"/>
  <c r="AO58" i="1"/>
  <c r="AR58" i="1"/>
  <c r="AV58" i="1"/>
  <c r="A59" i="1"/>
  <c r="C59" i="1"/>
  <c r="AI59" i="1"/>
  <c r="AL59" i="1"/>
  <c r="AO59" i="1"/>
  <c r="AR59" i="1"/>
  <c r="AV59" i="1"/>
  <c r="A60" i="1"/>
  <c r="C60" i="1"/>
  <c r="AI60" i="1"/>
  <c r="AL60" i="1"/>
  <c r="AO60" i="1"/>
  <c r="AR60" i="1"/>
  <c r="AV60" i="1"/>
  <c r="A61" i="1"/>
  <c r="C61" i="1"/>
  <c r="AI61" i="1"/>
  <c r="AL61" i="1"/>
  <c r="AO61" i="1"/>
  <c r="AR61" i="1"/>
  <c r="AV61" i="1"/>
  <c r="A62" i="1"/>
  <c r="C62" i="1"/>
  <c r="AI62" i="1"/>
  <c r="AL62" i="1"/>
  <c r="AO62" i="1"/>
  <c r="AR62" i="1"/>
  <c r="AV62" i="1"/>
  <c r="A63" i="1"/>
  <c r="C63" i="1"/>
  <c r="AI63" i="1"/>
  <c r="AL63" i="1"/>
  <c r="AO63" i="1"/>
  <c r="AR63" i="1"/>
  <c r="AV63" i="1"/>
  <c r="A64" i="1"/>
  <c r="C64" i="1"/>
  <c r="AI64" i="1"/>
  <c r="AL64" i="1"/>
  <c r="AO64" i="1"/>
  <c r="AR64" i="1"/>
  <c r="AV64" i="1"/>
  <c r="A65" i="1"/>
  <c r="C65" i="1"/>
  <c r="AI65" i="1"/>
  <c r="AL65" i="1"/>
  <c r="AO65" i="1"/>
  <c r="AR65" i="1"/>
  <c r="AV65" i="1"/>
  <c r="A66" i="1"/>
  <c r="C66" i="1"/>
  <c r="AI66" i="1"/>
  <c r="AL66" i="1"/>
  <c r="AO66" i="1"/>
  <c r="AR66" i="1"/>
  <c r="AV66" i="1"/>
  <c r="A67" i="1"/>
  <c r="C67" i="1"/>
  <c r="AI67" i="1"/>
  <c r="AL67" i="1"/>
  <c r="AO67" i="1"/>
  <c r="AR67" i="1"/>
  <c r="AV67" i="1"/>
  <c r="A68" i="1"/>
  <c r="C68" i="1"/>
  <c r="AI68" i="1"/>
  <c r="AL68" i="1"/>
  <c r="AO68" i="1"/>
  <c r="AR68" i="1"/>
  <c r="AV68" i="1"/>
  <c r="A69" i="1"/>
  <c r="C69" i="1"/>
  <c r="AI69" i="1"/>
  <c r="AL69" i="1"/>
  <c r="AO69" i="1"/>
  <c r="AR69" i="1"/>
  <c r="AV69" i="1"/>
  <c r="A70" i="1"/>
  <c r="C70" i="1"/>
  <c r="AI70" i="1"/>
  <c r="AL70" i="1"/>
  <c r="AO70" i="1"/>
  <c r="AR70" i="1"/>
  <c r="AV70" i="1"/>
  <c r="A71" i="1"/>
  <c r="C71" i="1"/>
  <c r="AI71" i="1"/>
  <c r="AL71" i="1"/>
  <c r="AO71" i="1"/>
  <c r="AR71" i="1"/>
  <c r="AV71" i="1"/>
  <c r="A72" i="1"/>
  <c r="C72" i="1"/>
  <c r="AI72" i="1"/>
  <c r="AL72" i="1"/>
  <c r="AO72" i="1"/>
  <c r="AR72" i="1"/>
  <c r="AV72" i="1"/>
  <c r="A73" i="1"/>
  <c r="C73" i="1"/>
  <c r="AI73" i="1"/>
  <c r="AL73" i="1"/>
  <c r="AO73" i="1"/>
  <c r="AR73" i="1"/>
  <c r="AV73" i="1"/>
  <c r="A74" i="1"/>
  <c r="C74" i="1"/>
  <c r="AI74" i="1"/>
  <c r="AL74" i="1"/>
  <c r="AO74" i="1"/>
  <c r="AR74" i="1"/>
  <c r="AV74" i="1"/>
  <c r="A75" i="1"/>
  <c r="C75" i="1"/>
  <c r="AI75" i="1"/>
  <c r="AL75" i="1"/>
  <c r="AO75" i="1"/>
  <c r="AR75" i="1"/>
  <c r="AV75" i="1"/>
  <c r="A76" i="1"/>
  <c r="C76" i="1"/>
  <c r="AI76" i="1"/>
  <c r="AL76" i="1"/>
  <c r="AO76" i="1"/>
  <c r="AR76" i="1"/>
  <c r="AV76" i="1"/>
  <c r="A77" i="1"/>
  <c r="C77" i="1"/>
  <c r="AI77" i="1"/>
  <c r="AL77" i="1"/>
  <c r="AO77" i="1"/>
  <c r="AR77" i="1"/>
  <c r="AV77" i="1"/>
  <c r="A78" i="1"/>
  <c r="C78" i="1"/>
  <c r="AI78" i="1"/>
  <c r="AL78" i="1"/>
  <c r="AO78" i="1"/>
  <c r="AR78" i="1"/>
  <c r="AV78" i="1"/>
  <c r="A79" i="1"/>
  <c r="C79" i="1"/>
  <c r="AI79" i="1"/>
  <c r="AL79" i="1"/>
  <c r="AO79" i="1"/>
  <c r="AR79" i="1"/>
  <c r="AV79" i="1"/>
  <c r="A80" i="1"/>
  <c r="C80" i="1"/>
  <c r="AI80" i="1"/>
  <c r="AL80" i="1"/>
  <c r="AO80" i="1"/>
  <c r="AR80" i="1"/>
  <c r="AV80" i="1"/>
  <c r="AY80" i="1"/>
  <c r="A81" i="1"/>
  <c r="C81" i="1"/>
  <c r="AI81" i="1"/>
  <c r="AL81" i="1"/>
  <c r="AO81" i="1"/>
  <c r="AV81" i="1"/>
  <c r="A82" i="1"/>
  <c r="C82" i="1"/>
  <c r="AI82" i="1"/>
  <c r="AL82" i="1"/>
  <c r="AO82" i="1"/>
  <c r="AV82" i="1"/>
  <c r="A83" i="1"/>
  <c r="C83" i="1"/>
  <c r="AI83" i="1"/>
  <c r="AL83" i="1"/>
  <c r="AO83" i="1"/>
  <c r="A84" i="1"/>
  <c r="C84" i="1"/>
  <c r="AI84" i="1"/>
  <c r="AL84" i="1"/>
  <c r="A85" i="1"/>
  <c r="C85" i="1"/>
  <c r="AY85" i="1"/>
  <c r="A87" i="1"/>
  <c r="C87" i="1"/>
  <c r="AY87" i="1"/>
  <c r="AY94" i="1"/>
  <c r="A111" i="1"/>
  <c r="C111" i="1"/>
  <c r="AR111" i="1"/>
  <c r="AV111" i="1"/>
  <c r="A112" i="1"/>
  <c r="C112" i="1"/>
  <c r="AL112" i="1"/>
  <c r="AO112" i="1"/>
  <c r="AR112" i="1"/>
  <c r="AV112" i="1"/>
  <c r="A113" i="1"/>
  <c r="C113" i="1"/>
  <c r="AI113" i="1"/>
  <c r="AL113" i="1"/>
  <c r="AO113" i="1"/>
  <c r="AR113" i="1"/>
  <c r="AV113" i="1"/>
  <c r="A114" i="1"/>
  <c r="C114" i="1"/>
  <c r="AI114" i="1"/>
  <c r="AL114" i="1"/>
  <c r="AO114" i="1"/>
  <c r="AR114" i="1"/>
  <c r="AV114" i="1"/>
  <c r="A115" i="1"/>
  <c r="C115" i="1"/>
  <c r="AL115" i="1"/>
  <c r="AO115" i="1"/>
  <c r="AR115" i="1"/>
  <c r="AV115" i="1"/>
  <c r="A116" i="1"/>
  <c r="C116" i="1"/>
  <c r="AI116" i="1"/>
  <c r="AL116" i="1"/>
  <c r="AO116" i="1"/>
  <c r="AR116" i="1"/>
  <c r="AV116" i="1"/>
  <c r="A117" i="1"/>
  <c r="C117" i="1"/>
  <c r="AI117" i="1"/>
  <c r="AL117" i="1"/>
  <c r="AO117" i="1"/>
  <c r="AR117" i="1"/>
  <c r="AV117" i="1"/>
  <c r="A118" i="1"/>
  <c r="C118" i="1"/>
  <c r="AI118" i="1"/>
  <c r="AL118" i="1"/>
  <c r="AO118" i="1"/>
  <c r="AR118" i="1"/>
  <c r="AV118" i="1"/>
  <c r="A119" i="1"/>
  <c r="C119" i="1"/>
  <c r="AL119" i="1"/>
  <c r="AO119" i="1"/>
  <c r="AR119" i="1"/>
  <c r="AV119" i="1"/>
  <c r="A120" i="1"/>
  <c r="C120" i="1"/>
  <c r="AI120" i="1"/>
  <c r="AL120" i="1"/>
  <c r="AO120" i="1"/>
  <c r="AR120" i="1"/>
  <c r="AV120" i="1"/>
  <c r="A121" i="1"/>
  <c r="C121" i="1"/>
  <c r="AI121" i="1"/>
  <c r="AL121" i="1"/>
  <c r="AO121" i="1"/>
  <c r="AR121" i="1"/>
  <c r="AV121" i="1"/>
  <c r="A122" i="1"/>
  <c r="C122" i="1"/>
  <c r="AL122" i="1"/>
  <c r="AO122" i="1"/>
  <c r="AR122" i="1"/>
  <c r="AV122" i="1"/>
  <c r="A123" i="1"/>
  <c r="C123" i="1"/>
  <c r="AI123" i="1"/>
  <c r="AL123" i="1"/>
  <c r="AO123" i="1"/>
  <c r="AR123" i="1"/>
  <c r="AV123" i="1"/>
  <c r="A124" i="1"/>
  <c r="C124" i="1"/>
  <c r="AI124" i="1"/>
  <c r="AL124" i="1"/>
  <c r="AO124" i="1"/>
  <c r="AR124" i="1"/>
  <c r="AV124" i="1"/>
  <c r="A125" i="1"/>
  <c r="C125" i="1"/>
  <c r="AI125" i="1"/>
  <c r="AL125" i="1"/>
  <c r="AO125" i="1"/>
  <c r="AR125" i="1"/>
  <c r="AV125" i="1"/>
  <c r="A126" i="1"/>
  <c r="C126" i="1"/>
  <c r="AI126" i="1"/>
  <c r="AL126" i="1"/>
  <c r="AO126" i="1"/>
  <c r="AR126" i="1"/>
  <c r="AV126" i="1"/>
  <c r="A127" i="1"/>
  <c r="C127" i="1"/>
  <c r="AI127" i="1"/>
  <c r="AL127" i="1"/>
  <c r="AO127" i="1"/>
  <c r="AR127" i="1"/>
  <c r="AV127" i="1"/>
  <c r="A128" i="1"/>
  <c r="C128" i="1"/>
  <c r="AI128" i="1"/>
  <c r="AL128" i="1"/>
  <c r="AO128" i="1"/>
  <c r="AR128" i="1"/>
  <c r="AV128" i="1"/>
  <c r="A129" i="1"/>
  <c r="C129" i="1"/>
  <c r="AI129" i="1"/>
  <c r="AL129" i="1"/>
  <c r="AO129" i="1"/>
  <c r="AR129" i="1"/>
  <c r="AV129" i="1"/>
  <c r="A130" i="1"/>
  <c r="C130" i="1"/>
  <c r="AI130" i="1"/>
  <c r="AL130" i="1"/>
  <c r="AO130" i="1"/>
  <c r="AR130" i="1"/>
  <c r="AV130" i="1"/>
  <c r="A131" i="1"/>
  <c r="C131" i="1"/>
  <c r="AI131" i="1"/>
  <c r="AL131" i="1"/>
  <c r="AO131" i="1"/>
  <c r="AR131" i="1"/>
  <c r="AV131" i="1"/>
  <c r="A132" i="1"/>
  <c r="C132" i="1"/>
  <c r="AI132" i="1"/>
  <c r="AL132" i="1"/>
  <c r="AO132" i="1"/>
  <c r="AR132" i="1"/>
  <c r="AV132" i="1"/>
  <c r="A133" i="1"/>
  <c r="C133" i="1"/>
  <c r="AI133" i="1"/>
  <c r="AL133" i="1"/>
  <c r="AO133" i="1"/>
  <c r="AR133" i="1"/>
  <c r="AV133" i="1"/>
  <c r="A134" i="1"/>
  <c r="C134" i="1"/>
  <c r="AI134" i="1"/>
  <c r="AL134" i="1"/>
  <c r="AO134" i="1"/>
  <c r="AR134" i="1"/>
  <c r="AV134" i="1"/>
  <c r="A135" i="1"/>
  <c r="C135" i="1"/>
  <c r="AI135" i="1"/>
  <c r="AL135" i="1"/>
  <c r="AO135" i="1"/>
  <c r="AR135" i="1"/>
  <c r="AV135" i="1"/>
  <c r="A136" i="1"/>
  <c r="C136" i="1"/>
  <c r="AL136" i="1"/>
  <c r="AO136" i="1"/>
  <c r="AR136" i="1"/>
  <c r="AV136" i="1"/>
  <c r="A137" i="1"/>
  <c r="C137" i="1"/>
  <c r="AI137" i="1"/>
  <c r="AL137" i="1"/>
  <c r="AO137" i="1"/>
  <c r="AR137" i="1"/>
  <c r="AV137" i="1"/>
  <c r="A138" i="1"/>
  <c r="C138" i="1"/>
  <c r="AI138" i="1"/>
  <c r="AL138" i="1"/>
  <c r="AO138" i="1"/>
  <c r="AR138" i="1"/>
  <c r="AV138" i="1"/>
  <c r="A139" i="1"/>
  <c r="C139" i="1"/>
  <c r="AI139" i="1"/>
  <c r="AL139" i="1"/>
  <c r="AO139" i="1"/>
  <c r="AR139" i="1"/>
  <c r="AV139" i="1"/>
  <c r="A140" i="1"/>
  <c r="C140" i="1"/>
  <c r="AI140" i="1"/>
  <c r="AL140" i="1"/>
  <c r="AO140" i="1"/>
  <c r="AR140" i="1"/>
  <c r="AV140" i="1"/>
  <c r="A141" i="1"/>
  <c r="C141" i="1"/>
  <c r="AI141" i="1"/>
  <c r="AL141" i="1"/>
  <c r="AO141" i="1"/>
  <c r="AR141" i="1"/>
  <c r="AV141" i="1"/>
  <c r="A142" i="1"/>
  <c r="C142" i="1"/>
  <c r="AI142" i="1"/>
  <c r="AL142" i="1"/>
  <c r="AO142" i="1"/>
  <c r="AR142" i="1"/>
  <c r="AV142" i="1"/>
  <c r="A143" i="1"/>
  <c r="C143" i="1"/>
  <c r="AI143" i="1"/>
  <c r="AL143" i="1"/>
  <c r="AO143" i="1"/>
  <c r="AR143" i="1"/>
  <c r="AV143" i="1"/>
  <c r="A144" i="1"/>
  <c r="C144" i="1"/>
  <c r="AI144" i="1"/>
  <c r="AL144" i="1"/>
  <c r="AO144" i="1"/>
  <c r="AR144" i="1"/>
  <c r="AV144" i="1"/>
  <c r="A145" i="1"/>
  <c r="C145" i="1"/>
  <c r="AI145" i="1"/>
  <c r="AL145" i="1"/>
  <c r="AO145" i="1"/>
  <c r="AR145" i="1"/>
  <c r="AV145" i="1"/>
  <c r="A146" i="1"/>
  <c r="C146" i="1"/>
  <c r="AL146" i="1"/>
  <c r="AO146" i="1"/>
  <c r="AR146" i="1"/>
  <c r="AV146" i="1"/>
  <c r="A147" i="1"/>
  <c r="C147" i="1"/>
  <c r="AI147" i="1"/>
  <c r="AL147" i="1"/>
  <c r="AO147" i="1"/>
  <c r="AR147" i="1"/>
  <c r="AV147" i="1"/>
  <c r="AY147" i="1"/>
  <c r="A148" i="1"/>
  <c r="C148" i="1"/>
  <c r="AI148" i="1"/>
  <c r="AL148" i="1"/>
  <c r="AR148" i="1"/>
  <c r="AV148" i="1"/>
  <c r="A149" i="1"/>
  <c r="C149" i="1"/>
  <c r="AI149" i="1"/>
  <c r="AL149" i="1"/>
  <c r="AO149" i="1"/>
  <c r="AR149" i="1"/>
  <c r="AV149" i="1"/>
  <c r="A150" i="1"/>
  <c r="C150" i="1"/>
  <c r="AI150" i="1"/>
  <c r="AL150" i="1"/>
  <c r="AO150" i="1"/>
  <c r="AR150" i="1"/>
  <c r="AV150" i="1"/>
  <c r="AY150" i="1"/>
  <c r="A151" i="1"/>
  <c r="C151" i="1"/>
  <c r="AI151" i="1"/>
  <c r="AL151" i="1"/>
  <c r="AO151" i="1"/>
  <c r="AR151" i="1"/>
  <c r="AV151" i="1"/>
  <c r="A152" i="1"/>
  <c r="C152" i="1"/>
  <c r="AI152" i="1"/>
  <c r="AL152" i="1"/>
  <c r="AO152" i="1"/>
  <c r="AR152" i="1"/>
  <c r="AV152" i="1"/>
  <c r="A153" i="1"/>
  <c r="C153" i="1"/>
  <c r="AL153" i="1"/>
  <c r="AO153" i="1"/>
  <c r="AR153" i="1"/>
  <c r="AV153" i="1"/>
  <c r="A154" i="1"/>
  <c r="C154" i="1"/>
  <c r="AI154" i="1"/>
  <c r="AL154" i="1"/>
  <c r="AO154" i="1"/>
  <c r="AR154" i="1"/>
  <c r="AV154" i="1"/>
  <c r="AY154" i="1"/>
  <c r="A155" i="1"/>
  <c r="C155" i="1"/>
  <c r="AI155" i="1"/>
  <c r="AL155" i="1"/>
  <c r="AO155" i="1"/>
  <c r="AR155" i="1"/>
  <c r="AV155" i="1"/>
  <c r="A156" i="1"/>
  <c r="C156" i="1"/>
  <c r="AI156" i="1"/>
  <c r="AL156" i="1"/>
  <c r="AR156" i="1"/>
  <c r="AV156" i="1"/>
  <c r="A157" i="1"/>
  <c r="C157" i="1"/>
  <c r="AL157" i="1"/>
  <c r="AO157" i="1"/>
  <c r="AR157" i="1"/>
  <c r="AV157" i="1"/>
  <c r="A158" i="1"/>
  <c r="C158" i="1"/>
  <c r="AI158" i="1"/>
  <c r="AL158" i="1"/>
  <c r="AR158" i="1"/>
  <c r="AV158" i="1"/>
  <c r="A159" i="1"/>
  <c r="C159" i="1"/>
  <c r="AI159" i="1"/>
  <c r="AL159" i="1"/>
  <c r="AR159" i="1"/>
  <c r="AV159" i="1"/>
  <c r="A160" i="1"/>
  <c r="C160" i="1"/>
  <c r="AL160" i="1"/>
  <c r="AO160" i="1"/>
  <c r="AR160" i="1"/>
  <c r="AV160" i="1"/>
  <c r="A161" i="1"/>
  <c r="C161" i="1"/>
  <c r="AI161" i="1"/>
  <c r="AL161" i="1"/>
  <c r="AO161" i="1"/>
  <c r="AR161" i="1"/>
  <c r="AV161" i="1"/>
  <c r="A162" i="1"/>
  <c r="C162" i="1"/>
  <c r="AL162" i="1"/>
  <c r="AO162" i="1"/>
  <c r="AR162" i="1"/>
  <c r="AV162" i="1"/>
  <c r="A163" i="1"/>
  <c r="C163" i="1"/>
  <c r="AL163" i="1"/>
  <c r="AO163" i="1"/>
  <c r="AR163" i="1"/>
  <c r="AV163" i="1"/>
  <c r="A164" i="1"/>
  <c r="C164" i="1"/>
  <c r="AL164" i="1"/>
  <c r="AO164" i="1"/>
  <c r="AR164" i="1"/>
  <c r="AV164" i="1"/>
  <c r="A165" i="1"/>
  <c r="C165" i="1"/>
  <c r="AI165" i="1"/>
  <c r="AL165" i="1"/>
  <c r="AO165" i="1"/>
  <c r="AR165" i="1"/>
  <c r="AV165" i="1"/>
  <c r="A166" i="1"/>
  <c r="C166" i="1"/>
  <c r="AI166" i="1"/>
  <c r="AL166" i="1"/>
  <c r="AO166" i="1"/>
  <c r="AR166" i="1"/>
  <c r="AV166" i="1"/>
  <c r="A167" i="1"/>
  <c r="C167" i="1"/>
  <c r="AI167" i="1"/>
  <c r="AL167" i="1"/>
  <c r="AO167" i="1"/>
  <c r="AR167" i="1"/>
  <c r="AV167" i="1"/>
  <c r="A168" i="1"/>
  <c r="C168" i="1"/>
  <c r="AI168" i="1"/>
  <c r="AL168" i="1"/>
  <c r="AO168" i="1"/>
  <c r="AR168" i="1"/>
  <c r="AV168" i="1"/>
  <c r="A169" i="1"/>
  <c r="C169" i="1"/>
  <c r="AL169" i="1"/>
  <c r="AO169" i="1"/>
  <c r="AR169" i="1"/>
  <c r="AV169" i="1"/>
  <c r="A170" i="1"/>
  <c r="C170" i="1"/>
  <c r="AI170" i="1"/>
  <c r="AL170" i="1"/>
  <c r="AO170" i="1"/>
  <c r="AR170" i="1"/>
  <c r="AV170" i="1"/>
  <c r="AY170" i="1"/>
  <c r="A171" i="1"/>
  <c r="C171" i="1"/>
  <c r="AI171" i="1"/>
  <c r="AL171" i="1"/>
  <c r="AO171" i="1"/>
  <c r="AR171" i="1"/>
  <c r="AV171" i="1"/>
  <c r="A172" i="1"/>
  <c r="C172" i="1"/>
  <c r="AI172" i="1"/>
  <c r="AL172" i="1"/>
  <c r="AO172" i="1"/>
  <c r="AR172" i="1"/>
  <c r="AV172" i="1"/>
  <c r="A173" i="1"/>
  <c r="C173" i="1"/>
  <c r="AI173" i="1"/>
  <c r="AL173" i="1"/>
  <c r="AO173" i="1"/>
  <c r="AR173" i="1"/>
  <c r="AV173" i="1"/>
  <c r="A174" i="1"/>
  <c r="C174" i="1"/>
  <c r="AI174" i="1"/>
  <c r="AL174" i="1"/>
  <c r="AO174" i="1"/>
  <c r="AR174" i="1"/>
  <c r="AV174" i="1"/>
  <c r="A175" i="1"/>
  <c r="C175" i="1"/>
  <c r="AI175" i="1"/>
  <c r="AL175" i="1"/>
  <c r="AO175" i="1"/>
  <c r="AR175" i="1"/>
  <c r="AV175" i="1"/>
  <c r="A176" i="1"/>
  <c r="C176" i="1"/>
  <c r="AI176" i="1"/>
  <c r="AL176" i="1"/>
  <c r="AO176" i="1"/>
  <c r="AR176" i="1"/>
  <c r="AV176" i="1"/>
  <c r="A177" i="1"/>
  <c r="C177" i="1"/>
  <c r="AI177" i="1"/>
  <c r="AL177" i="1"/>
  <c r="AO177" i="1"/>
  <c r="AR177" i="1"/>
  <c r="AV177" i="1"/>
  <c r="A178" i="1"/>
  <c r="C178" i="1"/>
  <c r="AI178" i="1"/>
  <c r="AL178" i="1"/>
  <c r="AO178" i="1"/>
  <c r="AR178" i="1"/>
  <c r="AV178" i="1"/>
  <c r="A179" i="1"/>
  <c r="C179" i="1"/>
  <c r="AI179" i="1"/>
  <c r="AL179" i="1"/>
  <c r="AO179" i="1"/>
  <c r="AR179" i="1"/>
  <c r="AV179" i="1"/>
  <c r="A180" i="1"/>
  <c r="C180" i="1"/>
  <c r="AI180" i="1"/>
  <c r="AL180" i="1"/>
  <c r="AO180" i="1"/>
  <c r="AR180" i="1"/>
  <c r="AV180" i="1"/>
  <c r="A181" i="1"/>
  <c r="C181" i="1"/>
  <c r="AL181" i="1"/>
  <c r="AO181" i="1"/>
  <c r="AR181" i="1"/>
  <c r="AV181" i="1"/>
  <c r="A182" i="1"/>
  <c r="C182" i="1"/>
  <c r="AL182" i="1"/>
  <c r="AO182" i="1"/>
  <c r="AR182" i="1"/>
  <c r="AV182" i="1"/>
  <c r="A183" i="1"/>
  <c r="C183" i="1"/>
  <c r="AL183" i="1"/>
  <c r="AO183" i="1"/>
  <c r="AR183" i="1"/>
  <c r="AV183" i="1"/>
  <c r="A184" i="1"/>
  <c r="C184" i="1"/>
  <c r="AL184" i="1"/>
  <c r="AO184" i="1"/>
  <c r="AR184" i="1"/>
  <c r="AV184" i="1"/>
  <c r="A185" i="1"/>
  <c r="C185" i="1"/>
  <c r="AL185" i="1"/>
  <c r="AO185" i="1"/>
  <c r="AR185" i="1"/>
  <c r="AV185" i="1"/>
  <c r="A186" i="1"/>
  <c r="C186" i="1"/>
  <c r="AL186" i="1"/>
  <c r="AO186" i="1"/>
  <c r="AR186" i="1"/>
  <c r="AV186" i="1"/>
  <c r="A187" i="1"/>
  <c r="C187" i="1"/>
  <c r="AI187" i="1"/>
  <c r="AL187" i="1"/>
  <c r="AO187" i="1"/>
  <c r="AR187" i="1"/>
  <c r="AV187" i="1"/>
  <c r="AY187" i="1"/>
  <c r="A188" i="1"/>
  <c r="C188" i="1"/>
  <c r="AI188" i="1"/>
  <c r="AL188" i="1"/>
  <c r="AO188" i="1"/>
  <c r="AR188" i="1"/>
  <c r="AV188" i="1"/>
  <c r="AY188" i="1"/>
  <c r="A189" i="1"/>
  <c r="C189" i="1"/>
  <c r="AI189" i="1"/>
  <c r="AL189" i="1"/>
  <c r="AO189" i="1"/>
  <c r="AR189" i="1"/>
  <c r="AV189" i="1"/>
  <c r="A190" i="1"/>
  <c r="C190" i="1"/>
  <c r="AI190" i="1"/>
  <c r="AL190" i="1"/>
  <c r="AO190" i="1"/>
  <c r="AR190" i="1"/>
  <c r="AV190" i="1"/>
  <c r="A191" i="1"/>
  <c r="C191" i="1"/>
  <c r="AI191" i="1"/>
  <c r="AL191" i="1"/>
  <c r="AO191" i="1"/>
  <c r="AR191" i="1"/>
  <c r="AV191" i="1"/>
  <c r="A192" i="1"/>
  <c r="C192" i="1"/>
  <c r="AI192" i="1"/>
  <c r="AL192" i="1"/>
  <c r="AO192" i="1"/>
  <c r="AR192" i="1"/>
  <c r="AV192" i="1"/>
  <c r="A193" i="1"/>
  <c r="C193" i="1"/>
  <c r="AI193" i="1"/>
  <c r="AL193" i="1"/>
  <c r="AO193" i="1"/>
  <c r="AR193" i="1"/>
  <c r="AV193" i="1"/>
  <c r="A194" i="1"/>
  <c r="C194" i="1"/>
  <c r="AL194" i="1"/>
  <c r="AO194" i="1"/>
  <c r="AR194" i="1"/>
  <c r="AV194" i="1"/>
  <c r="A195" i="1"/>
  <c r="C195" i="1"/>
  <c r="AI195" i="1"/>
  <c r="AL195" i="1"/>
  <c r="AO195" i="1"/>
  <c r="AR195" i="1"/>
  <c r="AV195" i="1"/>
  <c r="A196" i="1"/>
  <c r="C196" i="1"/>
  <c r="AI196" i="1"/>
  <c r="AL196" i="1"/>
  <c r="AO196" i="1"/>
  <c r="AR196" i="1"/>
  <c r="AV196" i="1"/>
  <c r="A197" i="1"/>
  <c r="C197" i="1"/>
  <c r="AI197" i="1"/>
  <c r="AL197" i="1"/>
  <c r="AO197" i="1"/>
  <c r="AR197" i="1"/>
  <c r="AV197" i="1"/>
  <c r="A198" i="1"/>
  <c r="C198" i="1"/>
  <c r="AI198" i="1"/>
  <c r="AL198" i="1"/>
  <c r="AO198" i="1"/>
  <c r="AR198" i="1"/>
  <c r="AV198" i="1"/>
  <c r="A199" i="1"/>
  <c r="C199" i="1"/>
  <c r="AL199" i="1"/>
  <c r="AO199" i="1"/>
  <c r="AR199" i="1"/>
  <c r="AV199" i="1"/>
  <c r="A200" i="1"/>
  <c r="C200" i="1"/>
  <c r="AL200" i="1"/>
  <c r="AO200" i="1"/>
  <c r="AR200" i="1"/>
  <c r="AV200" i="1"/>
  <c r="A201" i="1"/>
  <c r="C201" i="1"/>
  <c r="AL201" i="1"/>
  <c r="AO201" i="1"/>
  <c r="AR201" i="1"/>
  <c r="AV201" i="1"/>
  <c r="A202" i="1"/>
  <c r="C202" i="1"/>
  <c r="AL202" i="1"/>
  <c r="AO202" i="1"/>
  <c r="AR202" i="1"/>
  <c r="AV202" i="1"/>
  <c r="A203" i="1"/>
  <c r="C203" i="1"/>
  <c r="AL203" i="1"/>
  <c r="AO203" i="1"/>
  <c r="AR203" i="1"/>
  <c r="AV203" i="1"/>
  <c r="A204" i="1"/>
  <c r="C204" i="1"/>
  <c r="AI204" i="1"/>
  <c r="AL204" i="1"/>
  <c r="AO204" i="1"/>
  <c r="AR204" i="1"/>
  <c r="AV204" i="1"/>
  <c r="A205" i="1"/>
  <c r="C205" i="1"/>
  <c r="AI205" i="1"/>
  <c r="AL205" i="1"/>
  <c r="AO205" i="1"/>
  <c r="AR205" i="1"/>
  <c r="AV205" i="1"/>
  <c r="A206" i="1"/>
  <c r="C206" i="1"/>
  <c r="AL206" i="1"/>
  <c r="AO206" i="1"/>
  <c r="AR206" i="1"/>
  <c r="AV206" i="1"/>
  <c r="A207" i="1"/>
  <c r="C207" i="1"/>
  <c r="AL207" i="1"/>
  <c r="AO207" i="1"/>
  <c r="AR207" i="1"/>
  <c r="AV207" i="1"/>
  <c r="A208" i="1"/>
  <c r="C208" i="1"/>
  <c r="AL208" i="1"/>
  <c r="AO208" i="1"/>
  <c r="AR208" i="1"/>
  <c r="AV208" i="1"/>
  <c r="A209" i="1"/>
  <c r="C209" i="1"/>
  <c r="AI209" i="1"/>
  <c r="AL209" i="1"/>
  <c r="AO209" i="1"/>
  <c r="AR209" i="1"/>
  <c r="AV209" i="1"/>
  <c r="A210" i="1"/>
  <c r="C210" i="1"/>
  <c r="AI210" i="1"/>
  <c r="AL210" i="1"/>
  <c r="AO210" i="1"/>
  <c r="AR210" i="1"/>
  <c r="AV210" i="1"/>
  <c r="A211" i="1"/>
  <c r="C211" i="1"/>
  <c r="AI211" i="1"/>
  <c r="AL211" i="1"/>
  <c r="AO211" i="1"/>
  <c r="AR211" i="1"/>
  <c r="AV211" i="1"/>
  <c r="A212" i="1"/>
  <c r="C212" i="1"/>
  <c r="AI212" i="1"/>
  <c r="AL212" i="1"/>
  <c r="AO212" i="1"/>
  <c r="AR212" i="1"/>
  <c r="AV212" i="1"/>
  <c r="A213" i="1"/>
  <c r="C213" i="1"/>
  <c r="AL213" i="1"/>
  <c r="AO213" i="1"/>
  <c r="AR213" i="1"/>
  <c r="AV213" i="1"/>
  <c r="A214" i="1"/>
  <c r="C214" i="1"/>
  <c r="AL214" i="1"/>
  <c r="AO214" i="1"/>
  <c r="AR214" i="1"/>
  <c r="AV214" i="1"/>
  <c r="A215" i="1"/>
  <c r="C215" i="1"/>
  <c r="AL215" i="1"/>
  <c r="AO215" i="1"/>
  <c r="AR215" i="1"/>
  <c r="AV215" i="1"/>
  <c r="A216" i="1"/>
  <c r="C216" i="1"/>
  <c r="AI216" i="1"/>
  <c r="AL216" i="1"/>
  <c r="AO216" i="1"/>
  <c r="AR216" i="1"/>
  <c r="AV216" i="1"/>
  <c r="A217" i="1"/>
  <c r="C217" i="1"/>
  <c r="AI217" i="1"/>
  <c r="AL217" i="1"/>
  <c r="AO217" i="1"/>
  <c r="AR217" i="1"/>
  <c r="AV217" i="1"/>
  <c r="A218" i="1"/>
  <c r="C218" i="1"/>
  <c r="AI218" i="1"/>
  <c r="AL218" i="1"/>
  <c r="AO218" i="1"/>
  <c r="AR218" i="1"/>
  <c r="AV218" i="1"/>
  <c r="A219" i="1"/>
  <c r="C219" i="1"/>
  <c r="AI219" i="1"/>
  <c r="AL219" i="1"/>
  <c r="AO219" i="1"/>
  <c r="AR219" i="1"/>
  <c r="AV219" i="1"/>
  <c r="A220" i="1"/>
  <c r="C220" i="1"/>
  <c r="AI220" i="1"/>
  <c r="AL220" i="1"/>
  <c r="AO220" i="1"/>
  <c r="AR220" i="1"/>
  <c r="AV220" i="1"/>
  <c r="A221" i="1"/>
  <c r="C221" i="1"/>
  <c r="AI221" i="1"/>
  <c r="AL221" i="1"/>
  <c r="AO221" i="1"/>
  <c r="AR221" i="1"/>
  <c r="AV221" i="1"/>
  <c r="A222" i="1"/>
  <c r="C222" i="1"/>
  <c r="AI222" i="1"/>
  <c r="AL222" i="1"/>
  <c r="AO222" i="1"/>
  <c r="AR222" i="1"/>
  <c r="AV222" i="1"/>
  <c r="A223" i="1"/>
  <c r="C223" i="1"/>
  <c r="AI223" i="1"/>
  <c r="AL223" i="1"/>
  <c r="AO223" i="1"/>
  <c r="AR223" i="1"/>
  <c r="AV223" i="1"/>
  <c r="A224" i="1"/>
  <c r="C224" i="1"/>
  <c r="AI224" i="1"/>
  <c r="AL224" i="1"/>
  <c r="AO224" i="1"/>
  <c r="AR224" i="1"/>
  <c r="AV224" i="1"/>
  <c r="A225" i="1"/>
  <c r="C225" i="1"/>
  <c r="AI225" i="1"/>
  <c r="AL225" i="1"/>
  <c r="AO225" i="1"/>
  <c r="AR225" i="1"/>
  <c r="AV225" i="1"/>
  <c r="AY225" i="1"/>
  <c r="A226" i="1"/>
  <c r="C226" i="1"/>
  <c r="AI226" i="1"/>
  <c r="AL226" i="1"/>
  <c r="AO226" i="1"/>
  <c r="AR226" i="1"/>
  <c r="AV226" i="1"/>
  <c r="AY226" i="1"/>
  <c r="A227" i="1"/>
  <c r="C227" i="1"/>
  <c r="AI227" i="1"/>
  <c r="AL227" i="1"/>
  <c r="AO227" i="1"/>
  <c r="AR227" i="1"/>
  <c r="AV227" i="1"/>
  <c r="AY227" i="1"/>
  <c r="A228" i="1"/>
  <c r="C228" i="1"/>
  <c r="AI228" i="1"/>
  <c r="AL228" i="1"/>
  <c r="AO228" i="1"/>
  <c r="AR228" i="1"/>
  <c r="AV228" i="1"/>
  <c r="AY228" i="1"/>
  <c r="A229" i="1"/>
  <c r="C229" i="1"/>
  <c r="AI229" i="1"/>
  <c r="AL229" i="1"/>
  <c r="AO229" i="1"/>
  <c r="AR229" i="1"/>
  <c r="AV229" i="1"/>
  <c r="AY229" i="1"/>
  <c r="A230" i="1"/>
  <c r="C230" i="1"/>
  <c r="AI230" i="1"/>
  <c r="AL230" i="1"/>
  <c r="AO230" i="1"/>
  <c r="AR230" i="1"/>
  <c r="AV230" i="1"/>
  <c r="AY230" i="1"/>
  <c r="A231" i="1"/>
  <c r="C231" i="1"/>
  <c r="AI231" i="1"/>
  <c r="AL231" i="1"/>
  <c r="AO231" i="1"/>
  <c r="AR231" i="1"/>
  <c r="AV231" i="1"/>
  <c r="AY231" i="1"/>
  <c r="A232" i="1"/>
  <c r="C232" i="1"/>
  <c r="AI232" i="1"/>
  <c r="AL232" i="1"/>
  <c r="AO232" i="1"/>
  <c r="AR232" i="1"/>
  <c r="AV232" i="1"/>
  <c r="AY232" i="1"/>
  <c r="A233" i="1"/>
  <c r="C233" i="1"/>
  <c r="AI233" i="1"/>
  <c r="AL233" i="1"/>
  <c r="AO233" i="1"/>
  <c r="AR233" i="1"/>
  <c r="AV233" i="1"/>
  <c r="AY233" i="1"/>
  <c r="A234" i="1"/>
  <c r="C234" i="1"/>
  <c r="AI234" i="1"/>
  <c r="AL234" i="1"/>
  <c r="AO234" i="1"/>
  <c r="AR234" i="1"/>
  <c r="AV234" i="1"/>
  <c r="AY234" i="1"/>
  <c r="A235" i="1"/>
  <c r="C235" i="1"/>
  <c r="AI235" i="1"/>
  <c r="AL235" i="1"/>
  <c r="AO235" i="1"/>
  <c r="AR235" i="1"/>
  <c r="AV235" i="1"/>
  <c r="AY235" i="1"/>
  <c r="A236" i="1"/>
  <c r="C236" i="1"/>
  <c r="AI236" i="1"/>
  <c r="AL236" i="1"/>
  <c r="AO236" i="1"/>
  <c r="AR236" i="1"/>
  <c r="AV236" i="1"/>
  <c r="AY236" i="1"/>
  <c r="A237" i="1"/>
  <c r="C237" i="1"/>
  <c r="AI237" i="1"/>
  <c r="AL237" i="1"/>
  <c r="AO237" i="1"/>
  <c r="AR237" i="1"/>
  <c r="AV237" i="1"/>
  <c r="AY237" i="1"/>
  <c r="A238" i="1"/>
  <c r="C238" i="1"/>
  <c r="AI238" i="1"/>
  <c r="AL238" i="1"/>
  <c r="AO238" i="1"/>
  <c r="AR238" i="1"/>
  <c r="AV238" i="1"/>
  <c r="AY238" i="1"/>
  <c r="A239" i="1"/>
  <c r="C239" i="1"/>
  <c r="AI239" i="1"/>
  <c r="AL239" i="1"/>
  <c r="AO239" i="1"/>
  <c r="AR239" i="1"/>
  <c r="AV239" i="1"/>
  <c r="AY239" i="1"/>
  <c r="A240" i="1"/>
  <c r="C240" i="1"/>
  <c r="AI240" i="1"/>
  <c r="AL240" i="1"/>
  <c r="AO240" i="1"/>
  <c r="AR240" i="1"/>
  <c r="AV240" i="1"/>
  <c r="AY240" i="1"/>
  <c r="A241" i="1"/>
  <c r="C241" i="1"/>
  <c r="AI241" i="1"/>
  <c r="AL241" i="1"/>
  <c r="AO241" i="1"/>
  <c r="AR241" i="1"/>
  <c r="AV241" i="1"/>
  <c r="AY241" i="1"/>
  <c r="A242" i="1"/>
  <c r="C242" i="1"/>
  <c r="AI242" i="1"/>
  <c r="AL242" i="1"/>
  <c r="AO242" i="1"/>
  <c r="AR242" i="1"/>
  <c r="AV242" i="1"/>
  <c r="AY242" i="1"/>
  <c r="A243" i="1"/>
  <c r="C243" i="1"/>
  <c r="AI243" i="1"/>
  <c r="AL243" i="1"/>
  <c r="AO243" i="1"/>
  <c r="AR243" i="1"/>
  <c r="AV243" i="1"/>
  <c r="AY243" i="1"/>
  <c r="A244" i="1"/>
  <c r="C244" i="1"/>
  <c r="AI244" i="1"/>
  <c r="AL244" i="1"/>
  <c r="AO244" i="1"/>
  <c r="AR244" i="1"/>
  <c r="AV244" i="1"/>
  <c r="AY244" i="1"/>
  <c r="A245" i="1"/>
  <c r="C245" i="1"/>
  <c r="AI245" i="1"/>
  <c r="AL245" i="1"/>
  <c r="AO245" i="1"/>
  <c r="AR245" i="1"/>
  <c r="AV245" i="1"/>
  <c r="AY245" i="1"/>
  <c r="A246" i="1"/>
  <c r="C246" i="1"/>
  <c r="AI246" i="1"/>
  <c r="AL246" i="1"/>
  <c r="AO246" i="1"/>
  <c r="AR246" i="1"/>
  <c r="AV246" i="1"/>
  <c r="AY246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12" i="1"/>
  <c r="C11" i="1"/>
  <c r="C10" i="1"/>
  <c r="C9" i="1"/>
  <c r="C8" i="1"/>
  <c r="C7" i="1"/>
  <c r="C6" i="1"/>
  <c r="C5" i="1"/>
  <c r="C4" i="1"/>
  <c r="A1" i="1"/>
  <c r="BA2" i="1" s="1"/>
  <c r="AE103" i="1" l="1"/>
  <c r="AF103" i="1" s="1"/>
  <c r="AE110" i="1"/>
  <c r="AF110" i="1" s="1"/>
  <c r="AE98" i="1"/>
  <c r="AF98" i="1" s="1"/>
  <c r="AE108" i="1"/>
  <c r="AF108" i="1" s="1"/>
  <c r="AE96" i="1"/>
  <c r="AF96" i="1" s="1"/>
  <c r="AE102" i="1"/>
  <c r="AF102" i="1" s="1"/>
  <c r="AE87" i="1"/>
  <c r="AF87" i="1" s="1"/>
  <c r="AE101" i="1"/>
  <c r="AF101" i="1" s="1"/>
  <c r="AE89" i="1"/>
  <c r="AF89" i="1" s="1"/>
  <c r="AE97" i="1"/>
  <c r="AF97" i="1" s="1"/>
  <c r="AE109" i="1"/>
  <c r="AF109" i="1" s="1"/>
  <c r="AE105" i="1"/>
  <c r="AF105" i="1" s="1"/>
  <c r="AE92" i="1"/>
  <c r="AF92" i="1" s="1"/>
  <c r="AE91" i="1"/>
  <c r="AF91" i="1" s="1"/>
  <c r="AE100" i="1"/>
  <c r="AF100" i="1" s="1"/>
  <c r="AE88" i="1"/>
  <c r="AF88" i="1" s="1"/>
  <c r="AE99" i="1"/>
  <c r="AF99" i="1" s="1"/>
  <c r="AE107" i="1"/>
  <c r="AF107" i="1" s="1"/>
  <c r="AE95" i="1"/>
  <c r="AF95" i="1" s="1"/>
  <c r="AE86" i="1"/>
  <c r="AF86" i="1" s="1"/>
  <c r="AE94" i="1"/>
  <c r="AF94" i="1" s="1"/>
  <c r="AE93" i="1"/>
  <c r="AF93" i="1" s="1"/>
  <c r="AE104" i="1"/>
  <c r="AF104" i="1" s="1"/>
  <c r="AE90" i="1"/>
  <c r="AF90" i="1" s="1"/>
  <c r="AE106" i="1"/>
  <c r="AF106" i="1" s="1"/>
  <c r="AE45" i="1"/>
  <c r="AF45" i="1" s="1"/>
  <c r="AE245" i="1"/>
  <c r="AF245" i="1" s="1"/>
  <c r="AE229" i="1"/>
  <c r="AF229" i="1" s="1"/>
  <c r="AE81" i="1"/>
  <c r="AF81" i="1" s="1"/>
  <c r="AE244" i="1"/>
  <c r="AF244" i="1" s="1"/>
  <c r="AE242" i="1"/>
  <c r="AF242" i="1" s="1"/>
  <c r="AE241" i="1"/>
  <c r="AF241" i="1" s="1"/>
  <c r="AE237" i="1"/>
  <c r="AF237" i="1" s="1"/>
  <c r="AE233" i="1"/>
  <c r="AF233" i="1" s="1"/>
  <c r="AE33" i="1"/>
  <c r="AF33" i="1" s="1"/>
  <c r="AE84" i="1"/>
  <c r="AF84" i="1" s="1"/>
  <c r="AE228" i="1"/>
  <c r="AF228" i="1" s="1"/>
  <c r="AE227" i="1"/>
  <c r="AF227" i="1" s="1"/>
  <c r="AE226" i="1"/>
  <c r="AF226" i="1" s="1"/>
  <c r="AE225" i="1"/>
  <c r="AF225" i="1" s="1"/>
  <c r="AE219" i="1"/>
  <c r="AF219" i="1" s="1"/>
  <c r="AE218" i="1"/>
  <c r="AF218" i="1" s="1"/>
  <c r="AE217" i="1"/>
  <c r="AF217" i="1" s="1"/>
  <c r="AE216" i="1"/>
  <c r="AF216" i="1" s="1"/>
  <c r="AE215" i="1"/>
  <c r="AF215" i="1" s="1"/>
  <c r="AE214" i="1"/>
  <c r="AF214" i="1" s="1"/>
  <c r="AE213" i="1"/>
  <c r="AF213" i="1" s="1"/>
  <c r="AE212" i="1"/>
  <c r="AF212" i="1" s="1"/>
  <c r="AE122" i="1"/>
  <c r="AF122" i="1" s="1"/>
  <c r="AE114" i="1"/>
  <c r="AF114" i="1" s="1"/>
  <c r="AE79" i="1"/>
  <c r="AF79" i="1" s="1"/>
  <c r="AE78" i="1"/>
  <c r="AF78" i="1" s="1"/>
  <c r="AE77" i="1"/>
  <c r="AF77" i="1" s="1"/>
  <c r="AE76" i="1"/>
  <c r="AF76" i="1" s="1"/>
  <c r="AE75" i="1"/>
  <c r="AF75" i="1" s="1"/>
  <c r="AE74" i="1"/>
  <c r="AF74" i="1" s="1"/>
  <c r="AE73" i="1"/>
  <c r="AF73" i="1" s="1"/>
  <c r="AE69" i="1"/>
  <c r="AF69" i="1" s="1"/>
  <c r="AE64" i="1"/>
  <c r="AF64" i="1" s="1"/>
  <c r="AE63" i="1"/>
  <c r="AF63" i="1" s="1"/>
  <c r="AE62" i="1"/>
  <c r="AF62" i="1" s="1"/>
  <c r="AE61" i="1"/>
  <c r="AF61" i="1" s="1"/>
  <c r="AE57" i="1"/>
  <c r="AF57" i="1" s="1"/>
  <c r="AE37" i="1"/>
  <c r="AF37" i="1" s="1"/>
  <c r="AE29" i="1"/>
  <c r="AF29" i="1" s="1"/>
  <c r="AE239" i="1"/>
  <c r="AF239" i="1" s="1"/>
  <c r="AE177" i="1"/>
  <c r="AF177" i="1" s="1"/>
  <c r="AE173" i="1"/>
  <c r="AF173" i="1" s="1"/>
  <c r="AE56" i="1"/>
  <c r="AF56" i="1" s="1"/>
  <c r="AE50" i="1"/>
  <c r="AF50" i="1" s="1"/>
  <c r="AE44" i="1"/>
  <c r="AF44" i="1" s="1"/>
  <c r="AE169" i="1"/>
  <c r="AF169" i="1" s="1"/>
  <c r="AE32" i="1"/>
  <c r="AF32" i="1" s="1"/>
  <c r="AE31" i="1"/>
  <c r="AF31" i="1" s="1"/>
  <c r="AE30" i="1"/>
  <c r="AF30" i="1" s="1"/>
  <c r="AE21" i="1"/>
  <c r="AF21" i="1" s="1"/>
  <c r="AE13" i="1"/>
  <c r="AF13" i="1" s="1"/>
  <c r="AE210" i="1"/>
  <c r="AF210" i="1" s="1"/>
  <c r="AE202" i="1"/>
  <c r="AF202" i="1" s="1"/>
  <c r="AE198" i="1"/>
  <c r="AF198" i="1" s="1"/>
  <c r="AE179" i="1"/>
  <c r="AF179" i="1" s="1"/>
  <c r="AE174" i="1"/>
  <c r="AF174" i="1" s="1"/>
  <c r="AE53" i="1"/>
  <c r="AF53" i="1" s="1"/>
  <c r="AE49" i="1"/>
  <c r="AF49" i="1" s="1"/>
  <c r="AE43" i="1"/>
  <c r="AF43" i="1" s="1"/>
  <c r="AE236" i="1"/>
  <c r="AF236" i="1" s="1"/>
  <c r="AE234" i="1"/>
  <c r="AF234" i="1" s="1"/>
  <c r="AE159" i="1"/>
  <c r="AF159" i="1" s="1"/>
  <c r="AE158" i="1"/>
  <c r="AF158" i="1" s="1"/>
  <c r="AE157" i="1"/>
  <c r="AF157" i="1" s="1"/>
  <c r="AE156" i="1"/>
  <c r="AF156" i="1" s="1"/>
  <c r="AE155" i="1"/>
  <c r="AF155" i="1" s="1"/>
  <c r="AE154" i="1"/>
  <c r="AF154" i="1" s="1"/>
  <c r="AE152" i="1"/>
  <c r="AF152" i="1" s="1"/>
  <c r="AE151" i="1"/>
  <c r="AF151" i="1" s="1"/>
  <c r="AE150" i="1"/>
  <c r="AF150" i="1" s="1"/>
  <c r="AE148" i="1"/>
  <c r="AF148" i="1" s="1"/>
  <c r="AE147" i="1"/>
  <c r="AF147" i="1" s="1"/>
  <c r="AE146" i="1"/>
  <c r="AF146" i="1" s="1"/>
  <c r="AE144" i="1"/>
  <c r="AF144" i="1" s="1"/>
  <c r="AE143" i="1"/>
  <c r="AF143" i="1" s="1"/>
  <c r="AE142" i="1"/>
  <c r="AF142" i="1" s="1"/>
  <c r="AE140" i="1"/>
  <c r="AF140" i="1" s="1"/>
  <c r="AE131" i="1"/>
  <c r="AF131" i="1" s="1"/>
  <c r="AE130" i="1"/>
  <c r="AF130" i="1" s="1"/>
  <c r="AE128" i="1"/>
  <c r="AF128" i="1" s="1"/>
  <c r="AE124" i="1"/>
  <c r="AF124" i="1" s="1"/>
  <c r="AE117" i="1"/>
  <c r="AF117" i="1" s="1"/>
  <c r="AE25" i="1"/>
  <c r="AF25" i="1" s="1"/>
  <c r="AE24" i="1"/>
  <c r="AF24" i="1" s="1"/>
  <c r="AE23" i="1"/>
  <c r="AF23" i="1" s="1"/>
  <c r="AE20" i="1"/>
  <c r="AF20" i="1" s="1"/>
  <c r="AE19" i="1"/>
  <c r="AF19" i="1" s="1"/>
  <c r="AE18" i="1"/>
  <c r="AF18" i="1" s="1"/>
  <c r="AE17" i="1"/>
  <c r="AF17" i="1" s="1"/>
  <c r="AE211" i="1"/>
  <c r="AF211" i="1" s="1"/>
  <c r="AE60" i="1"/>
  <c r="AF60" i="1" s="1"/>
  <c r="AE203" i="1"/>
  <c r="AF203" i="1" s="1"/>
  <c r="AE199" i="1"/>
  <c r="AF199" i="1" s="1"/>
  <c r="AE175" i="1"/>
  <c r="AF175" i="1" s="1"/>
  <c r="AE51" i="1"/>
  <c r="AF51" i="1" s="1"/>
  <c r="AE41" i="1"/>
  <c r="AF41" i="1" s="1"/>
  <c r="AE171" i="1"/>
  <c r="AF171" i="1" s="1"/>
  <c r="AE167" i="1"/>
  <c r="AF167" i="1" s="1"/>
  <c r="AE231" i="1"/>
  <c r="AF231" i="1" s="1"/>
  <c r="AE120" i="1"/>
  <c r="AF120" i="1" s="1"/>
  <c r="AE119" i="1"/>
  <c r="AF119" i="1" s="1"/>
  <c r="AE118" i="1"/>
  <c r="AF118" i="1" s="1"/>
  <c r="AE65" i="1"/>
  <c r="AF65" i="1" s="1"/>
  <c r="AE209" i="1"/>
  <c r="AF209" i="1" s="1"/>
  <c r="AE58" i="1"/>
  <c r="AF58" i="1" s="1"/>
  <c r="AE238" i="1"/>
  <c r="AF238" i="1" s="1"/>
  <c r="AE201" i="1"/>
  <c r="AF201" i="1" s="1"/>
  <c r="AE197" i="1"/>
  <c r="AF197" i="1" s="1"/>
  <c r="AE178" i="1"/>
  <c r="AF178" i="1" s="1"/>
  <c r="AE172" i="1"/>
  <c r="AF172" i="1" s="1"/>
  <c r="AE54" i="1"/>
  <c r="AF54" i="1" s="1"/>
  <c r="AE235" i="1"/>
  <c r="AF235" i="1" s="1"/>
  <c r="AE168" i="1"/>
  <c r="AF168" i="1" s="1"/>
  <c r="AE164" i="1"/>
  <c r="AF164" i="1" s="1"/>
  <c r="AE137" i="1"/>
  <c r="AF137" i="1" s="1"/>
  <c r="AE246" i="1"/>
  <c r="AF246" i="1" s="1"/>
  <c r="AE232" i="1"/>
  <c r="AF232" i="1" s="1"/>
  <c r="AE230" i="1"/>
  <c r="AF230" i="1" s="1"/>
  <c r="AE112" i="1"/>
  <c r="AF112" i="1" s="1"/>
  <c r="AE111" i="1"/>
  <c r="AF111" i="1" s="1"/>
  <c r="AE208" i="1"/>
  <c r="AF208" i="1" s="1"/>
  <c r="AE59" i="1"/>
  <c r="AF59" i="1" s="1"/>
  <c r="AE240" i="1"/>
  <c r="AF240" i="1" s="1"/>
  <c r="AE200" i="1"/>
  <c r="AF200" i="1" s="1"/>
  <c r="AE196" i="1"/>
  <c r="AF196" i="1" s="1"/>
  <c r="AE176" i="1"/>
  <c r="AF176" i="1" s="1"/>
  <c r="AE52" i="1"/>
  <c r="AF52" i="1" s="1"/>
  <c r="AE42" i="1"/>
  <c r="AF42" i="1" s="1"/>
  <c r="AE170" i="1"/>
  <c r="AF170" i="1" s="1"/>
  <c r="AE166" i="1"/>
  <c r="AF166" i="1" s="1"/>
  <c r="AE133" i="1"/>
  <c r="AF133" i="1" s="1"/>
  <c r="AE126" i="1"/>
  <c r="AF126" i="1" s="1"/>
  <c r="AE243" i="1"/>
  <c r="AF243" i="1" s="1"/>
  <c r="AE85" i="1"/>
  <c r="AF85" i="1" s="1"/>
  <c r="AE195" i="1"/>
  <c r="AF195" i="1" s="1"/>
  <c r="AE194" i="1"/>
  <c r="AF194" i="1" s="1"/>
  <c r="AE193" i="1"/>
  <c r="AF193" i="1" s="1"/>
  <c r="AE192" i="1"/>
  <c r="AF192" i="1" s="1"/>
  <c r="AE139" i="1"/>
  <c r="AF139" i="1" s="1"/>
  <c r="AE138" i="1"/>
  <c r="AF138" i="1" s="1"/>
  <c r="AE136" i="1"/>
  <c r="AF136" i="1" s="1"/>
  <c r="AE135" i="1"/>
  <c r="AF135" i="1" s="1"/>
  <c r="AE134" i="1"/>
  <c r="AF134" i="1" s="1"/>
  <c r="AE132" i="1"/>
  <c r="AF132" i="1" s="1"/>
  <c r="AE129" i="1"/>
  <c r="AF129" i="1" s="1"/>
  <c r="AE72" i="1"/>
  <c r="AF72" i="1" s="1"/>
  <c r="AE71" i="1"/>
  <c r="AF71" i="1" s="1"/>
  <c r="AE48" i="1"/>
  <c r="AF48" i="1" s="1"/>
  <c r="AE47" i="1"/>
  <c r="AF47" i="1" s="1"/>
  <c r="AE46" i="1"/>
  <c r="AF46" i="1" s="1"/>
  <c r="AE22" i="1"/>
  <c r="AF22" i="1" s="1"/>
  <c r="AE224" i="1"/>
  <c r="AF224" i="1" s="1"/>
  <c r="AE191" i="1"/>
  <c r="AF191" i="1" s="1"/>
  <c r="AE189" i="1"/>
  <c r="AF189" i="1" s="1"/>
  <c r="AE188" i="1"/>
  <c r="AF188" i="1" s="1"/>
  <c r="AE70" i="1"/>
  <c r="AF70" i="1" s="1"/>
  <c r="AE223" i="1"/>
  <c r="AF223" i="1" s="1"/>
  <c r="AE222" i="1"/>
  <c r="AF222" i="1" s="1"/>
  <c r="AE221" i="1"/>
  <c r="AF221" i="1" s="1"/>
  <c r="AE220" i="1"/>
  <c r="AF220" i="1" s="1"/>
  <c r="AE187" i="1"/>
  <c r="AF187" i="1" s="1"/>
  <c r="AE186" i="1"/>
  <c r="AF186" i="1" s="1"/>
  <c r="AE185" i="1"/>
  <c r="AF185" i="1" s="1"/>
  <c r="AE184" i="1"/>
  <c r="AF184" i="1" s="1"/>
  <c r="AE183" i="1"/>
  <c r="AF183" i="1" s="1"/>
  <c r="AE182" i="1"/>
  <c r="AF182" i="1" s="1"/>
  <c r="AE181" i="1"/>
  <c r="AF181" i="1" s="1"/>
  <c r="AE180" i="1"/>
  <c r="AF180" i="1" s="1"/>
  <c r="AE127" i="1"/>
  <c r="AF127" i="1" s="1"/>
  <c r="AE125" i="1"/>
  <c r="AF125" i="1" s="1"/>
  <c r="AE68" i="1"/>
  <c r="AF68" i="1" s="1"/>
  <c r="AE67" i="1"/>
  <c r="AF67" i="1" s="1"/>
  <c r="AE66" i="1"/>
  <c r="AF66" i="1" s="1"/>
  <c r="AE40" i="1"/>
  <c r="AF40" i="1" s="1"/>
  <c r="AE39" i="1"/>
  <c r="AF39" i="1" s="1"/>
  <c r="AE16" i="1"/>
  <c r="AF16" i="1" s="1"/>
  <c r="AE15" i="1"/>
  <c r="AF15" i="1" s="1"/>
  <c r="AE14" i="1"/>
  <c r="AF14" i="1" s="1"/>
  <c r="AE190" i="1"/>
  <c r="AF190" i="1" s="1"/>
  <c r="AE165" i="1"/>
  <c r="AF165" i="1" s="1"/>
  <c r="AE123" i="1"/>
  <c r="AF123" i="1" s="1"/>
  <c r="AE121" i="1"/>
  <c r="AF121" i="1" s="1"/>
  <c r="AE38" i="1"/>
  <c r="AF38" i="1" s="1"/>
  <c r="AE36" i="1"/>
  <c r="AF36" i="1" s="1"/>
  <c r="AE35" i="1"/>
  <c r="AF35" i="1" s="1"/>
  <c r="AE34" i="1"/>
  <c r="AF34" i="1" s="1"/>
  <c r="AE207" i="1"/>
  <c r="AF207" i="1" s="1"/>
  <c r="AE206" i="1"/>
  <c r="AF206" i="1" s="1"/>
  <c r="AE205" i="1"/>
  <c r="AF205" i="1" s="1"/>
  <c r="AE204" i="1"/>
  <c r="AF204" i="1" s="1"/>
  <c r="AE163" i="1"/>
  <c r="AF163" i="1" s="1"/>
  <c r="AE162" i="1"/>
  <c r="AF162" i="1" s="1"/>
  <c r="AE161" i="1"/>
  <c r="AF161" i="1" s="1"/>
  <c r="AE160" i="1"/>
  <c r="AF160" i="1" s="1"/>
  <c r="AE116" i="1"/>
  <c r="AF116" i="1" s="1"/>
  <c r="AE115" i="1"/>
  <c r="AF115" i="1" s="1"/>
  <c r="AE113" i="1"/>
  <c r="AF113" i="1" s="1"/>
  <c r="AE83" i="1"/>
  <c r="AF83" i="1" s="1"/>
  <c r="AE82" i="1"/>
  <c r="AF82" i="1" s="1"/>
  <c r="AE80" i="1"/>
  <c r="AF80" i="1" s="1"/>
  <c r="AE55" i="1"/>
  <c r="AF55" i="1" s="1"/>
  <c r="AE153" i="1"/>
  <c r="AF153" i="1" s="1"/>
  <c r="AE149" i="1"/>
  <c r="AF149" i="1" s="1"/>
  <c r="AE145" i="1"/>
  <c r="AF145" i="1" s="1"/>
  <c r="AE141" i="1"/>
  <c r="AF141" i="1" s="1"/>
  <c r="AE28" i="1"/>
  <c r="AF28" i="1" s="1"/>
  <c r="AE27" i="1"/>
  <c r="AF27" i="1" s="1"/>
  <c r="AE26" i="1"/>
  <c r="AF26" i="1" s="1"/>
  <c r="AS2" i="1"/>
  <c r="AY258" i="1"/>
  <c r="AV258" i="1"/>
  <c r="AR258" i="1"/>
  <c r="AO258" i="1"/>
  <c r="AL258" i="1"/>
  <c r="AI258" i="1"/>
  <c r="A258" i="1"/>
  <c r="AY257" i="1"/>
  <c r="AV257" i="1"/>
  <c r="AR257" i="1"/>
  <c r="AO257" i="1"/>
  <c r="AL257" i="1"/>
  <c r="AI257" i="1"/>
  <c r="A257" i="1"/>
  <c r="AY256" i="1"/>
  <c r="AV256" i="1"/>
  <c r="AR256" i="1"/>
  <c r="AO256" i="1"/>
  <c r="AL256" i="1"/>
  <c r="AI256" i="1"/>
  <c r="A256" i="1"/>
  <c r="AY255" i="1"/>
  <c r="AV255" i="1"/>
  <c r="AR255" i="1"/>
  <c r="AO255" i="1"/>
  <c r="AL255" i="1"/>
  <c r="AI255" i="1"/>
  <c r="A255" i="1"/>
  <c r="AY254" i="1"/>
  <c r="AV254" i="1"/>
  <c r="AR254" i="1"/>
  <c r="AO254" i="1"/>
  <c r="AL254" i="1"/>
  <c r="AI254" i="1"/>
  <c r="A254" i="1"/>
  <c r="AY253" i="1"/>
  <c r="AV253" i="1"/>
  <c r="AR253" i="1"/>
  <c r="AO253" i="1"/>
  <c r="AL253" i="1"/>
  <c r="AI253" i="1"/>
  <c r="A253" i="1"/>
  <c r="AY252" i="1"/>
  <c r="AV252" i="1"/>
  <c r="AR252" i="1"/>
  <c r="AO252" i="1"/>
  <c r="AL252" i="1"/>
  <c r="AI252" i="1"/>
  <c r="A252" i="1"/>
  <c r="AY251" i="1"/>
  <c r="AV251" i="1"/>
  <c r="AR251" i="1"/>
  <c r="AO251" i="1"/>
  <c r="AL251" i="1"/>
  <c r="AI251" i="1"/>
  <c r="A251" i="1"/>
  <c r="AY250" i="1"/>
  <c r="AV250" i="1"/>
  <c r="AR250" i="1"/>
  <c r="AO250" i="1"/>
  <c r="AL250" i="1"/>
  <c r="AI250" i="1"/>
  <c r="A250" i="1"/>
  <c r="AY249" i="1"/>
  <c r="AV249" i="1"/>
  <c r="AR249" i="1"/>
  <c r="AO249" i="1"/>
  <c r="AL249" i="1"/>
  <c r="AI249" i="1"/>
  <c r="A249" i="1"/>
  <c r="AY248" i="1"/>
  <c r="AV248" i="1"/>
  <c r="AR248" i="1"/>
  <c r="AO248" i="1"/>
  <c r="AL248" i="1"/>
  <c r="AI248" i="1"/>
  <c r="A248" i="1"/>
  <c r="AY247" i="1"/>
  <c r="AV247" i="1"/>
  <c r="AR247" i="1"/>
  <c r="AO247" i="1"/>
  <c r="AL247" i="1"/>
  <c r="AI247" i="1"/>
  <c r="A247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251" i="1" l="1"/>
  <c r="AF251" i="1" s="1"/>
  <c r="AE7" i="1"/>
  <c r="AF7" i="1" s="1"/>
  <c r="AE11" i="1"/>
  <c r="AF11" i="1" s="1"/>
  <c r="AE12" i="1"/>
  <c r="AF12" i="1" s="1"/>
  <c r="AE250" i="1"/>
  <c r="AF250" i="1" s="1"/>
  <c r="AE249" i="1"/>
  <c r="AF249" i="1" s="1"/>
  <c r="AR2" i="1"/>
  <c r="AE258" i="1"/>
  <c r="AF258" i="1" s="1"/>
  <c r="AV2" i="1"/>
  <c r="AE257" i="1"/>
  <c r="AF257" i="1" s="1"/>
  <c r="AE255" i="1"/>
  <c r="AF255" i="1" s="1"/>
  <c r="AE247" i="1"/>
  <c r="AF247" i="1" s="1"/>
  <c r="AY2" i="1"/>
  <c r="AE256" i="1"/>
  <c r="AF256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254" i="1"/>
  <c r="AF254" i="1" s="1"/>
  <c r="AE253" i="1"/>
  <c r="AF253" i="1" s="1"/>
  <c r="AE252" i="1"/>
  <c r="AF252" i="1" s="1"/>
  <c r="AE248" i="1"/>
  <c r="AF248" i="1" s="1"/>
  <c r="AE4" i="1"/>
  <c r="AF4" i="1" s="1"/>
  <c r="AH185" i="1" l="1"/>
  <c r="AI185" i="1" s="1"/>
  <c r="AH115" i="1"/>
  <c r="AI115" i="1" s="1"/>
  <c r="AH164" i="1"/>
  <c r="AI164" i="1" s="1"/>
  <c r="AH119" i="1"/>
  <c r="AI119" i="1" s="1"/>
  <c r="AH169" i="1"/>
  <c r="AI169" i="1" s="1"/>
  <c r="AH182" i="1"/>
  <c r="AI182" i="1" s="1"/>
  <c r="AI111" i="1"/>
  <c r="AH136" i="1"/>
  <c r="AI136" i="1" s="1"/>
  <c r="AI85" i="1"/>
  <c r="AH157" i="1"/>
  <c r="AI157" i="1" s="1"/>
  <c r="AH186" i="1"/>
  <c r="AI186" i="1" s="1"/>
  <c r="AH153" i="1"/>
  <c r="AI153" i="1" s="1"/>
  <c r="AH122" i="1"/>
  <c r="AI122" i="1" s="1"/>
  <c r="AH181" i="1"/>
  <c r="AI181" i="1" s="1"/>
  <c r="AH184" i="1"/>
  <c r="AI184" i="1" s="1"/>
  <c r="AH183" i="1"/>
  <c r="AI183" i="1" s="1"/>
  <c r="AH162" i="1"/>
  <c r="AI162" i="1" s="1"/>
  <c r="AH160" i="1"/>
  <c r="AI160" i="1" s="1"/>
  <c r="AH29" i="1"/>
  <c r="AI29" i="1" s="1"/>
  <c r="AH163" i="1"/>
  <c r="AI163" i="1" s="1"/>
  <c r="AH146" i="1"/>
  <c r="AI146" i="1" s="1"/>
  <c r="AH112" i="1"/>
  <c r="AI112" i="1" s="1"/>
</calcChain>
</file>

<file path=xl/sharedStrings.xml><?xml version="1.0" encoding="utf-8"?>
<sst xmlns="http://schemas.openxmlformats.org/spreadsheetml/2006/main" count="3008" uniqueCount="625">
  <si>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</si>
  <si>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</si>
  <si>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</si>
  <si>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</si>
  <si>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</si>
  <si>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</si>
  <si>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</si>
  <si>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</si>
  <si>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</si>
  <si>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</si>
  <si>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</si>
  <si>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</si>
  <si>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</si>
  <si>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</si>
  <si>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</si>
  <si>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</si>
  <si>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</si>
  <si>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</si>
  <si>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</si>
  <si>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</si>
  <si>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</si>
  <si>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</si>
  <si>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</si>
  <si>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</si>
  <si>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</si>
  <si>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</si>
  <si>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</si>
  <si>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</si>
  <si>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</si>
  <si>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</si>
  <si>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</si>
  <si>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</si>
  <si>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</si>
  <si>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</si>
  <si>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</si>
  <si>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</si>
  <si>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</si>
  <si>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</si>
  <si>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</si>
  <si>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</si>
  <si>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</si>
  <si>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</si>
  <si>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</si>
  <si>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</si>
  <si>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</si>
  <si>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</si>
  <si>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</si>
  <si>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</si>
  <si>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</si>
  <si>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</si>
  <si>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</si>
  <si>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</si>
  <si>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</si>
  <si>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</si>
  <si>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</si>
  <si>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</si>
  <si>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</si>
  <si>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</si>
  <si>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</si>
  <si>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</si>
  <si>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</si>
  <si>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</si>
  <si>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</si>
  <si>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</si>
  <si>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</si>
  <si>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</si>
  <si>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</si>
  <si>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</si>
  <si>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</si>
  <si>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SD-PAR-550-22-B001</t>
  </si>
  <si>
    <t>B001</t>
  </si>
  <si>
    <t>BEAM</t>
  </si>
  <si>
    <t>SD-PAR-550-22-B015</t>
  </si>
  <si>
    <t>B015</t>
  </si>
  <si>
    <t>SD-PAR-550-22-B017</t>
  </si>
  <si>
    <t>B017</t>
  </si>
  <si>
    <t>SD-PAR-550-22-B018</t>
  </si>
  <si>
    <t>B018</t>
  </si>
  <si>
    <t>SD-PAR-550-22-B047</t>
  </si>
  <si>
    <t>B047</t>
  </si>
  <si>
    <t>SD-PAR-550-22-B052</t>
  </si>
  <si>
    <t>B052(1/8)</t>
  </si>
  <si>
    <t>B052(2/8)</t>
  </si>
  <si>
    <t>B052(3/8)</t>
  </si>
  <si>
    <t>B052(4/8)</t>
  </si>
  <si>
    <t>B052(5/8)</t>
  </si>
  <si>
    <t>B052(6/8)</t>
  </si>
  <si>
    <t>B052(7/8)</t>
  </si>
  <si>
    <t>B052(8/8)</t>
  </si>
  <si>
    <t>SD-PAR-550-22-B055</t>
  </si>
  <si>
    <t>B055</t>
  </si>
  <si>
    <t>SD-PAR-550-22-B056</t>
  </si>
  <si>
    <t>B056</t>
  </si>
  <si>
    <t>SD-PAR-550-22-B058</t>
  </si>
  <si>
    <t>B058</t>
  </si>
  <si>
    <t>SD-PAR-550-22-B059</t>
  </si>
  <si>
    <t>B059</t>
  </si>
  <si>
    <t>SD-PAR-550-22-B060</t>
  </si>
  <si>
    <t>B060</t>
  </si>
  <si>
    <t>SD-PAR-550-22-B076</t>
  </si>
  <si>
    <t>B076(1/2)</t>
  </si>
  <si>
    <t>B076(2/2)</t>
  </si>
  <si>
    <t>SD-PAR-550-22-B077</t>
  </si>
  <si>
    <t>B077(1/2)</t>
  </si>
  <si>
    <t>B077(2/2)</t>
  </si>
  <si>
    <t>SD-PAR-550-22-B082</t>
  </si>
  <si>
    <t>B082</t>
  </si>
  <si>
    <t>SD-PAR-550-22-B083</t>
  </si>
  <si>
    <t>B083</t>
  </si>
  <si>
    <t>SD-PAR-550-22-B085</t>
  </si>
  <si>
    <t>B085</t>
  </si>
  <si>
    <t>SD-PAR-550-22-B095</t>
  </si>
  <si>
    <t>B095</t>
  </si>
  <si>
    <t>SD-PAR-550-22-B097</t>
  </si>
  <si>
    <t>B097</t>
  </si>
  <si>
    <t>SD-PAR-550-22-B098</t>
  </si>
  <si>
    <t>B098</t>
  </si>
  <si>
    <t>SD-PAR-550-22-B107</t>
  </si>
  <si>
    <t>B107</t>
  </si>
  <si>
    <t>SD-PAR-550-22-B110</t>
  </si>
  <si>
    <t>B110</t>
  </si>
  <si>
    <t>SD-PAR-550-22-B112</t>
  </si>
  <si>
    <t>B112</t>
  </si>
  <si>
    <t>SD-PAR-550-22-B120</t>
  </si>
  <si>
    <t>B120</t>
  </si>
  <si>
    <t>SD-PAR-550-22-B132</t>
  </si>
  <si>
    <t>B132</t>
  </si>
  <si>
    <t>SD-PAR-550-22-B140</t>
  </si>
  <si>
    <t>B140</t>
  </si>
  <si>
    <t>SD-PAR-550-22-B142</t>
  </si>
  <si>
    <t>B142</t>
  </si>
  <si>
    <t>SD-PAR-550-22-B143</t>
  </si>
  <si>
    <t>B143</t>
  </si>
  <si>
    <t>SD-PAR-550-22-B144</t>
  </si>
  <si>
    <t>B144(1/2)</t>
  </si>
  <si>
    <t>B144(2/2)</t>
  </si>
  <si>
    <t>SD-PAR-550-22-B148</t>
  </si>
  <si>
    <t>B148</t>
  </si>
  <si>
    <t>SD-PAR-550-22-B150</t>
  </si>
  <si>
    <t>B150</t>
  </si>
  <si>
    <t>SD-PAR-550-22-B153</t>
  </si>
  <si>
    <t>B153</t>
  </si>
  <si>
    <t>SD-PAR-550-22-B156</t>
  </si>
  <si>
    <t>B156</t>
  </si>
  <si>
    <t>SD-PAR-550-22-B158</t>
  </si>
  <si>
    <t>B158</t>
  </si>
  <si>
    <t>SD-PAR-550-22-B159</t>
  </si>
  <si>
    <t>B159</t>
  </si>
  <si>
    <t>SD-PAR-550-22-B161</t>
  </si>
  <si>
    <t>B161</t>
  </si>
  <si>
    <t>SD-PAR-550-22SL-B5001</t>
  </si>
  <si>
    <t>B5001</t>
  </si>
  <si>
    <t>SD-PAR-550-22SL-B5002</t>
  </si>
  <si>
    <t>B5002</t>
  </si>
  <si>
    <t>SD-PAR-550-22SL-B5003</t>
  </si>
  <si>
    <t>B5003(1/10)</t>
  </si>
  <si>
    <t>B5003(2/10)</t>
  </si>
  <si>
    <t>B5003(3/10)</t>
  </si>
  <si>
    <t>B5003(4/10)</t>
  </si>
  <si>
    <t>B5003(5/10)</t>
  </si>
  <si>
    <t>B5003(6/10)</t>
  </si>
  <si>
    <t>B5003(7/10)</t>
  </si>
  <si>
    <t>B5003(8/10)</t>
  </si>
  <si>
    <t>B5003(9/10)</t>
  </si>
  <si>
    <t>B5003(10/10)</t>
  </si>
  <si>
    <t>SD-PAR-550-22SL-B5004</t>
  </si>
  <si>
    <t>B5004(1/11)</t>
  </si>
  <si>
    <t>B5004(2/11)</t>
  </si>
  <si>
    <t>B5004(3/11)</t>
  </si>
  <si>
    <t>B5004(4/11)</t>
  </si>
  <si>
    <t>B5004(5/11)</t>
  </si>
  <si>
    <t>B5004(6/11)</t>
  </si>
  <si>
    <t>B5004(7/11)</t>
  </si>
  <si>
    <t>B5004(8/11)</t>
  </si>
  <si>
    <t>B5004(9/11)</t>
  </si>
  <si>
    <t>B5004(10/11)</t>
  </si>
  <si>
    <t>B5004(11/11)</t>
  </si>
  <si>
    <t>SD-PAR-550-22SL-B5005</t>
  </si>
  <si>
    <t>B5005(1/2)</t>
  </si>
  <si>
    <t>B5005(2/2)</t>
  </si>
  <si>
    <t>SD-PAR-550-22SL-B5006</t>
  </si>
  <si>
    <t>B5006(1/2)</t>
  </si>
  <si>
    <t>B5006(2/2)</t>
  </si>
  <si>
    <t>SD-PAR-550-22SL-B5007</t>
  </si>
  <si>
    <t>B5007(1/3)</t>
  </si>
  <si>
    <t>B5007(2/3)</t>
  </si>
  <si>
    <t>B5007(3/3)</t>
  </si>
  <si>
    <t>SD-PAR-550-22SL-B5008</t>
  </si>
  <si>
    <t>B5008</t>
  </si>
  <si>
    <t>SD-PAR-550-22SL-B5009</t>
  </si>
  <si>
    <t>B5009</t>
  </si>
  <si>
    <t>SD-PAR-550-22SL-B5010</t>
  </si>
  <si>
    <t>B5010(1/2)</t>
  </si>
  <si>
    <t>B5010(2/2)</t>
  </si>
  <si>
    <t>SD-PAR-550-22SL-B5011</t>
  </si>
  <si>
    <t>B5011</t>
  </si>
  <si>
    <t>SD-PAR-550-22SL-B5012</t>
  </si>
  <si>
    <t>B5012</t>
  </si>
  <si>
    <t>SD-PAR-550-22-C001</t>
  </si>
  <si>
    <t>COLUMN</t>
  </si>
  <si>
    <t>SD-PAR-550-22-C002</t>
  </si>
  <si>
    <t>C002</t>
  </si>
  <si>
    <t>SD-PAR-550-22-C003</t>
  </si>
  <si>
    <t>SD-PAR-550-22-C004</t>
  </si>
  <si>
    <t>C004</t>
  </si>
  <si>
    <t>SD-PAR-550-22-C005</t>
  </si>
  <si>
    <t>SD-PAR-550-22-C006</t>
  </si>
  <si>
    <t>C006</t>
  </si>
  <si>
    <t>SD-PAR-550-22-C015</t>
  </si>
  <si>
    <t>SD-PAR-550-22-C016</t>
  </si>
  <si>
    <t>C016</t>
  </si>
  <si>
    <t>SD-PAR-550-22-C017</t>
  </si>
  <si>
    <t>SD-PAR-550-22-C018</t>
  </si>
  <si>
    <t>C018</t>
  </si>
  <si>
    <t>SD-PAR-550-22-C019</t>
  </si>
  <si>
    <t>SD-PAR-550-22-C020</t>
  </si>
  <si>
    <t>C020</t>
  </si>
  <si>
    <t>SD-PAR-550-22-C029</t>
  </si>
  <si>
    <t>SD-PAR-550-22-C030</t>
  </si>
  <si>
    <t>C030</t>
  </si>
  <si>
    <t>SD-PAR-550-22-C031</t>
  </si>
  <si>
    <t>SD-PAR-550-22-C032</t>
  </si>
  <si>
    <t>C032</t>
  </si>
  <si>
    <t>SD-PAR-550-22-C033</t>
  </si>
  <si>
    <t>SD-PAR-550-22-C034</t>
  </si>
  <si>
    <t>C034</t>
  </si>
  <si>
    <t>SD-PAR-550-22SL-C5001</t>
  </si>
  <si>
    <t>C5001</t>
  </si>
  <si>
    <t>SD-PAR-550-22SL-C5002</t>
  </si>
  <si>
    <t>C5002</t>
  </si>
  <si>
    <t>SD-PAR-550-22SL-C5003</t>
  </si>
  <si>
    <t>C5003</t>
  </si>
  <si>
    <t>SD-PAR-550-22SL-C5004</t>
  </si>
  <si>
    <t>C5004</t>
  </si>
  <si>
    <t>SD-PAR-550-22SL-C5005</t>
  </si>
  <si>
    <t>C5005</t>
  </si>
  <si>
    <t>SD-PAR-550-22SL-C5006</t>
  </si>
  <si>
    <t>C5006</t>
  </si>
  <si>
    <t>SD-PAR-550-22-F006</t>
  </si>
  <si>
    <t>F006</t>
  </si>
  <si>
    <t>FRAME</t>
  </si>
  <si>
    <t>SD-PAR-550-22-F007</t>
  </si>
  <si>
    <t>F007</t>
  </si>
  <si>
    <t>SD-PAR-550-22-F010</t>
  </si>
  <si>
    <t>F010</t>
  </si>
  <si>
    <t>SD-PAR-550-22-G001</t>
  </si>
  <si>
    <t>G001</t>
  </si>
  <si>
    <t>GIRDER</t>
  </si>
  <si>
    <t>SD-PAR-550-22-G002</t>
  </si>
  <si>
    <t>G002</t>
  </si>
  <si>
    <t>SD-PAR-550-22-G006</t>
  </si>
  <si>
    <t>G006</t>
  </si>
  <si>
    <t>SD-PAR-550-22-G009</t>
  </si>
  <si>
    <t>G009</t>
  </si>
  <si>
    <t>SD-PAR-550-22-G012</t>
  </si>
  <si>
    <t>G012(1/2)</t>
  </si>
  <si>
    <t>G012(2/2)</t>
  </si>
  <si>
    <t>SD-PAR-550-22-G013</t>
  </si>
  <si>
    <t>G013</t>
  </si>
  <si>
    <t>SD-PAR-550-22-G014</t>
  </si>
  <si>
    <t>G014</t>
  </si>
  <si>
    <t>SD-PAR-550-22-G041</t>
  </si>
  <si>
    <t>G041</t>
  </si>
  <si>
    <t>SD-PAR-550-22-G046</t>
  </si>
  <si>
    <t>G046</t>
  </si>
  <si>
    <t>SD-PAR-550-22-G048</t>
  </si>
  <si>
    <t>G048</t>
  </si>
  <si>
    <t>SD-PAR-550-22-G049</t>
  </si>
  <si>
    <t>G049</t>
  </si>
  <si>
    <t>SD-PAR-550-22-G050</t>
  </si>
  <si>
    <t>G050(1/2)</t>
  </si>
  <si>
    <t>G050(2/2)</t>
  </si>
  <si>
    <t>SD-PAR-550-22-G051</t>
  </si>
  <si>
    <t>G051</t>
  </si>
  <si>
    <t>SD-PAR-550-22-G052</t>
  </si>
  <si>
    <t>G052</t>
  </si>
  <si>
    <t>SD-PAR-550-22-G053</t>
  </si>
  <si>
    <t>G053(1/2)</t>
  </si>
  <si>
    <t>G053(2/2)</t>
  </si>
  <si>
    <t>SD-PAR-550-22-G054</t>
  </si>
  <si>
    <t>G054</t>
  </si>
  <si>
    <t>SD-PAR-550-22-G069</t>
  </si>
  <si>
    <t>G069</t>
  </si>
  <si>
    <t>SD-PAR-550-22-G070</t>
  </si>
  <si>
    <t>G070</t>
  </si>
  <si>
    <t>SD-PAR-550-22-G071</t>
  </si>
  <si>
    <t>G071</t>
  </si>
  <si>
    <t>SD-PAR-550-22-G072</t>
  </si>
  <si>
    <t>G072</t>
  </si>
  <si>
    <t>SD-PAR-550-22-G073</t>
  </si>
  <si>
    <t>G073</t>
  </si>
  <si>
    <t>SD-PAR-550-22-G100</t>
  </si>
  <si>
    <t>G100</t>
  </si>
  <si>
    <t>SD-PAR-550-22-G101</t>
  </si>
  <si>
    <t>G101</t>
  </si>
  <si>
    <t>SD-PAR-550-22-G102</t>
  </si>
  <si>
    <t>G102(1/2)</t>
  </si>
  <si>
    <t>G102(2/2)</t>
  </si>
  <si>
    <t>SD-PAR-550-22-G103</t>
  </si>
  <si>
    <t>G103</t>
  </si>
  <si>
    <t>SD-PAR-550-22-G104</t>
  </si>
  <si>
    <t>G104</t>
  </si>
  <si>
    <t>SD-PAR-550-22-G105</t>
  </si>
  <si>
    <t>G105</t>
  </si>
  <si>
    <t>SD-PAR-550-22-G106</t>
  </si>
  <si>
    <t>G106</t>
  </si>
  <si>
    <t>SD-PAR-550-22-G107</t>
  </si>
  <si>
    <t>G107</t>
  </si>
  <si>
    <t>SD-PAR-550-22-G108</t>
  </si>
  <si>
    <t>G108</t>
  </si>
  <si>
    <t>SD-PAR-550-22-G123</t>
  </si>
  <si>
    <t>G123</t>
  </si>
  <si>
    <t>SD-PAR-550-22-G124</t>
  </si>
  <si>
    <t>G124</t>
  </si>
  <si>
    <t>SD-PAR-550-22-G125</t>
  </si>
  <si>
    <t>G125</t>
  </si>
  <si>
    <t>SD-PAR-550-22-G126</t>
  </si>
  <si>
    <t>G126</t>
  </si>
  <si>
    <t>SD-PAR-550-22-G127</t>
  </si>
  <si>
    <t>G127</t>
  </si>
  <si>
    <t>SD-PAR-550-22-G128</t>
  </si>
  <si>
    <t>G128</t>
  </si>
  <si>
    <t>SD-PAR-550-22-G151</t>
  </si>
  <si>
    <t>G151</t>
  </si>
  <si>
    <t>SD-PAR-550-22-G162</t>
  </si>
  <si>
    <t>G162</t>
  </si>
  <si>
    <t>SD-PAR-550-22-G163</t>
  </si>
  <si>
    <t>G163</t>
  </si>
  <si>
    <t>SD-PAR-550-22-G164</t>
  </si>
  <si>
    <t>G164</t>
  </si>
  <si>
    <t>SD-PAR-550-22-G172</t>
  </si>
  <si>
    <t>G172</t>
  </si>
  <si>
    <t>SD-PAR-550-22-G173</t>
  </si>
  <si>
    <t>G173</t>
  </si>
  <si>
    <t>SD-PAR-550-22-G184</t>
  </si>
  <si>
    <t>G184</t>
  </si>
  <si>
    <t>SD-PAR-550-22-G199</t>
  </si>
  <si>
    <t>G199</t>
  </si>
  <si>
    <t>SD-PAR-550-22-G200</t>
  </si>
  <si>
    <t>G200</t>
  </si>
  <si>
    <t>SD-PAR-550-22SL-G5001</t>
  </si>
  <si>
    <t>G5001(1/2)</t>
  </si>
  <si>
    <t>G5001(2/2)</t>
  </si>
  <si>
    <t>SD-PAR-550-22SL-G5002</t>
  </si>
  <si>
    <t>G5002(1/3)</t>
  </si>
  <si>
    <t>G5002(2/3)</t>
  </si>
  <si>
    <t>G5002(3/3)</t>
  </si>
  <si>
    <t>SD-PAR-550-22-H006</t>
  </si>
  <si>
    <t>H006(1/2)</t>
  </si>
  <si>
    <t>HBRACE</t>
  </si>
  <si>
    <t>H006(2/2)</t>
  </si>
  <si>
    <t>SD-PAR-550-22-H016</t>
  </si>
  <si>
    <t>H016(1/2)</t>
  </si>
  <si>
    <t>H016(2/2)</t>
  </si>
  <si>
    <t>SD-PAR-550-22SL-J5001</t>
  </si>
  <si>
    <t>J5001</t>
  </si>
  <si>
    <t>JOIST</t>
  </si>
  <si>
    <t>SD-PAR-550-22SL-J5002</t>
  </si>
  <si>
    <t>J5002</t>
  </si>
  <si>
    <t>SD-PAR-550-22-P008</t>
  </si>
  <si>
    <t>P008</t>
  </si>
  <si>
    <t>POST</t>
  </si>
  <si>
    <t>SD-PAR-550-22-P009</t>
  </si>
  <si>
    <t>P009</t>
  </si>
  <si>
    <t>SD-PAR-550-22-P010</t>
  </si>
  <si>
    <t>P010</t>
  </si>
  <si>
    <t>SD-PAR-550-22-P015</t>
  </si>
  <si>
    <t>P015</t>
  </si>
  <si>
    <t>SD-PAR-550-22-P016</t>
  </si>
  <si>
    <t>P016</t>
  </si>
  <si>
    <t>SD-PAR-550-22-P017</t>
  </si>
  <si>
    <t>P017</t>
  </si>
  <si>
    <t>SD-PAR-550-22SL-S5001</t>
  </si>
  <si>
    <t>S5001</t>
  </si>
  <si>
    <t>STAIR</t>
  </si>
  <si>
    <t>SD-PAR-550-22SL-S5002</t>
  </si>
  <si>
    <t>S5002(1/2)</t>
  </si>
  <si>
    <t>S5002(2/2)</t>
  </si>
  <si>
    <t>SD-PAR-550-22SL-S5003</t>
  </si>
  <si>
    <t>S5003</t>
  </si>
  <si>
    <t>SD-PAR-550-22SL-S5004</t>
  </si>
  <si>
    <t>S5004</t>
  </si>
  <si>
    <t>SD-PAR-550-22SL-S5005</t>
  </si>
  <si>
    <t>S5005</t>
  </si>
  <si>
    <t>SD-PAR-550-22SL-S5006</t>
  </si>
  <si>
    <t>S5006(1/2)</t>
  </si>
  <si>
    <t>S5006(2/2)</t>
  </si>
  <si>
    <t>SD-PAR-550-22SL-S5007</t>
  </si>
  <si>
    <t>S5007</t>
  </si>
  <si>
    <t>SD-PAR-550-22SL-S5008</t>
  </si>
  <si>
    <t>S5008</t>
  </si>
  <si>
    <t>SD-PAR-550-22SL-S5009</t>
  </si>
  <si>
    <t>S5009</t>
  </si>
  <si>
    <t>SD-PAR-550-22SL-S5010</t>
  </si>
  <si>
    <t>S5010(1/2)</t>
  </si>
  <si>
    <t>S5010(2/2)</t>
  </si>
  <si>
    <t>SD-PAR-550-22SL-S5011</t>
  </si>
  <si>
    <t>S5011</t>
  </si>
  <si>
    <t>SD-PAR-550-22SL-S5012</t>
  </si>
  <si>
    <t>S5012</t>
  </si>
  <si>
    <t>SD-PAR-550-22SL-S5013</t>
  </si>
  <si>
    <t>S5013</t>
  </si>
  <si>
    <t>SD-PAR-550-22SL-S5014</t>
  </si>
  <si>
    <t>S5014</t>
  </si>
  <si>
    <t>SD-PAR-550-22SL-S5015</t>
  </si>
  <si>
    <t>S5015(1/2)</t>
  </si>
  <si>
    <t>S5015(2/2)</t>
  </si>
  <si>
    <t>SD-PAR-550-22SL-S5016</t>
  </si>
  <si>
    <t>S5016</t>
  </si>
  <si>
    <t>SD-PAR-550-22SL-S5017</t>
  </si>
  <si>
    <t>S5017</t>
  </si>
  <si>
    <t>SD-PAR-550-22SL-S5018</t>
  </si>
  <si>
    <t>S5018</t>
  </si>
  <si>
    <t>SD-PAR-550-22-V004</t>
  </si>
  <si>
    <t>V004</t>
  </si>
  <si>
    <t>VBRACE</t>
  </si>
  <si>
    <t>SD-PAR-550-22-V025</t>
  </si>
  <si>
    <t>V025</t>
  </si>
  <si>
    <t>SD-PAR-550-22-V037</t>
  </si>
  <si>
    <t>V037</t>
  </si>
  <si>
    <t>SD-PAR-550-22-V038</t>
  </si>
  <si>
    <t>V038</t>
  </si>
  <si>
    <t>SD-PAR-550-22-V042</t>
  </si>
  <si>
    <t>V042(1/2)</t>
  </si>
  <si>
    <t>V042(2/2)</t>
  </si>
  <si>
    <t>SD-PAR-550-22-V043</t>
  </si>
  <si>
    <t>V043(1/2)</t>
  </si>
  <si>
    <t>V043(2/2)</t>
  </si>
  <si>
    <t>SD-PAR-550-22-V053</t>
  </si>
  <si>
    <t>V053</t>
  </si>
  <si>
    <t>SD-PAR-550-22-V057</t>
  </si>
  <si>
    <t>V057(1/2)</t>
  </si>
  <si>
    <t>V057(2/2)</t>
  </si>
  <si>
    <t>SD-PAR-550-22-V067</t>
  </si>
  <si>
    <t>V067</t>
  </si>
  <si>
    <t>SD-PAR-550-22-V068</t>
  </si>
  <si>
    <t>V068</t>
  </si>
  <si>
    <t>SD-PAR-550-22-V085</t>
  </si>
  <si>
    <t>V085</t>
  </si>
  <si>
    <t>SD-PAR-550-22-V086</t>
  </si>
  <si>
    <t>V086</t>
  </si>
  <si>
    <t>SD-PAR-550-22SL-V5001</t>
  </si>
  <si>
    <t>V5001</t>
  </si>
  <si>
    <t>(5680x335x300)</t>
  </si>
  <si>
    <t>(3755x300x290)</t>
  </si>
  <si>
    <t>(5680x320x300)</t>
  </si>
  <si>
    <t>(5680x314x300)</t>
  </si>
  <si>
    <t>(5830x300x290)</t>
  </si>
  <si>
    <t>(2755x100x200)</t>
  </si>
  <si>
    <t>(5680x578x400)</t>
  </si>
  <si>
    <t>(2740x318x300)</t>
  </si>
  <si>
    <t>(5680x549x300)</t>
  </si>
  <si>
    <t>(5680x699x290)</t>
  </si>
  <si>
    <t>(5860x150x300)</t>
  </si>
  <si>
    <t>(2725x100x200)</t>
  </si>
  <si>
    <t>(2680x100x404)</t>
  </si>
  <si>
    <t>(5680x318x300)</t>
  </si>
  <si>
    <t>(9915x350x400)</t>
  </si>
  <si>
    <t>(2760x468x396)</t>
  </si>
  <si>
    <t>(5680x300x290)</t>
  </si>
  <si>
    <t>(1360x150x300)</t>
  </si>
  <si>
    <t>(1215x353x504)</t>
  </si>
  <si>
    <t>(1215x353x503)</t>
  </si>
  <si>
    <t>(1060x353x504)</t>
  </si>
  <si>
    <t>(1460x60x140)</t>
  </si>
  <si>
    <t>(3908x200x190)</t>
  </si>
  <si>
    <t>(3755x300x790)</t>
  </si>
  <si>
    <t>(3755x200x190)</t>
  </si>
  <si>
    <t>(1280x50x100)</t>
  </si>
  <si>
    <t>(1480x180x200)</t>
  </si>
  <si>
    <t>(2740x314x300)</t>
  </si>
  <si>
    <t>(2755x284x190)</t>
  </si>
  <si>
    <t>(1290x200x190)</t>
  </si>
  <si>
    <t>(5908x200x190)</t>
  </si>
  <si>
    <t>(2915x320x617)</t>
  </si>
  <si>
    <t>(5680x150x300)</t>
  </si>
  <si>
    <t>(1170x60x140)</t>
  </si>
  <si>
    <t>(3325x314x300)</t>
  </si>
  <si>
    <t>(3480x314x300)</t>
  </si>
  <si>
    <t>(3480x320x300)</t>
  </si>
  <si>
    <t>(3480x464x290)</t>
  </si>
  <si>
    <t>(3755x335x300)</t>
  </si>
  <si>
    <t>(2830x318x300)</t>
  </si>
  <si>
    <t>(21250x485x2215)</t>
  </si>
  <si>
    <t>(4765x693x785)</t>
  </si>
  <si>
    <t>(21250x520x2520)</t>
  </si>
  <si>
    <t>(4765x470x1008)</t>
  </si>
  <si>
    <t>(21250x1185x2520)</t>
  </si>
  <si>
    <t>(4765x500x1011)</t>
  </si>
  <si>
    <t>(21250x717x2302)</t>
  </si>
  <si>
    <t>(4765x470x690)</t>
  </si>
  <si>
    <t>(21250x520x2302)</t>
  </si>
  <si>
    <t>(21250x1185x2302)</t>
  </si>
  <si>
    <t>(4765x500x690)</t>
  </si>
  <si>
    <t>(21250x717x1202)</t>
  </si>
  <si>
    <t>(4765x470x1100)</t>
  </si>
  <si>
    <t>(21250x520x1202)</t>
  </si>
  <si>
    <t>(4765x475x1100)</t>
  </si>
  <si>
    <t>(21250x5013x1607)</t>
  </si>
  <si>
    <t>(4765x1565x1270)</t>
  </si>
  <si>
    <t>(11450x410x330)</t>
  </si>
  <si>
    <t>(11260x390x310)</t>
  </si>
  <si>
    <t>(3660x390x702)</t>
  </si>
  <si>
    <t>(3270x340x340)</t>
  </si>
  <si>
    <t>(1740x424x880)</t>
  </si>
  <si>
    <t>(1880x510x770)</t>
  </si>
  <si>
    <t>(1880x160x1305)</t>
  </si>
  <si>
    <t>(3805x480x700)</t>
  </si>
  <si>
    <t>(3745x702x711)</t>
  </si>
  <si>
    <t>(2950x474x708)</t>
  </si>
  <si>
    <t>(5720x464x396)</t>
  </si>
  <si>
    <t>(5720x170x306)</t>
  </si>
  <si>
    <t>(5720x320x296)</t>
  </si>
  <si>
    <t>(5720x474x396)</t>
  </si>
  <si>
    <t>(5000x440x900)</t>
  </si>
  <si>
    <t>(5310x936x390)</t>
  </si>
  <si>
    <t>(5000x758x900)</t>
  </si>
  <si>
    <t>(5000x618x690)</t>
  </si>
  <si>
    <t>(5310x618x490)</t>
  </si>
  <si>
    <t>(5310x1050x825)</t>
  </si>
  <si>
    <t>(5310x618x690)</t>
  </si>
  <si>
    <t>(2965x528x396)</t>
  </si>
  <si>
    <t>(5720x468x446)</t>
  </si>
  <si>
    <t>(5900x320x691)</t>
  </si>
  <si>
    <t>(5720x320x957)</t>
  </si>
  <si>
    <t>(5900x468x835)</t>
  </si>
  <si>
    <t>(5310x300x1650)</t>
  </si>
  <si>
    <t>(5310x480x390)</t>
  </si>
  <si>
    <t>(5000x530x900)</t>
  </si>
  <si>
    <t>(5310x390x490)</t>
  </si>
  <si>
    <t>(5310x708x490)</t>
  </si>
  <si>
    <t>(5310x1900x1750)</t>
  </si>
  <si>
    <t>(5310x708x593)</t>
  </si>
  <si>
    <t>(2980x260x1347)</t>
  </si>
  <si>
    <t>(5670x320x296)</t>
  </si>
  <si>
    <t>(5720x468x396)</t>
  </si>
  <si>
    <t>(5720x240x236)</t>
  </si>
  <si>
    <t>(3885x534x811)</t>
  </si>
  <si>
    <t>(3885x480x811)</t>
  </si>
  <si>
    <t>(3885x754x811)</t>
  </si>
  <si>
    <t>(1886x340x200)</t>
  </si>
  <si>
    <t>(1886x264x200)</t>
  </si>
  <si>
    <t>(2980x260x1357)</t>
  </si>
  <si>
    <t>(5710x300x480)</t>
  </si>
  <si>
    <t>(5710x170x460)</t>
  </si>
  <si>
    <t>(3270x180x200)</t>
  </si>
  <si>
    <t>(3190x180x200)</t>
  </si>
  <si>
    <t>(1830x100x200)</t>
  </si>
  <si>
    <t>(1755x100x200)</t>
  </si>
  <si>
    <t>(8700x405x485)</t>
  </si>
  <si>
    <t>(8700x470x485)</t>
  </si>
  <si>
    <t>(6197x345x1675)</t>
  </si>
  <si>
    <t>(6257x345x1720)</t>
  </si>
  <si>
    <t>(5797x345x2325)</t>
  </si>
  <si>
    <t>(4961x345x985)</t>
  </si>
  <si>
    <t>(5912x345x2174)</t>
  </si>
  <si>
    <t>(3673x180x200)</t>
  </si>
  <si>
    <t>(4175x180x200)</t>
  </si>
  <si>
    <t>(951x120x120)</t>
  </si>
  <si>
    <t>(2973x240x230)</t>
  </si>
  <si>
    <t>(3383x240x230)</t>
  </si>
  <si>
    <t>(1079x120x120)</t>
  </si>
  <si>
    <t>(4449x180x200)</t>
  </si>
  <si>
    <t>(892x120x120)</t>
  </si>
  <si>
    <t>(813x120x120)</t>
  </si>
  <si>
    <t>(2659x150x150)</t>
  </si>
  <si>
    <t>(2609x150x150)</t>
  </si>
  <si>
    <t>(3377x180x200)</t>
  </si>
  <si>
    <t>SHIP LOOSE</t>
  </si>
  <si>
    <t>M296</t>
  </si>
  <si>
    <t>Shipment 1</t>
  </si>
  <si>
    <t>PAR-550-22 Main</t>
  </si>
  <si>
    <t>Structure</t>
  </si>
  <si>
    <t>M296-001</t>
  </si>
  <si>
    <t>M296-002</t>
  </si>
  <si>
    <t>STR02</t>
  </si>
  <si>
    <t>STR01</t>
  </si>
  <si>
    <t>STR04</t>
  </si>
  <si>
    <t>STR03</t>
  </si>
  <si>
    <t>M296-004</t>
  </si>
  <si>
    <t>AMC GT-Galv</t>
  </si>
  <si>
    <t>M296-005</t>
  </si>
  <si>
    <t>M296-006</t>
  </si>
  <si>
    <t>M296-007</t>
  </si>
  <si>
    <t>M296-008</t>
  </si>
  <si>
    <t>M296-009</t>
  </si>
  <si>
    <t>M296-003</t>
  </si>
  <si>
    <t>M296-012</t>
  </si>
  <si>
    <t>M296-013</t>
  </si>
  <si>
    <t>M296-010</t>
  </si>
  <si>
    <t>M296-011</t>
  </si>
  <si>
    <t>M296-014</t>
  </si>
  <si>
    <t>C001-A</t>
  </si>
  <si>
    <t>C001-B</t>
  </si>
  <si>
    <t>C003-A</t>
  </si>
  <si>
    <t>C003-B</t>
  </si>
  <si>
    <t>C005-A</t>
  </si>
  <si>
    <t>C005-B</t>
  </si>
  <si>
    <t>C015-A</t>
  </si>
  <si>
    <t>C015-B</t>
  </si>
  <si>
    <t>C017-A</t>
  </si>
  <si>
    <t>C017-B</t>
  </si>
  <si>
    <t>C019-A</t>
  </si>
  <si>
    <t>C019-B</t>
  </si>
  <si>
    <t>C029-A</t>
  </si>
  <si>
    <t>C029-B</t>
  </si>
  <si>
    <t>C031-A</t>
  </si>
  <si>
    <t>C031-B</t>
  </si>
  <si>
    <t>C033-A</t>
  </si>
  <si>
    <t>C033-B</t>
  </si>
  <si>
    <t>M296-015</t>
  </si>
  <si>
    <t>Truong An</t>
  </si>
  <si>
    <t>M296-016</t>
  </si>
  <si>
    <t>M296-017</t>
  </si>
  <si>
    <t>M296-018</t>
  </si>
  <si>
    <t>M296-018-1</t>
  </si>
  <si>
    <t>PAC</t>
  </si>
  <si>
    <t>M296-020</t>
  </si>
  <si>
    <t>M296-021</t>
  </si>
  <si>
    <t>M296-019</t>
  </si>
  <si>
    <t>M296-022</t>
  </si>
  <si>
    <t>M296-023</t>
  </si>
  <si>
    <t>S2</t>
  </si>
  <si>
    <t>S5</t>
  </si>
  <si>
    <t>M296-024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</si>
</sst>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M296-22-AM2-FN-020(17.06).xlsx%20ch&#237;.xlsx" TargetMode="External"/><Relationship Id="rId1" Type="http://schemas.openxmlformats.org/officeDocument/2006/relationships/externalLinkPath" Target="file:///C:\Users\DELL\AppData\Local\Temp\Zalo%20Temp\TempDownloads\M296-22-AM2-FN-020(17.06).xlsx%20ch&#237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Report/Report%20material%20AMC2.xlsm" TargetMode="External"/><Relationship Id="rId2" Type="http://schemas.openxmlformats.org/officeDocument/2006/relationships/externalLinkPath" Target="file:///D:\AMECC%20JSC\Amecc%202\00.%20Overall%20Report\01.Report\Report%20material%20AMC2.xlsm" TargetMode="External"/><Relationship Id="rId1" Type="http://schemas.openxmlformats.org/officeDocument/2006/relationships/externalLinkPath" Target="/AMECC%20JSC/Amecc%202/00.%20Overall%20Report/01.Report/Report%20material%20AMC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F8">
            <v>1</v>
          </cell>
          <cell r="J8" t="str">
            <v>SD-PAR-550-22-B095</v>
          </cell>
        </row>
        <row r="9">
          <cell r="F9">
            <v>1</v>
          </cell>
          <cell r="J9" t="str">
            <v>SD-PAR-550-22-B110</v>
          </cell>
        </row>
        <row r="10">
          <cell r="F10">
            <v>1</v>
          </cell>
          <cell r="J10" t="str">
            <v>SD-PAR-550-22-B112</v>
          </cell>
        </row>
        <row r="11">
          <cell r="F11">
            <v>1</v>
          </cell>
          <cell r="J11" t="str">
            <v>SD-PAR-550-22-B120</v>
          </cell>
        </row>
        <row r="12">
          <cell r="F12">
            <v>1</v>
          </cell>
          <cell r="J12" t="str">
            <v>SD-PAR-550-22-B143</v>
          </cell>
        </row>
        <row r="13">
          <cell r="F13">
            <v>1</v>
          </cell>
          <cell r="J13" t="str">
            <v>SD-PAR-550-22-B150</v>
          </cell>
        </row>
        <row r="14">
          <cell r="F14">
            <v>1</v>
          </cell>
          <cell r="J14" t="str">
            <v>SD-PAR-550-22-C019</v>
          </cell>
        </row>
        <row r="15">
          <cell r="F15">
            <v>1</v>
          </cell>
          <cell r="J15" t="str">
            <v>SD-PAR-550-22-C019</v>
          </cell>
        </row>
        <row r="16">
          <cell r="F16">
            <v>1</v>
          </cell>
          <cell r="J16" t="str">
            <v>SD-PAR-550-22-C029</v>
          </cell>
        </row>
        <row r="17">
          <cell r="F17">
            <v>1</v>
          </cell>
          <cell r="J17" t="str">
            <v>SD-PAR-550-22-C029</v>
          </cell>
        </row>
        <row r="18">
          <cell r="F18">
            <v>1</v>
          </cell>
          <cell r="J18" t="str">
            <v>SD-PAR-550-22-C031</v>
          </cell>
        </row>
        <row r="19">
          <cell r="F19">
            <v>1</v>
          </cell>
          <cell r="J19" t="str">
            <v>SD-PAR-550-22-C034</v>
          </cell>
        </row>
        <row r="20">
          <cell r="F20">
            <v>1</v>
          </cell>
          <cell r="J20" t="str">
            <v>SD-PAR-550-22-G049</v>
          </cell>
        </row>
        <row r="21">
          <cell r="F21">
            <v>1</v>
          </cell>
          <cell r="J21" t="str">
            <v>SD-PAR-550-22-G073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BTP-U302SCR1"/>
      <sheetName val="BTP-U302SCR2"/>
      <sheetName val="U302SCR1"/>
      <sheetName val="U302SCR2"/>
      <sheetName val="BTP-U302AB2"/>
      <sheetName val="BTP-U302AB1"/>
      <sheetName val="U302AB2"/>
      <sheetName val="U302AB1"/>
      <sheetName val="BTP-M304STK3"/>
      <sheetName val="U285"/>
      <sheetName val="BTP-U285"/>
      <sheetName val="BTP-U310"/>
      <sheetName val="U310"/>
      <sheetName val="BTP-U311"/>
      <sheetName val="U311"/>
      <sheetName val="BTP-U284SCR"/>
      <sheetName val="U284SCR"/>
      <sheetName val="M304ST2"/>
      <sheetName val="BTP-M304ST2"/>
      <sheetName val="V314CS1"/>
      <sheetName val="V314CS2"/>
      <sheetName val="BTP-V314CS2"/>
      <sheetName val="BTP-V314CS1"/>
      <sheetName val="BTP-A290T3P2"/>
      <sheetName val="A290T3P2"/>
      <sheetName val="A290T3P3"/>
      <sheetName val="BTP-A290T3P3"/>
      <sheetName val="A290T3P1"/>
      <sheetName val="BTP-A290T3P1"/>
      <sheetName val="BTP-E307"/>
      <sheetName val="E307"/>
      <sheetName val="Bracing304STK6U"/>
      <sheetName val="M304STK2"/>
      <sheetName val="BTP-M304STK2"/>
      <sheetName val="M304STK1"/>
      <sheetName val="BTP-M304STK1"/>
      <sheetName val="M304CS4"/>
      <sheetName val="BTP-M304CS4"/>
      <sheetName val="M304CS3"/>
      <sheetName val="BTP-M304CS3"/>
      <sheetName val="M304CS2"/>
      <sheetName val="BTP-M304CS2"/>
      <sheetName val="INSU BOX"/>
      <sheetName val="M304CS1"/>
      <sheetName val="BTP-M304CS1"/>
      <sheetName val="M291SS3"/>
      <sheetName val="BTP-M291SS3"/>
      <sheetName val="BTP-M291CS4"/>
      <sheetName val="BTP-M291CS3"/>
      <sheetName val="M291CS4"/>
      <sheetName val="M291CS3"/>
      <sheetName val="B272"/>
      <sheetName val="BTP-B272"/>
      <sheetName val="B272SM2"/>
      <sheetName val="BTP-B272SM2"/>
      <sheetName val="BTP-M296PAR55022"/>
      <sheetName val="M296PAR55022"/>
      <sheetName val="A290T2P2"/>
      <sheetName val="BTP-A290T2P2"/>
      <sheetName val="BTP-A290T2P1"/>
      <sheetName val="A290T2P1"/>
      <sheetName val="U276U1"/>
      <sheetName val="BTP-U276U1"/>
      <sheetName val="BTP-M270SM11"/>
      <sheetName val="M270SM11"/>
      <sheetName val="BTP-M270SM12"/>
      <sheetName val="M270SM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U285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B1"/>
        </row>
      </sheetData>
      <sheetData sheetId="26">
        <row r="1">
          <cell r="B1"/>
        </row>
      </sheetData>
      <sheetData sheetId="27"/>
      <sheetData sheetId="28">
        <row r="1">
          <cell r="B1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B1"/>
          <cell r="X1"/>
        </row>
        <row r="2">
          <cell r="B2"/>
          <cell r="X2"/>
        </row>
        <row r="3">
          <cell r="B3"/>
          <cell r="X3"/>
        </row>
        <row r="4">
          <cell r="B4"/>
          <cell r="X4"/>
        </row>
        <row r="5">
          <cell r="B5"/>
          <cell r="X5"/>
        </row>
        <row r="6">
          <cell r="B6"/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SD-PAR-550-22-B001</v>
          </cell>
          <cell r="X10">
            <v>1</v>
          </cell>
        </row>
        <row r="11">
          <cell r="B11" t="str">
            <v>SD-PAR-550-22-B001</v>
          </cell>
          <cell r="X11"/>
        </row>
        <row r="12">
          <cell r="B12" t="str">
            <v>SD-PAR-550-22-B001</v>
          </cell>
          <cell r="X12"/>
        </row>
        <row r="13">
          <cell r="B13" t="str">
            <v>SD-PAR-550-22-B001</v>
          </cell>
          <cell r="X13"/>
        </row>
        <row r="14">
          <cell r="B14" t="str">
            <v>SD-PAR-550-22-B001</v>
          </cell>
          <cell r="X14"/>
        </row>
        <row r="15">
          <cell r="B15" t="str">
            <v>SD-PAR-550-22-B001</v>
          </cell>
          <cell r="X15"/>
        </row>
        <row r="16">
          <cell r="B16" t="str">
            <v>SD-PAR-550-22-B015</v>
          </cell>
          <cell r="X16" t="e">
            <v>#DIV/0!</v>
          </cell>
        </row>
        <row r="17">
          <cell r="B17" t="str">
            <v>SD-PAR-550-22-B015</v>
          </cell>
          <cell r="X17"/>
        </row>
        <row r="18">
          <cell r="B18" t="str">
            <v>SD-PAR-550-22-B017</v>
          </cell>
          <cell r="X18">
            <v>1</v>
          </cell>
        </row>
        <row r="19">
          <cell r="B19" t="str">
            <v>SD-PAR-550-22-B017</v>
          </cell>
          <cell r="X19"/>
        </row>
        <row r="20">
          <cell r="B20" t="str">
            <v>SD-PAR-550-22-B017</v>
          </cell>
          <cell r="X20"/>
        </row>
        <row r="21">
          <cell r="B21" t="str">
            <v>SD-PAR-550-22-B017</v>
          </cell>
          <cell r="X21"/>
        </row>
        <row r="22">
          <cell r="B22" t="str">
            <v>SD-PAR-550-22-B017</v>
          </cell>
          <cell r="X22"/>
        </row>
        <row r="23">
          <cell r="B23" t="str">
            <v>SD-PAR-550-22-B017</v>
          </cell>
          <cell r="X23"/>
        </row>
        <row r="24">
          <cell r="B24" t="str">
            <v>SD-PAR-550-22-B018</v>
          </cell>
          <cell r="X24">
            <v>1</v>
          </cell>
        </row>
        <row r="25">
          <cell r="B25" t="str">
            <v>SD-PAR-550-22-B018</v>
          </cell>
          <cell r="X25"/>
        </row>
        <row r="26">
          <cell r="B26" t="str">
            <v>SD-PAR-550-22-B018</v>
          </cell>
          <cell r="X26"/>
        </row>
        <row r="27">
          <cell r="B27" t="str">
            <v>SD-PAR-550-22-B018</v>
          </cell>
          <cell r="X27"/>
        </row>
        <row r="28">
          <cell r="B28" t="str">
            <v>SD-PAR-550-22-B018</v>
          </cell>
          <cell r="X28"/>
        </row>
        <row r="29">
          <cell r="B29" t="str">
            <v>SD-PAR-550-22-B018</v>
          </cell>
          <cell r="X29"/>
        </row>
        <row r="30">
          <cell r="B30" t="str">
            <v>SD-PAR-550-22-B047</v>
          </cell>
          <cell r="X30" t="e">
            <v>#DIV/0!</v>
          </cell>
        </row>
        <row r="31">
          <cell r="B31" t="str">
            <v>SD-PAR-550-22-B047</v>
          </cell>
          <cell r="X31"/>
        </row>
        <row r="32">
          <cell r="B32" t="str">
            <v>SD-PAR-550-22-B052</v>
          </cell>
          <cell r="X32" t="e">
            <v>#DIV/0!</v>
          </cell>
        </row>
        <row r="33">
          <cell r="B33" t="str">
            <v>SD-PAR-550-22-B052</v>
          </cell>
          <cell r="X33"/>
        </row>
        <row r="34">
          <cell r="B34" t="str">
            <v>SD-PAR-550-22-B055</v>
          </cell>
          <cell r="X34">
            <v>1</v>
          </cell>
        </row>
        <row r="35">
          <cell r="B35" t="str">
            <v>SD-PAR-550-22-B055</v>
          </cell>
          <cell r="X35"/>
        </row>
        <row r="36">
          <cell r="B36" t="str">
            <v>SD-PAR-550-22-B055</v>
          </cell>
          <cell r="X36"/>
        </row>
        <row r="37">
          <cell r="B37" t="str">
            <v>SD-PAR-550-22-B055</v>
          </cell>
          <cell r="X37"/>
        </row>
        <row r="38">
          <cell r="B38" t="str">
            <v>SD-PAR-550-22-B055</v>
          </cell>
          <cell r="X38"/>
        </row>
        <row r="39">
          <cell r="B39" t="str">
            <v>SD-PAR-550-22-B055</v>
          </cell>
          <cell r="X39"/>
        </row>
        <row r="40">
          <cell r="B40" t="str">
            <v>SD-PAR-550-22-B055</v>
          </cell>
          <cell r="X40"/>
        </row>
        <row r="41">
          <cell r="B41" t="str">
            <v>SD-PAR-550-22-B056</v>
          </cell>
          <cell r="X41">
            <v>1</v>
          </cell>
        </row>
        <row r="42">
          <cell r="B42" t="str">
            <v>SD-PAR-550-22-B056</v>
          </cell>
          <cell r="X42"/>
        </row>
        <row r="43">
          <cell r="B43" t="str">
            <v>SD-PAR-550-22-B056</v>
          </cell>
          <cell r="X43"/>
        </row>
        <row r="44">
          <cell r="B44" t="str">
            <v>SD-PAR-550-22-B056</v>
          </cell>
          <cell r="X44"/>
        </row>
        <row r="45">
          <cell r="B45" t="str">
            <v>SD-PAR-550-22-B056</v>
          </cell>
          <cell r="X45"/>
        </row>
        <row r="46">
          <cell r="B46" t="str">
            <v>SD-PAR-550-22-B058</v>
          </cell>
          <cell r="X46">
            <v>1</v>
          </cell>
        </row>
        <row r="47">
          <cell r="B47" t="str">
            <v>SD-PAR-550-22-B058</v>
          </cell>
          <cell r="X47"/>
        </row>
        <row r="48">
          <cell r="B48" t="str">
            <v>SD-PAR-550-22-B058</v>
          </cell>
          <cell r="X48"/>
        </row>
        <row r="49">
          <cell r="B49" t="str">
            <v>SD-PAR-550-22-B058</v>
          </cell>
          <cell r="X49"/>
        </row>
        <row r="50">
          <cell r="B50" t="str">
            <v>SD-PAR-550-22-B058</v>
          </cell>
          <cell r="X50"/>
        </row>
        <row r="51">
          <cell r="B51" t="str">
            <v>SD-PAR-550-22-B058</v>
          </cell>
          <cell r="X51"/>
        </row>
        <row r="52">
          <cell r="B52" t="str">
            <v>SD-PAR-550-22-B059</v>
          </cell>
          <cell r="X52">
            <v>1</v>
          </cell>
        </row>
        <row r="53">
          <cell r="B53" t="str">
            <v>SD-PAR-550-22-B059</v>
          </cell>
          <cell r="X53"/>
        </row>
        <row r="54">
          <cell r="B54" t="str">
            <v>SD-PAR-550-22-B059</v>
          </cell>
          <cell r="X54"/>
        </row>
        <row r="55">
          <cell r="B55" t="str">
            <v>SD-PAR-550-22-B059</v>
          </cell>
          <cell r="X55"/>
        </row>
        <row r="56">
          <cell r="B56" t="str">
            <v>SD-PAR-550-22-B059</v>
          </cell>
          <cell r="X56"/>
        </row>
        <row r="57">
          <cell r="B57" t="str">
            <v>SD-PAR-550-22-B059</v>
          </cell>
          <cell r="X57"/>
        </row>
        <row r="58">
          <cell r="B58" t="str">
            <v>SD-PAR-550-22-B060</v>
          </cell>
          <cell r="X58" t="e">
            <v>#DIV/0!</v>
          </cell>
        </row>
        <row r="59">
          <cell r="B59" t="str">
            <v>SD-PAR-550-22-B060</v>
          </cell>
          <cell r="X59"/>
        </row>
        <row r="60">
          <cell r="B60" t="str">
            <v>SD-PAR-550-22-B060</v>
          </cell>
          <cell r="X60"/>
        </row>
        <row r="61">
          <cell r="B61" t="str">
            <v>SD-PAR-550-22-B060</v>
          </cell>
          <cell r="X61"/>
        </row>
        <row r="62">
          <cell r="B62" t="str">
            <v>SD-PAR-550-22-B076</v>
          </cell>
          <cell r="X62" t="e">
            <v>#DIV/0!</v>
          </cell>
        </row>
        <row r="63">
          <cell r="B63" t="str">
            <v>SD-PAR-550-22-B076</v>
          </cell>
          <cell r="X63"/>
        </row>
        <row r="64">
          <cell r="B64" t="str">
            <v>SD-PAR-550-22-B077</v>
          </cell>
          <cell r="X64">
            <v>1</v>
          </cell>
        </row>
        <row r="65">
          <cell r="B65" t="str">
            <v>SD-PAR-550-22-B077</v>
          </cell>
          <cell r="X65"/>
        </row>
        <row r="66">
          <cell r="B66" t="str">
            <v>SD-PAR-550-22-B077</v>
          </cell>
          <cell r="X66"/>
        </row>
        <row r="67">
          <cell r="B67" t="str">
            <v>SD-PAR-550-22-B082</v>
          </cell>
          <cell r="X67">
            <v>1</v>
          </cell>
        </row>
        <row r="68">
          <cell r="B68" t="str">
            <v>SD-PAR-550-22-B082</v>
          </cell>
          <cell r="X68"/>
        </row>
        <row r="69">
          <cell r="B69" t="str">
            <v>SD-PAR-550-22-B082</v>
          </cell>
          <cell r="X69"/>
        </row>
        <row r="70">
          <cell r="B70" t="str">
            <v>SD-PAR-550-22-B082</v>
          </cell>
          <cell r="X70"/>
        </row>
        <row r="71">
          <cell r="B71" t="str">
            <v>SD-PAR-550-22-B083</v>
          </cell>
          <cell r="X71">
            <v>1</v>
          </cell>
        </row>
        <row r="72">
          <cell r="B72" t="str">
            <v>SD-PAR-550-22-B083</v>
          </cell>
          <cell r="X72"/>
        </row>
        <row r="73">
          <cell r="B73" t="str">
            <v>SD-PAR-550-22-B083</v>
          </cell>
          <cell r="X73"/>
        </row>
        <row r="74">
          <cell r="B74" t="str">
            <v>SD-PAR-550-22-B083</v>
          </cell>
          <cell r="X74"/>
        </row>
        <row r="75">
          <cell r="B75" t="str">
            <v>SD-PAR-550-22-B085</v>
          </cell>
          <cell r="X75">
            <v>1</v>
          </cell>
        </row>
        <row r="76">
          <cell r="B76" t="str">
            <v>SD-PAR-550-22-B085</v>
          </cell>
          <cell r="X76"/>
        </row>
        <row r="77">
          <cell r="B77" t="str">
            <v>SD-PAR-550-22-B085</v>
          </cell>
          <cell r="X77"/>
        </row>
        <row r="78">
          <cell r="B78" t="str">
            <v>SD-PAR-550-22-B085</v>
          </cell>
          <cell r="X78"/>
        </row>
        <row r="79">
          <cell r="B79" t="str">
            <v>SD-PAR-550-22-B095</v>
          </cell>
          <cell r="X79">
            <v>0.9375</v>
          </cell>
        </row>
        <row r="80">
          <cell r="B80" t="str">
            <v>SD-PAR-550-22-B095</v>
          </cell>
          <cell r="X80"/>
        </row>
        <row r="81">
          <cell r="B81" t="str">
            <v>SD-PAR-550-22-B095</v>
          </cell>
          <cell r="X81"/>
        </row>
        <row r="82">
          <cell r="B82" t="str">
            <v>SD-PAR-550-22-B095</v>
          </cell>
          <cell r="X82"/>
        </row>
        <row r="83">
          <cell r="B83" t="str">
            <v>SD-PAR-550-22-B095</v>
          </cell>
          <cell r="X83"/>
        </row>
        <row r="84">
          <cell r="B84" t="str">
            <v>SD-PAR-550-22-B095</v>
          </cell>
          <cell r="X84"/>
        </row>
        <row r="85">
          <cell r="B85" t="str">
            <v>SD-PAR-550-22-B095</v>
          </cell>
          <cell r="X85"/>
        </row>
        <row r="86">
          <cell r="B86" t="str">
            <v>SD-PAR-550-22-B097</v>
          </cell>
          <cell r="X86">
            <v>1</v>
          </cell>
        </row>
        <row r="87">
          <cell r="B87" t="str">
            <v>SD-PAR-550-22-B097</v>
          </cell>
          <cell r="X87"/>
        </row>
        <row r="88">
          <cell r="B88" t="str">
            <v>SD-PAR-550-22-B097</v>
          </cell>
          <cell r="X88"/>
        </row>
        <row r="89">
          <cell r="B89" t="str">
            <v>SD-PAR-550-22-B097</v>
          </cell>
          <cell r="X89"/>
        </row>
        <row r="90">
          <cell r="B90" t="str">
            <v>SD-PAR-550-22-B097</v>
          </cell>
          <cell r="X90"/>
        </row>
        <row r="91">
          <cell r="B91" t="str">
            <v>SD-PAR-550-22-B097</v>
          </cell>
          <cell r="X91"/>
        </row>
        <row r="92">
          <cell r="B92" t="str">
            <v>SD-PAR-550-22-B097</v>
          </cell>
          <cell r="X92"/>
        </row>
        <row r="93">
          <cell r="B93" t="str">
            <v>SD-PAR-550-22-B098</v>
          </cell>
          <cell r="X93" t="e">
            <v>#DIV/0!</v>
          </cell>
        </row>
        <row r="94">
          <cell r="B94" t="str">
            <v>SD-PAR-550-22-B098</v>
          </cell>
          <cell r="X94"/>
        </row>
        <row r="95">
          <cell r="B95" t="str">
            <v>SD-PAR-550-22-B107</v>
          </cell>
          <cell r="X95" t="e">
            <v>#DIV/0!</v>
          </cell>
        </row>
        <row r="96">
          <cell r="B96" t="str">
            <v>SD-PAR-550-22-B107</v>
          </cell>
          <cell r="X96"/>
        </row>
        <row r="97">
          <cell r="B97" t="str">
            <v>SD-PAR-550-22-B107</v>
          </cell>
          <cell r="X97"/>
        </row>
        <row r="98">
          <cell r="B98" t="str">
            <v>SD-PAR-550-22-B107</v>
          </cell>
          <cell r="X98"/>
        </row>
        <row r="99">
          <cell r="B99" t="str">
            <v>SD-PAR-550-22-B110</v>
          </cell>
          <cell r="X99">
            <v>1</v>
          </cell>
        </row>
        <row r="100">
          <cell r="B100" t="str">
            <v>SD-PAR-550-22-B110</v>
          </cell>
          <cell r="X100"/>
        </row>
        <row r="101">
          <cell r="B101" t="str">
            <v>SD-PAR-550-22-B110</v>
          </cell>
          <cell r="X101"/>
        </row>
        <row r="102">
          <cell r="B102" t="str">
            <v>SD-PAR-550-22-B110</v>
          </cell>
          <cell r="X102"/>
        </row>
        <row r="103">
          <cell r="B103" t="str">
            <v>SD-PAR-550-22-B110</v>
          </cell>
          <cell r="X103"/>
        </row>
        <row r="104">
          <cell r="B104" t="str">
            <v>SD-PAR-550-22-B110</v>
          </cell>
          <cell r="X104"/>
        </row>
        <row r="105">
          <cell r="B105" t="str">
            <v>SD-PAR-550-22-B112</v>
          </cell>
          <cell r="X105">
            <v>1</v>
          </cell>
        </row>
        <row r="106">
          <cell r="B106" t="str">
            <v>SD-PAR-550-22-B112</v>
          </cell>
          <cell r="X106"/>
        </row>
        <row r="107">
          <cell r="B107" t="str">
            <v>SD-PAR-550-22-B112</v>
          </cell>
          <cell r="X107"/>
        </row>
        <row r="108">
          <cell r="B108" t="str">
            <v>SD-PAR-550-22-B112</v>
          </cell>
          <cell r="X108"/>
        </row>
        <row r="109">
          <cell r="B109" t="str">
            <v>SD-PAR-550-22-B112</v>
          </cell>
          <cell r="X109"/>
        </row>
        <row r="110">
          <cell r="B110" t="str">
            <v>SD-PAR-550-22-B112</v>
          </cell>
          <cell r="X110"/>
        </row>
        <row r="111">
          <cell r="B111" t="str">
            <v>SD-PAR-550-22-B120</v>
          </cell>
          <cell r="X111">
            <v>1</v>
          </cell>
        </row>
        <row r="112">
          <cell r="B112" t="str">
            <v>SD-PAR-550-22-B120</v>
          </cell>
          <cell r="X112"/>
        </row>
        <row r="113">
          <cell r="B113" t="str">
            <v>SD-PAR-550-22-B120</v>
          </cell>
          <cell r="X113"/>
        </row>
        <row r="114">
          <cell r="B114" t="str">
            <v>SD-PAR-550-22-B120</v>
          </cell>
          <cell r="X114"/>
        </row>
        <row r="115">
          <cell r="B115" t="str">
            <v>SD-PAR-550-22-B120</v>
          </cell>
          <cell r="X115"/>
        </row>
        <row r="116">
          <cell r="B116" t="str">
            <v>SD-PAR-550-22-B120</v>
          </cell>
          <cell r="X116"/>
        </row>
        <row r="117">
          <cell r="B117" t="str">
            <v>SD-PAR-550-22-B132</v>
          </cell>
          <cell r="X117" t="e">
            <v>#DIV/0!</v>
          </cell>
        </row>
        <row r="118">
          <cell r="B118" t="str">
            <v>SD-PAR-550-22-B132</v>
          </cell>
          <cell r="X118"/>
        </row>
        <row r="119">
          <cell r="B119" t="str">
            <v>SD-PAR-550-22-B140</v>
          </cell>
          <cell r="X119" t="e">
            <v>#DIV/0!</v>
          </cell>
        </row>
        <row r="120">
          <cell r="B120" t="str">
            <v>SD-PAR-550-22-B140</v>
          </cell>
          <cell r="X120"/>
        </row>
        <row r="121">
          <cell r="B121" t="str">
            <v>SD-PAR-550-22-B140</v>
          </cell>
          <cell r="X121"/>
        </row>
        <row r="122">
          <cell r="B122" t="str">
            <v>SD-PAR-550-22-B140</v>
          </cell>
          <cell r="X122"/>
        </row>
        <row r="123">
          <cell r="B123" t="str">
            <v>SD-PAR-550-22-B142</v>
          </cell>
          <cell r="X123">
            <v>1</v>
          </cell>
        </row>
        <row r="124">
          <cell r="B124" t="str">
            <v>SD-PAR-550-22-B142</v>
          </cell>
          <cell r="X124"/>
        </row>
        <row r="125">
          <cell r="B125" t="str">
            <v>SD-PAR-550-22-B142</v>
          </cell>
          <cell r="X125"/>
        </row>
        <row r="126">
          <cell r="B126" t="str">
            <v>SD-PAR-550-22-B142</v>
          </cell>
          <cell r="X126"/>
        </row>
        <row r="127">
          <cell r="B127" t="str">
            <v>SD-PAR-550-22-B142</v>
          </cell>
          <cell r="X127"/>
        </row>
        <row r="128">
          <cell r="B128" t="str">
            <v>SD-PAR-550-22-B142</v>
          </cell>
          <cell r="X128"/>
        </row>
        <row r="129">
          <cell r="B129" t="str">
            <v>SD-PAR-550-22-B142</v>
          </cell>
          <cell r="X129"/>
        </row>
        <row r="130">
          <cell r="B130" t="str">
            <v>SD-PAR-550-22-B143</v>
          </cell>
          <cell r="X130">
            <v>1</v>
          </cell>
        </row>
        <row r="131">
          <cell r="B131" t="str">
            <v>SD-PAR-550-22-B143</v>
          </cell>
          <cell r="X131"/>
        </row>
        <row r="132">
          <cell r="B132" t="str">
            <v>SD-PAR-550-22-B143</v>
          </cell>
          <cell r="X132"/>
        </row>
        <row r="133">
          <cell r="B133" t="str">
            <v>SD-PAR-550-22-B143</v>
          </cell>
          <cell r="X133"/>
        </row>
        <row r="134">
          <cell r="B134" t="str">
            <v>SD-PAR-550-22-B143</v>
          </cell>
          <cell r="X134"/>
        </row>
        <row r="135">
          <cell r="B135" t="str">
            <v>SD-PAR-550-22-B143</v>
          </cell>
          <cell r="X135"/>
        </row>
        <row r="136">
          <cell r="B136" t="str">
            <v>SD-PAR-550-22-B143</v>
          </cell>
          <cell r="X136"/>
        </row>
        <row r="137">
          <cell r="B137" t="str">
            <v>SD-PAR-550-22-B144</v>
          </cell>
          <cell r="X137" t="e">
            <v>#DIV/0!</v>
          </cell>
        </row>
        <row r="138">
          <cell r="B138" t="str">
            <v>SD-PAR-550-22-B144</v>
          </cell>
          <cell r="X138"/>
        </row>
        <row r="139">
          <cell r="B139" t="str">
            <v>SD-PAR-550-22-B148</v>
          </cell>
          <cell r="X139" t="e">
            <v>#DIV/0!</v>
          </cell>
        </row>
        <row r="140">
          <cell r="B140" t="str">
            <v>SD-PAR-550-22-B148</v>
          </cell>
          <cell r="X140"/>
        </row>
        <row r="141">
          <cell r="B141" t="str">
            <v>SD-PAR-550-22-B150</v>
          </cell>
          <cell r="X141">
            <v>1</v>
          </cell>
        </row>
        <row r="142">
          <cell r="B142" t="str">
            <v>SD-PAR-550-22-B150</v>
          </cell>
          <cell r="X142"/>
        </row>
        <row r="143">
          <cell r="B143" t="str">
            <v>SD-PAR-550-22-B150</v>
          </cell>
          <cell r="X143"/>
        </row>
        <row r="144">
          <cell r="B144" t="str">
            <v>SD-PAR-550-22-B150</v>
          </cell>
          <cell r="X144"/>
        </row>
        <row r="145">
          <cell r="B145" t="str">
            <v>SD-PAR-550-22-B153</v>
          </cell>
          <cell r="X145" t="e">
            <v>#DIV/0!</v>
          </cell>
        </row>
        <row r="146">
          <cell r="B146" t="str">
            <v>SD-PAR-550-22-B153</v>
          </cell>
          <cell r="X146"/>
        </row>
        <row r="147">
          <cell r="B147" t="str">
            <v>SD-PAR-550-22-B156</v>
          </cell>
          <cell r="X147">
            <v>1</v>
          </cell>
        </row>
        <row r="148">
          <cell r="B148" t="str">
            <v>SD-PAR-550-22-B156</v>
          </cell>
          <cell r="X148"/>
        </row>
        <row r="149">
          <cell r="B149" t="str">
            <v>SD-PAR-550-22-B156</v>
          </cell>
          <cell r="X149"/>
        </row>
        <row r="150">
          <cell r="B150" t="str">
            <v>SD-PAR-550-22-B156</v>
          </cell>
          <cell r="X150"/>
        </row>
        <row r="151">
          <cell r="B151" t="str">
            <v>SD-PAR-550-22-B156</v>
          </cell>
          <cell r="X151"/>
        </row>
        <row r="152">
          <cell r="B152" t="str">
            <v>SD-PAR-550-22-B158</v>
          </cell>
          <cell r="X152">
            <v>1</v>
          </cell>
        </row>
        <row r="153">
          <cell r="B153" t="str">
            <v>SD-PAR-550-22-B158</v>
          </cell>
          <cell r="X153"/>
        </row>
        <row r="154">
          <cell r="B154" t="str">
            <v>SD-PAR-550-22-B158</v>
          </cell>
          <cell r="X154"/>
        </row>
        <row r="155">
          <cell r="B155" t="str">
            <v>SD-PAR-550-22-B159</v>
          </cell>
          <cell r="X155" t="e">
            <v>#DIV/0!</v>
          </cell>
        </row>
        <row r="156">
          <cell r="B156" t="str">
            <v>SD-PAR-550-22-B159</v>
          </cell>
          <cell r="X156"/>
        </row>
        <row r="157">
          <cell r="B157" t="str">
            <v>SD-PAR-550-22-B161</v>
          </cell>
          <cell r="X157" t="e">
            <v>#DIV/0!</v>
          </cell>
        </row>
        <row r="158">
          <cell r="B158" t="str">
            <v>SD-PAR-550-22-B161</v>
          </cell>
          <cell r="X158"/>
        </row>
        <row r="159">
          <cell r="B159" t="str">
            <v>SD-PAR-550-22-B161</v>
          </cell>
          <cell r="X159"/>
        </row>
        <row r="160">
          <cell r="B160" t="str">
            <v>SD-PAR-550-22-B161</v>
          </cell>
          <cell r="X160"/>
        </row>
        <row r="161">
          <cell r="B161" t="str">
            <v>SD-PAR-550-22SL-B5001</v>
          </cell>
          <cell r="X161">
            <v>1</v>
          </cell>
        </row>
        <row r="162">
          <cell r="B162" t="str">
            <v>SD-PAR-550-22SL-B5001</v>
          </cell>
          <cell r="X162"/>
        </row>
        <row r="163">
          <cell r="B163" t="str">
            <v>SD-PAR-550-22SL-B5001</v>
          </cell>
          <cell r="X163"/>
        </row>
        <row r="164">
          <cell r="B164" t="str">
            <v>SD-PAR-550-22SL-B5001</v>
          </cell>
          <cell r="X164"/>
        </row>
        <row r="165">
          <cell r="B165" t="str">
            <v>SD-PAR-550-22SL-B5001</v>
          </cell>
          <cell r="X165"/>
        </row>
        <row r="166">
          <cell r="B166" t="str">
            <v>SD-PAR-550-22SL-B5001</v>
          </cell>
          <cell r="X166"/>
        </row>
        <row r="167">
          <cell r="B167" t="str">
            <v>SD-PAR-550-22SL-B5002</v>
          </cell>
          <cell r="X167" t="e">
            <v>#DIV/0!</v>
          </cell>
        </row>
        <row r="168">
          <cell r="B168" t="str">
            <v>SD-PAR-550-22SL-B5002</v>
          </cell>
          <cell r="X168"/>
        </row>
        <row r="169">
          <cell r="B169" t="str">
            <v>SD-PAR-550-22SL-B5003</v>
          </cell>
          <cell r="X169" t="e">
            <v>#DIV/0!</v>
          </cell>
        </row>
        <row r="170">
          <cell r="B170" t="str">
            <v>SD-PAR-550-22SL-B5003</v>
          </cell>
          <cell r="X170"/>
        </row>
        <row r="171">
          <cell r="B171" t="str">
            <v>SD-PAR-550-22SL-B5004</v>
          </cell>
          <cell r="X171" t="e">
            <v>#DIV/0!</v>
          </cell>
        </row>
        <row r="172">
          <cell r="B172" t="str">
            <v>SD-PAR-550-22SL-B5004</v>
          </cell>
          <cell r="X172"/>
        </row>
        <row r="173">
          <cell r="B173" t="str">
            <v>SD-PAR-550-22SL-B5005</v>
          </cell>
          <cell r="X173">
            <v>1</v>
          </cell>
        </row>
        <row r="174">
          <cell r="B174" t="str">
            <v>SD-PAR-550-22SL-B5005</v>
          </cell>
          <cell r="X174"/>
        </row>
        <row r="175">
          <cell r="B175" t="str">
            <v>SD-PAR-550-22SL-B5005</v>
          </cell>
          <cell r="X175"/>
        </row>
        <row r="176">
          <cell r="B176" t="str">
            <v>SD-PAR-550-22SL-B5005</v>
          </cell>
          <cell r="X176"/>
        </row>
        <row r="177">
          <cell r="B177" t="str">
            <v>SD-PAR-550-22SL-B5006</v>
          </cell>
          <cell r="X177">
            <v>1</v>
          </cell>
        </row>
        <row r="178">
          <cell r="B178" t="str">
            <v>SD-PAR-550-22SL-B5006</v>
          </cell>
          <cell r="X178"/>
        </row>
        <row r="179">
          <cell r="B179" t="str">
            <v>SD-PAR-550-22SL-B5006</v>
          </cell>
          <cell r="X179"/>
        </row>
        <row r="180">
          <cell r="B180" t="str">
            <v>SD-PAR-550-22SL-B5006</v>
          </cell>
          <cell r="X180"/>
        </row>
        <row r="181">
          <cell r="B181" t="str">
            <v>SD-PAR-550-22SL-B5007</v>
          </cell>
          <cell r="X181">
            <v>1</v>
          </cell>
        </row>
        <row r="182">
          <cell r="B182" t="str">
            <v>SD-PAR-550-22SL-B5007</v>
          </cell>
          <cell r="X182"/>
        </row>
        <row r="183">
          <cell r="B183" t="str">
            <v>SD-PAR-550-22SL-B5007</v>
          </cell>
          <cell r="X183"/>
        </row>
        <row r="184">
          <cell r="B184" t="str">
            <v>SD-PAR-550-22SL-B5007</v>
          </cell>
          <cell r="X184"/>
        </row>
        <row r="185">
          <cell r="B185" t="str">
            <v>SD-PAR-550-22SL-B5008</v>
          </cell>
          <cell r="X185">
            <v>1</v>
          </cell>
        </row>
        <row r="186">
          <cell r="B186" t="str">
            <v>SD-PAR-550-22SL-B5008</v>
          </cell>
          <cell r="X186"/>
        </row>
        <row r="187">
          <cell r="B187" t="str">
            <v>SD-PAR-550-22SL-B5008</v>
          </cell>
          <cell r="X187"/>
        </row>
        <row r="188">
          <cell r="B188" t="str">
            <v>SD-PAR-550-22SL-B5008</v>
          </cell>
          <cell r="X188"/>
        </row>
        <row r="189">
          <cell r="B189" t="str">
            <v>SD-PAR-550-22SL-B5009</v>
          </cell>
          <cell r="X189">
            <v>1</v>
          </cell>
        </row>
        <row r="190">
          <cell r="B190" t="str">
            <v>SD-PAR-550-22SL-B5009</v>
          </cell>
          <cell r="X190"/>
        </row>
        <row r="191">
          <cell r="B191" t="str">
            <v>SD-PAR-550-22SL-B5009</v>
          </cell>
          <cell r="X191"/>
        </row>
        <row r="192">
          <cell r="B192" t="str">
            <v>SD-PAR-550-22SL-B5009</v>
          </cell>
          <cell r="X192"/>
        </row>
        <row r="193">
          <cell r="B193" t="str">
            <v>SD-PAR-550-22SL-B5010</v>
          </cell>
          <cell r="X193">
            <v>1</v>
          </cell>
        </row>
        <row r="194">
          <cell r="B194" t="str">
            <v>SD-PAR-550-22SL-B5010</v>
          </cell>
          <cell r="X194"/>
        </row>
        <row r="195">
          <cell r="B195" t="str">
            <v>SD-PAR-550-22SL-B5010</v>
          </cell>
          <cell r="X195"/>
        </row>
        <row r="196">
          <cell r="B196" t="str">
            <v>SD-PAR-550-22SL-B5010</v>
          </cell>
          <cell r="X196"/>
        </row>
        <row r="197">
          <cell r="B197" t="str">
            <v>SD-PAR-550-22SL-B5011</v>
          </cell>
          <cell r="X197">
            <v>1</v>
          </cell>
        </row>
        <row r="198">
          <cell r="B198" t="str">
            <v>SD-PAR-550-22SL-B5011</v>
          </cell>
          <cell r="X198"/>
        </row>
        <row r="199">
          <cell r="B199" t="str">
            <v>SD-PAR-550-22SL-B5011</v>
          </cell>
          <cell r="X199"/>
        </row>
        <row r="200">
          <cell r="B200" t="str">
            <v>SD-PAR-550-22SL-B5011</v>
          </cell>
          <cell r="X200"/>
        </row>
        <row r="201">
          <cell r="B201" t="str">
            <v>SD-PAR-550-22SL-B5012</v>
          </cell>
          <cell r="X201">
            <v>1</v>
          </cell>
        </row>
        <row r="202">
          <cell r="B202" t="str">
            <v>SD-PAR-550-22SL-B5012</v>
          </cell>
          <cell r="X202"/>
        </row>
        <row r="203">
          <cell r="B203" t="str">
            <v>SD-PAR-550-22SL-B5012</v>
          </cell>
          <cell r="X203"/>
        </row>
        <row r="204">
          <cell r="B204" t="str">
            <v>SD-PAR-550-22-C001</v>
          </cell>
          <cell r="X204">
            <v>1</v>
          </cell>
        </row>
        <row r="205">
          <cell r="B205" t="str">
            <v>SD-PAR-550-22-C001</v>
          </cell>
          <cell r="X205"/>
        </row>
        <row r="206">
          <cell r="B206" t="str">
            <v>SD-PAR-550-22-C001</v>
          </cell>
          <cell r="X206"/>
        </row>
        <row r="207">
          <cell r="B207" t="str">
            <v>SD-PAR-550-22-C001</v>
          </cell>
          <cell r="X207"/>
        </row>
        <row r="208">
          <cell r="B208" t="str">
            <v>SD-PAR-550-22-C001</v>
          </cell>
          <cell r="X208"/>
        </row>
        <row r="209">
          <cell r="B209" t="str">
            <v>SD-PAR-550-22-C001</v>
          </cell>
          <cell r="X209"/>
        </row>
        <row r="210">
          <cell r="B210" t="str">
            <v>SD-PAR-550-22-C001</v>
          </cell>
          <cell r="X210"/>
        </row>
        <row r="211">
          <cell r="B211" t="str">
            <v>SD-PAR-550-22-C001</v>
          </cell>
          <cell r="X211"/>
        </row>
        <row r="212">
          <cell r="B212" t="str">
            <v>SD-PAR-550-22-C001</v>
          </cell>
          <cell r="X212"/>
        </row>
        <row r="213">
          <cell r="B213" t="str">
            <v>SD-PAR-550-22-C001</v>
          </cell>
          <cell r="X213"/>
        </row>
        <row r="214">
          <cell r="B214" t="str">
            <v>SD-PAR-550-22-C001</v>
          </cell>
          <cell r="X214"/>
        </row>
        <row r="215">
          <cell r="B215" t="str">
            <v>SD-PAR-550-22-C001</v>
          </cell>
          <cell r="X215"/>
        </row>
        <row r="216">
          <cell r="B216" t="str">
            <v>SD-PAR-550-22-C001</v>
          </cell>
          <cell r="X216"/>
        </row>
        <row r="217">
          <cell r="B217" t="str">
            <v>SD-PAR-550-22-C001</v>
          </cell>
          <cell r="X217"/>
        </row>
        <row r="218">
          <cell r="B218" t="str">
            <v>SD-PAR-550-22-C001</v>
          </cell>
          <cell r="X218"/>
        </row>
        <row r="219">
          <cell r="B219" t="str">
            <v>SD-PAR-550-22-C001</v>
          </cell>
          <cell r="X219"/>
        </row>
        <row r="220">
          <cell r="B220" t="str">
            <v>SD-PAR-550-22-C001</v>
          </cell>
          <cell r="X220"/>
        </row>
        <row r="221">
          <cell r="B221" t="str">
            <v>SD-PAR-550-22-C001</v>
          </cell>
          <cell r="X221"/>
        </row>
        <row r="222">
          <cell r="B222" t="str">
            <v>SD-PAR-550-22-C001</v>
          </cell>
          <cell r="X222"/>
        </row>
        <row r="223">
          <cell r="B223" t="str">
            <v>SD-PAR-550-22-C001</v>
          </cell>
          <cell r="X223"/>
        </row>
        <row r="224">
          <cell r="B224" t="str">
            <v>SD-PAR-550-22-C002</v>
          </cell>
          <cell r="X224">
            <v>1.1176470588235294</v>
          </cell>
        </row>
        <row r="225">
          <cell r="B225" t="str">
            <v>SD-PAR-550-22-C002</v>
          </cell>
          <cell r="X225"/>
        </row>
        <row r="226">
          <cell r="B226" t="str">
            <v>SD-PAR-550-22-C002</v>
          </cell>
          <cell r="X226"/>
        </row>
        <row r="227">
          <cell r="B227" t="str">
            <v>SD-PAR-550-22-C002</v>
          </cell>
          <cell r="X227"/>
        </row>
        <row r="228">
          <cell r="B228" t="str">
            <v>SD-PAR-550-22-C002</v>
          </cell>
          <cell r="X228"/>
        </row>
        <row r="229">
          <cell r="B229" t="str">
            <v>SD-PAR-550-22-C002</v>
          </cell>
          <cell r="X229"/>
        </row>
        <row r="230">
          <cell r="B230" t="str">
            <v>SD-PAR-550-22-C002</v>
          </cell>
          <cell r="X230"/>
        </row>
        <row r="231">
          <cell r="B231" t="str">
            <v>SD-PAR-550-22-C002</v>
          </cell>
          <cell r="X231"/>
        </row>
        <row r="232">
          <cell r="B232" t="str">
            <v>SD-PAR-550-22-C002</v>
          </cell>
          <cell r="X232"/>
        </row>
        <row r="233">
          <cell r="B233" t="str">
            <v>SD-PAR-550-22-C002</v>
          </cell>
          <cell r="X233"/>
        </row>
        <row r="234">
          <cell r="B234" t="str">
            <v>SD-PAR-550-22-C002</v>
          </cell>
          <cell r="X234"/>
        </row>
        <row r="235">
          <cell r="B235" t="str">
            <v>SD-PAR-550-22-C002</v>
          </cell>
          <cell r="X235"/>
        </row>
        <row r="236">
          <cell r="B236" t="str">
            <v>SD-PAR-550-22-C003</v>
          </cell>
          <cell r="X236">
            <v>1</v>
          </cell>
        </row>
        <row r="237">
          <cell r="B237" t="str">
            <v>SD-PAR-550-22-C003</v>
          </cell>
          <cell r="X237"/>
        </row>
        <row r="238">
          <cell r="B238" t="str">
            <v>SD-PAR-550-22-C003</v>
          </cell>
          <cell r="X238"/>
        </row>
        <row r="239">
          <cell r="B239" t="str">
            <v>SD-PAR-550-22-C003</v>
          </cell>
          <cell r="X239"/>
        </row>
        <row r="240">
          <cell r="B240" t="str">
            <v>SD-PAR-550-22-C003</v>
          </cell>
          <cell r="X240"/>
        </row>
        <row r="241">
          <cell r="B241" t="str">
            <v>SD-PAR-550-22-C003</v>
          </cell>
          <cell r="X241"/>
        </row>
        <row r="242">
          <cell r="B242" t="str">
            <v>SD-PAR-550-22-C003</v>
          </cell>
          <cell r="X242"/>
        </row>
        <row r="243">
          <cell r="B243" t="str">
            <v>SD-PAR-550-22-C003</v>
          </cell>
          <cell r="X243"/>
        </row>
        <row r="244">
          <cell r="B244" t="str">
            <v>SD-PAR-550-22-C003</v>
          </cell>
          <cell r="X244"/>
        </row>
        <row r="245">
          <cell r="B245" t="str">
            <v>SD-PAR-550-22-C003</v>
          </cell>
          <cell r="X245"/>
        </row>
        <row r="246">
          <cell r="B246" t="str">
            <v>SD-PAR-550-22-C003</v>
          </cell>
          <cell r="X246"/>
        </row>
        <row r="247">
          <cell r="B247" t="str">
            <v>SD-PAR-550-22-C003</v>
          </cell>
          <cell r="X247"/>
        </row>
        <row r="248">
          <cell r="B248" t="str">
            <v>SD-PAR-550-22-C003</v>
          </cell>
          <cell r="X248"/>
        </row>
        <row r="249">
          <cell r="B249" t="str">
            <v>SD-PAR-550-22-C003</v>
          </cell>
          <cell r="X249"/>
        </row>
        <row r="250">
          <cell r="B250" t="str">
            <v>SD-PAR-550-22-C003</v>
          </cell>
          <cell r="X250"/>
        </row>
        <row r="251">
          <cell r="B251" t="str">
            <v>SD-PAR-550-22-C003</v>
          </cell>
          <cell r="X251"/>
        </row>
        <row r="252">
          <cell r="B252" t="str">
            <v>SD-PAR-550-22-C003</v>
          </cell>
          <cell r="X252"/>
        </row>
        <row r="253">
          <cell r="B253" t="str">
            <v>SD-PAR-550-22-C003</v>
          </cell>
          <cell r="X253"/>
        </row>
        <row r="254">
          <cell r="B254" t="str">
            <v>SD-PAR-550-22-C003</v>
          </cell>
          <cell r="X254"/>
        </row>
        <row r="255">
          <cell r="B255" t="str">
            <v>SD-PAR-550-22-C003</v>
          </cell>
          <cell r="X255"/>
        </row>
        <row r="256">
          <cell r="B256" t="str">
            <v>SD-PAR-550-22-C003</v>
          </cell>
          <cell r="X256"/>
        </row>
        <row r="257">
          <cell r="B257" t="str">
            <v>SD-PAR-550-22-C003</v>
          </cell>
          <cell r="X257"/>
        </row>
        <row r="258">
          <cell r="B258" t="str">
            <v>SD-PAR-550-22-C003</v>
          </cell>
          <cell r="X258"/>
        </row>
        <row r="259">
          <cell r="B259" t="str">
            <v>SD-PAR-550-22-C003</v>
          </cell>
          <cell r="X259"/>
        </row>
        <row r="260">
          <cell r="B260" t="str">
            <v>SD-PAR-550-22-C003</v>
          </cell>
          <cell r="X260"/>
        </row>
        <row r="261">
          <cell r="B261" t="str">
            <v>SD-PAR-550-22-C003</v>
          </cell>
          <cell r="X261"/>
        </row>
        <row r="262">
          <cell r="B262" t="str">
            <v>SD-PAR-550-22-C003</v>
          </cell>
          <cell r="X262"/>
        </row>
        <row r="263">
          <cell r="B263" t="str">
            <v>SD-PAR-550-22-C004</v>
          </cell>
          <cell r="X263">
            <v>1.1428571428571428</v>
          </cell>
        </row>
        <row r="264">
          <cell r="B264" t="str">
            <v>SD-PAR-550-22-C004</v>
          </cell>
          <cell r="X264"/>
        </row>
        <row r="265">
          <cell r="B265" t="str">
            <v>SD-PAR-550-22-C004</v>
          </cell>
          <cell r="X265"/>
        </row>
        <row r="266">
          <cell r="B266" t="str">
            <v>SD-PAR-550-22-C004</v>
          </cell>
          <cell r="X266"/>
        </row>
        <row r="267">
          <cell r="B267" t="str">
            <v>SD-PAR-550-22-C004</v>
          </cell>
          <cell r="X267"/>
        </row>
        <row r="268">
          <cell r="B268" t="str">
            <v>SD-PAR-550-22-C004</v>
          </cell>
          <cell r="X268"/>
        </row>
        <row r="269">
          <cell r="B269" t="str">
            <v>SD-PAR-550-22-C004</v>
          </cell>
          <cell r="X269"/>
        </row>
        <row r="270">
          <cell r="B270" t="str">
            <v>SD-PAR-550-22-C004</v>
          </cell>
          <cell r="X270"/>
        </row>
        <row r="271">
          <cell r="B271" t="str">
            <v>SD-PAR-550-22-C004</v>
          </cell>
          <cell r="X271"/>
        </row>
        <row r="272">
          <cell r="B272" t="str">
            <v>SD-PAR-550-22-C005</v>
          </cell>
          <cell r="X272">
            <v>1</v>
          </cell>
        </row>
        <row r="273">
          <cell r="B273" t="str">
            <v>SD-PAR-550-22-C005</v>
          </cell>
          <cell r="X273"/>
        </row>
        <row r="274">
          <cell r="B274" t="str">
            <v>SD-PAR-550-22-C005</v>
          </cell>
          <cell r="X274"/>
        </row>
        <row r="275">
          <cell r="B275" t="str">
            <v>SD-PAR-550-22-C005</v>
          </cell>
          <cell r="X275"/>
        </row>
        <row r="276">
          <cell r="B276" t="str">
            <v>SD-PAR-550-22-C005</v>
          </cell>
          <cell r="X276"/>
        </row>
        <row r="277">
          <cell r="B277" t="str">
            <v>SD-PAR-550-22-C005</v>
          </cell>
          <cell r="X277"/>
        </row>
        <row r="278">
          <cell r="B278" t="str">
            <v>SD-PAR-550-22-C005</v>
          </cell>
          <cell r="X278"/>
        </row>
        <row r="279">
          <cell r="B279" t="str">
            <v>SD-PAR-550-22-C005</v>
          </cell>
          <cell r="X279"/>
        </row>
        <row r="280">
          <cell r="B280" t="str">
            <v>SD-PAR-550-22-C005</v>
          </cell>
          <cell r="X280"/>
        </row>
        <row r="281">
          <cell r="B281" t="str">
            <v>SD-PAR-550-22-C005</v>
          </cell>
          <cell r="X281"/>
        </row>
        <row r="282">
          <cell r="B282" t="str">
            <v>SD-PAR-550-22-C005</v>
          </cell>
          <cell r="X282"/>
        </row>
        <row r="283">
          <cell r="B283" t="str">
            <v>SD-PAR-550-22-C005</v>
          </cell>
          <cell r="X283"/>
        </row>
        <row r="284">
          <cell r="B284" t="str">
            <v>SD-PAR-550-22-C005</v>
          </cell>
          <cell r="X284"/>
        </row>
        <row r="285">
          <cell r="B285" t="str">
            <v>SD-PAR-550-22-C005</v>
          </cell>
          <cell r="X285"/>
        </row>
        <row r="286">
          <cell r="B286" t="str">
            <v>SD-PAR-550-22-C005</v>
          </cell>
          <cell r="X286"/>
        </row>
        <row r="287">
          <cell r="B287" t="str">
            <v>SD-PAR-550-22-C005</v>
          </cell>
          <cell r="X287"/>
        </row>
        <row r="288">
          <cell r="B288" t="str">
            <v>SD-PAR-550-22-C005</v>
          </cell>
          <cell r="X288"/>
        </row>
        <row r="289">
          <cell r="B289" t="str">
            <v>SD-PAR-550-22-C005</v>
          </cell>
          <cell r="X289"/>
        </row>
        <row r="290">
          <cell r="B290" t="str">
            <v>SD-PAR-550-22-C005</v>
          </cell>
          <cell r="X290"/>
        </row>
        <row r="291">
          <cell r="B291" t="str">
            <v>SD-PAR-550-22-C005</v>
          </cell>
          <cell r="X291"/>
        </row>
        <row r="292">
          <cell r="B292" t="str">
            <v>SD-PAR-550-22-C005</v>
          </cell>
          <cell r="X292"/>
        </row>
        <row r="293">
          <cell r="B293" t="str">
            <v>SD-PAR-550-22-C005</v>
          </cell>
          <cell r="X293"/>
        </row>
        <row r="294">
          <cell r="B294" t="str">
            <v>SD-PAR-550-22-C005</v>
          </cell>
          <cell r="X294"/>
        </row>
        <row r="295">
          <cell r="B295" t="str">
            <v>SD-PAR-550-22-C005</v>
          </cell>
          <cell r="X295"/>
        </row>
        <row r="296">
          <cell r="B296" t="str">
            <v>SD-PAR-550-22-C005</v>
          </cell>
          <cell r="X296"/>
        </row>
        <row r="297">
          <cell r="B297" t="str">
            <v>SD-PAR-550-22-C005</v>
          </cell>
          <cell r="X297"/>
        </row>
        <row r="298">
          <cell r="B298" t="str">
            <v>SD-PAR-550-22-C005</v>
          </cell>
          <cell r="X298"/>
        </row>
        <row r="299">
          <cell r="B299" t="str">
            <v>SD-PAR-550-22-C005</v>
          </cell>
          <cell r="X299"/>
        </row>
        <row r="300">
          <cell r="B300" t="str">
            <v>SD-PAR-550-22-C005</v>
          </cell>
          <cell r="X300"/>
        </row>
        <row r="301">
          <cell r="B301" t="str">
            <v>SD-PAR-550-22-C005</v>
          </cell>
          <cell r="X301"/>
        </row>
        <row r="302">
          <cell r="B302" t="str">
            <v>SD-PAR-550-22-C005</v>
          </cell>
          <cell r="X302"/>
        </row>
        <row r="303">
          <cell r="B303" t="str">
            <v>SD-PAR-550-22-C005</v>
          </cell>
          <cell r="X303"/>
        </row>
        <row r="304">
          <cell r="B304" t="str">
            <v>SD-PAR-550-22-C005</v>
          </cell>
          <cell r="X304"/>
        </row>
        <row r="305">
          <cell r="B305" t="str">
            <v>SD-PAR-550-22-C005</v>
          </cell>
          <cell r="X305"/>
        </row>
        <row r="306">
          <cell r="B306" t="str">
            <v>SD-PAR-550-22-C005</v>
          </cell>
          <cell r="X306"/>
        </row>
        <row r="307">
          <cell r="B307" t="str">
            <v>SD-PAR-550-22-C005</v>
          </cell>
          <cell r="X307"/>
        </row>
        <row r="308">
          <cell r="B308" t="str">
            <v>SD-PAR-550-22-C005</v>
          </cell>
          <cell r="X308"/>
        </row>
        <row r="309">
          <cell r="B309" t="str">
            <v>SD-PAR-550-22-C005</v>
          </cell>
          <cell r="X309"/>
        </row>
        <row r="310">
          <cell r="B310" t="str">
            <v>SD-PAR-550-22-C005</v>
          </cell>
          <cell r="X310"/>
        </row>
        <row r="311">
          <cell r="B311" t="str">
            <v>SD-PAR-550-22-C005</v>
          </cell>
          <cell r="X311"/>
        </row>
        <row r="312">
          <cell r="B312" t="str">
            <v>SD-PAR-550-22-C006</v>
          </cell>
          <cell r="X312">
            <v>1.1333333333333333</v>
          </cell>
        </row>
        <row r="313">
          <cell r="B313" t="str">
            <v>SD-PAR-550-22-C006</v>
          </cell>
          <cell r="X313"/>
        </row>
        <row r="314">
          <cell r="B314" t="str">
            <v>SD-PAR-550-22-C006</v>
          </cell>
          <cell r="X314"/>
        </row>
        <row r="315">
          <cell r="B315" t="str">
            <v>SD-PAR-550-22-C006</v>
          </cell>
          <cell r="X315"/>
        </row>
        <row r="316">
          <cell r="B316" t="str">
            <v>SD-PAR-550-22-C006</v>
          </cell>
          <cell r="X316"/>
        </row>
        <row r="317">
          <cell r="B317" t="str">
            <v>SD-PAR-550-22-C006</v>
          </cell>
          <cell r="X317"/>
        </row>
        <row r="318">
          <cell r="B318" t="str">
            <v>SD-PAR-550-22-C006</v>
          </cell>
          <cell r="X318"/>
        </row>
        <row r="319">
          <cell r="B319" t="str">
            <v>SD-PAR-550-22-C006</v>
          </cell>
          <cell r="X319"/>
        </row>
        <row r="320">
          <cell r="B320" t="str">
            <v>SD-PAR-550-22-C006</v>
          </cell>
          <cell r="X320"/>
        </row>
        <row r="321">
          <cell r="B321" t="str">
            <v>SD-PAR-550-22-C006</v>
          </cell>
          <cell r="X321"/>
        </row>
        <row r="322">
          <cell r="B322" t="str">
            <v>SD-PAR-550-22-C006</v>
          </cell>
          <cell r="X322"/>
        </row>
        <row r="323">
          <cell r="B323" t="str">
            <v>SD-PAR-550-22-C006</v>
          </cell>
          <cell r="X323"/>
        </row>
        <row r="324">
          <cell r="B324" t="str">
            <v>SD-PAR-550-22-C006</v>
          </cell>
          <cell r="X324"/>
        </row>
        <row r="325">
          <cell r="B325" t="str">
            <v>SD-PAR-550-22-C015</v>
          </cell>
          <cell r="X325">
            <v>1</v>
          </cell>
        </row>
        <row r="326">
          <cell r="B326" t="str">
            <v>SD-PAR-550-22-C015</v>
          </cell>
          <cell r="X326"/>
        </row>
        <row r="327">
          <cell r="B327" t="str">
            <v>SD-PAR-550-22-C015</v>
          </cell>
          <cell r="X327"/>
        </row>
        <row r="328">
          <cell r="B328" t="str">
            <v>SD-PAR-550-22-C015</v>
          </cell>
          <cell r="X328"/>
        </row>
        <row r="329">
          <cell r="B329" t="str">
            <v>SD-PAR-550-22-C015</v>
          </cell>
          <cell r="X329"/>
        </row>
        <row r="330">
          <cell r="B330" t="str">
            <v>SD-PAR-550-22-C015</v>
          </cell>
          <cell r="X330"/>
        </row>
        <row r="331">
          <cell r="B331" t="str">
            <v>SD-PAR-550-22-C015</v>
          </cell>
          <cell r="X331"/>
        </row>
        <row r="332">
          <cell r="B332" t="str">
            <v>SD-PAR-550-22-C015</v>
          </cell>
          <cell r="X332"/>
        </row>
        <row r="333">
          <cell r="B333" t="str">
            <v>SD-PAR-550-22-C015</v>
          </cell>
          <cell r="X333"/>
        </row>
        <row r="334">
          <cell r="B334" t="str">
            <v>SD-PAR-550-22-C015</v>
          </cell>
          <cell r="X334"/>
        </row>
        <row r="335">
          <cell r="B335" t="str">
            <v>SD-PAR-550-22-C015</v>
          </cell>
          <cell r="X335"/>
        </row>
        <row r="336">
          <cell r="B336" t="str">
            <v>SD-PAR-550-22-C015</v>
          </cell>
          <cell r="X336"/>
        </row>
        <row r="337">
          <cell r="B337" t="str">
            <v>SD-PAR-550-22-C015</v>
          </cell>
          <cell r="X337"/>
        </row>
        <row r="338">
          <cell r="B338" t="str">
            <v>SD-PAR-550-22-C015</v>
          </cell>
          <cell r="X338"/>
        </row>
        <row r="339">
          <cell r="B339" t="str">
            <v>SD-PAR-550-22-C015</v>
          </cell>
          <cell r="X339"/>
        </row>
        <row r="340">
          <cell r="B340" t="str">
            <v>SD-PAR-550-22-C015</v>
          </cell>
          <cell r="X340"/>
        </row>
        <row r="341">
          <cell r="B341" t="str">
            <v>SD-PAR-550-22-C015</v>
          </cell>
          <cell r="X341"/>
        </row>
        <row r="342">
          <cell r="B342" t="str">
            <v>SD-PAR-550-22-C015</v>
          </cell>
          <cell r="X342"/>
        </row>
        <row r="343">
          <cell r="B343" t="str">
            <v>SD-PAR-550-22-C015</v>
          </cell>
          <cell r="X343"/>
        </row>
        <row r="344">
          <cell r="B344" t="str">
            <v>SD-PAR-550-22-C015</v>
          </cell>
          <cell r="X344"/>
        </row>
        <row r="345">
          <cell r="B345" t="str">
            <v>SD-PAR-550-22-C015</v>
          </cell>
          <cell r="X345"/>
        </row>
        <row r="346">
          <cell r="B346" t="str">
            <v>SD-PAR-550-22-C016</v>
          </cell>
          <cell r="X346">
            <v>1.1111111111111112</v>
          </cell>
        </row>
        <row r="347">
          <cell r="B347" t="str">
            <v>SD-PAR-550-22-C016</v>
          </cell>
          <cell r="X347"/>
        </row>
        <row r="348">
          <cell r="B348" t="str">
            <v>SD-PAR-550-22-C016</v>
          </cell>
          <cell r="X348"/>
        </row>
        <row r="349">
          <cell r="B349" t="str">
            <v>SD-PAR-550-22-C016</v>
          </cell>
          <cell r="X349"/>
        </row>
        <row r="350">
          <cell r="B350" t="str">
            <v>SD-PAR-550-22-C016</v>
          </cell>
          <cell r="X350"/>
        </row>
        <row r="351">
          <cell r="B351" t="str">
            <v>SD-PAR-550-22-C016</v>
          </cell>
          <cell r="X351"/>
        </row>
        <row r="352">
          <cell r="B352" t="str">
            <v>SD-PAR-550-22-C016</v>
          </cell>
          <cell r="X352"/>
        </row>
        <row r="353">
          <cell r="B353" t="str">
            <v>SD-PAR-550-22-C016</v>
          </cell>
          <cell r="X353"/>
        </row>
        <row r="354">
          <cell r="B354" t="str">
            <v>SD-PAR-550-22-C016</v>
          </cell>
          <cell r="X354"/>
        </row>
        <row r="355">
          <cell r="B355" t="str">
            <v>SD-PAR-550-22-C016</v>
          </cell>
          <cell r="X355"/>
        </row>
        <row r="356">
          <cell r="B356" t="str">
            <v>SD-PAR-550-22-C016</v>
          </cell>
          <cell r="X356"/>
        </row>
        <row r="357">
          <cell r="B357" t="str">
            <v>SD-PAR-550-22-C016</v>
          </cell>
          <cell r="X357"/>
        </row>
        <row r="358">
          <cell r="B358" t="str">
            <v>SD-PAR-550-22-C017</v>
          </cell>
          <cell r="X358">
            <v>1</v>
          </cell>
        </row>
        <row r="359">
          <cell r="B359" t="str">
            <v>SD-PAR-550-22-C017</v>
          </cell>
          <cell r="X359"/>
        </row>
        <row r="360">
          <cell r="B360" t="str">
            <v>SD-PAR-550-22-C017</v>
          </cell>
          <cell r="X360"/>
        </row>
        <row r="361">
          <cell r="B361" t="str">
            <v>SD-PAR-550-22-C017</v>
          </cell>
          <cell r="X361"/>
        </row>
        <row r="362">
          <cell r="B362" t="str">
            <v>SD-PAR-550-22-C017</v>
          </cell>
          <cell r="X362"/>
        </row>
        <row r="363">
          <cell r="B363" t="str">
            <v>SD-PAR-550-22-C017</v>
          </cell>
          <cell r="X363"/>
        </row>
        <row r="364">
          <cell r="B364" t="str">
            <v>SD-PAR-550-22-C017</v>
          </cell>
          <cell r="X364"/>
        </row>
        <row r="365">
          <cell r="B365" t="str">
            <v>SD-PAR-550-22-C017</v>
          </cell>
          <cell r="X365"/>
        </row>
        <row r="366">
          <cell r="B366" t="str">
            <v>SD-PAR-550-22-C017</v>
          </cell>
          <cell r="X366"/>
        </row>
        <row r="367">
          <cell r="B367" t="str">
            <v>SD-PAR-550-22-C017</v>
          </cell>
          <cell r="X367"/>
        </row>
        <row r="368">
          <cell r="B368" t="str">
            <v>SD-PAR-550-22-C017</v>
          </cell>
          <cell r="X368"/>
        </row>
        <row r="369">
          <cell r="B369" t="str">
            <v>SD-PAR-550-22-C017</v>
          </cell>
          <cell r="X369"/>
        </row>
        <row r="370">
          <cell r="B370" t="str">
            <v>SD-PAR-550-22-C017</v>
          </cell>
          <cell r="X370"/>
        </row>
        <row r="371">
          <cell r="B371" t="str">
            <v>SD-PAR-550-22-C017</v>
          </cell>
          <cell r="X371"/>
        </row>
        <row r="372">
          <cell r="B372" t="str">
            <v>SD-PAR-550-22-C017</v>
          </cell>
          <cell r="X372"/>
        </row>
        <row r="373">
          <cell r="B373" t="str">
            <v>SD-PAR-550-22-C017</v>
          </cell>
          <cell r="X373"/>
        </row>
        <row r="374">
          <cell r="B374" t="str">
            <v>SD-PAR-550-22-C017</v>
          </cell>
          <cell r="X374"/>
        </row>
        <row r="375">
          <cell r="B375" t="str">
            <v>SD-PAR-550-22-C017</v>
          </cell>
          <cell r="X375"/>
        </row>
        <row r="376">
          <cell r="B376" t="str">
            <v>SD-PAR-550-22-C017</v>
          </cell>
          <cell r="X376"/>
        </row>
        <row r="377">
          <cell r="B377" t="str">
            <v>SD-PAR-550-22-C017</v>
          </cell>
          <cell r="X377"/>
        </row>
        <row r="378">
          <cell r="B378" t="str">
            <v>SD-PAR-550-22-C017</v>
          </cell>
          <cell r="X378"/>
        </row>
        <row r="379">
          <cell r="B379" t="str">
            <v>SD-PAR-550-22-C017</v>
          </cell>
          <cell r="X379"/>
        </row>
        <row r="380">
          <cell r="B380" t="str">
            <v>SD-PAR-550-22-C017</v>
          </cell>
          <cell r="X380"/>
        </row>
        <row r="381">
          <cell r="B381" t="str">
            <v>SD-PAR-550-22-C018</v>
          </cell>
          <cell r="X381">
            <v>1.1111111111111112</v>
          </cell>
        </row>
        <row r="382">
          <cell r="B382" t="str">
            <v>SD-PAR-550-22-C018</v>
          </cell>
          <cell r="X382"/>
        </row>
        <row r="383">
          <cell r="B383" t="str">
            <v>SD-PAR-550-22-C018</v>
          </cell>
          <cell r="X383"/>
        </row>
        <row r="384">
          <cell r="B384" t="str">
            <v>SD-PAR-550-22-C018</v>
          </cell>
          <cell r="X384"/>
        </row>
        <row r="385">
          <cell r="B385" t="str">
            <v>SD-PAR-550-22-C018</v>
          </cell>
          <cell r="X385"/>
        </row>
        <row r="386">
          <cell r="B386" t="str">
            <v>SD-PAR-550-22-C018</v>
          </cell>
          <cell r="X386"/>
        </row>
        <row r="387">
          <cell r="B387" t="str">
            <v>SD-PAR-550-22-C018</v>
          </cell>
          <cell r="X387"/>
        </row>
        <row r="388">
          <cell r="B388" t="str">
            <v>SD-PAR-550-22-C018</v>
          </cell>
          <cell r="X388"/>
        </row>
        <row r="389">
          <cell r="B389" t="str">
            <v>SD-PAR-550-22-C018</v>
          </cell>
          <cell r="X389"/>
        </row>
        <row r="390">
          <cell r="B390" t="str">
            <v>SD-PAR-550-22-C018</v>
          </cell>
          <cell r="X390"/>
        </row>
        <row r="391">
          <cell r="B391" t="str">
            <v>SD-PAR-550-22-C018</v>
          </cell>
          <cell r="X391"/>
        </row>
        <row r="392">
          <cell r="B392" t="str">
            <v>SD-PAR-550-22-C019</v>
          </cell>
          <cell r="X392">
            <v>1</v>
          </cell>
        </row>
        <row r="393">
          <cell r="B393" t="str">
            <v>SD-PAR-550-22-C019</v>
          </cell>
          <cell r="X393"/>
        </row>
        <row r="394">
          <cell r="B394" t="str">
            <v>SD-PAR-550-22-C019</v>
          </cell>
          <cell r="X394"/>
        </row>
        <row r="395">
          <cell r="B395" t="str">
            <v>SD-PAR-550-22-C019</v>
          </cell>
          <cell r="X395"/>
        </row>
        <row r="396">
          <cell r="B396" t="str">
            <v>SD-PAR-550-22-C019</v>
          </cell>
          <cell r="X396"/>
        </row>
        <row r="397">
          <cell r="B397" t="str">
            <v>SD-PAR-550-22-C019</v>
          </cell>
          <cell r="X397"/>
        </row>
        <row r="398">
          <cell r="B398" t="str">
            <v>SD-PAR-550-22-C019</v>
          </cell>
          <cell r="X398"/>
        </row>
        <row r="399">
          <cell r="B399" t="str">
            <v>SD-PAR-550-22-C019</v>
          </cell>
          <cell r="X399"/>
        </row>
        <row r="400">
          <cell r="B400" t="str">
            <v>SD-PAR-550-22-C019</v>
          </cell>
          <cell r="X400"/>
        </row>
        <row r="401">
          <cell r="B401" t="str">
            <v>SD-PAR-550-22-C019</v>
          </cell>
          <cell r="X401"/>
        </row>
        <row r="402">
          <cell r="B402" t="str">
            <v>SD-PAR-550-22-C019</v>
          </cell>
          <cell r="X402"/>
        </row>
        <row r="403">
          <cell r="B403" t="str">
            <v>SD-PAR-550-22-C019</v>
          </cell>
          <cell r="X403"/>
        </row>
        <row r="404">
          <cell r="B404" t="str">
            <v>SD-PAR-550-22-C019</v>
          </cell>
          <cell r="X404"/>
        </row>
        <row r="405">
          <cell r="B405" t="str">
            <v>SD-PAR-550-22-C019</v>
          </cell>
          <cell r="X405"/>
        </row>
        <row r="406">
          <cell r="B406" t="str">
            <v>SD-PAR-550-22-C019</v>
          </cell>
          <cell r="X406"/>
        </row>
        <row r="407">
          <cell r="B407" t="str">
            <v>SD-PAR-550-22-C019</v>
          </cell>
          <cell r="X407"/>
        </row>
        <row r="408">
          <cell r="B408" t="str">
            <v>SD-PAR-550-22-C019</v>
          </cell>
          <cell r="X408"/>
        </row>
        <row r="409">
          <cell r="B409" t="str">
            <v>SD-PAR-550-22-C019</v>
          </cell>
          <cell r="X409"/>
        </row>
        <row r="410">
          <cell r="B410" t="str">
            <v>SD-PAR-550-22-C019</v>
          </cell>
          <cell r="X410"/>
        </row>
        <row r="411">
          <cell r="B411" t="str">
            <v>SD-PAR-550-22-C019</v>
          </cell>
          <cell r="X411"/>
        </row>
        <row r="412">
          <cell r="B412" t="str">
            <v>SD-PAR-550-22-C019</v>
          </cell>
          <cell r="X412"/>
        </row>
        <row r="413">
          <cell r="B413" t="str">
            <v>SD-PAR-550-22-C019</v>
          </cell>
          <cell r="X413"/>
        </row>
        <row r="414">
          <cell r="B414" t="str">
            <v>SD-PAR-550-22-C019</v>
          </cell>
          <cell r="X414"/>
        </row>
        <row r="415">
          <cell r="B415" t="str">
            <v>SD-PAR-550-22-C019</v>
          </cell>
          <cell r="X415"/>
        </row>
        <row r="416">
          <cell r="B416" t="str">
            <v>SD-PAR-550-22-C019</v>
          </cell>
          <cell r="X416"/>
        </row>
        <row r="417">
          <cell r="B417" t="str">
            <v>SD-PAR-550-22-C019</v>
          </cell>
          <cell r="X417"/>
        </row>
        <row r="418">
          <cell r="B418" t="str">
            <v>SD-PAR-550-22-C019</v>
          </cell>
          <cell r="X418"/>
        </row>
        <row r="419">
          <cell r="B419" t="str">
            <v>SD-PAR-550-22-C019</v>
          </cell>
          <cell r="X419"/>
        </row>
        <row r="420">
          <cell r="B420" t="str">
            <v>SD-PAR-550-22-C019</v>
          </cell>
          <cell r="X420"/>
        </row>
        <row r="421">
          <cell r="B421" t="str">
            <v>SD-PAR-550-22-C019</v>
          </cell>
          <cell r="X421"/>
        </row>
        <row r="422">
          <cell r="B422" t="str">
            <v>SD-PAR-550-22-C019</v>
          </cell>
          <cell r="X422"/>
        </row>
        <row r="423">
          <cell r="B423" t="str">
            <v>SD-PAR-550-22-C019</v>
          </cell>
          <cell r="X423"/>
        </row>
        <row r="424">
          <cell r="B424" t="str">
            <v>SD-PAR-550-22-C019</v>
          </cell>
          <cell r="X424"/>
        </row>
        <row r="425">
          <cell r="B425" t="str">
            <v>SD-PAR-550-22-C019</v>
          </cell>
          <cell r="X425"/>
        </row>
        <row r="426">
          <cell r="B426" t="str">
            <v>SD-PAR-550-22-C019</v>
          </cell>
          <cell r="X426"/>
        </row>
        <row r="427">
          <cell r="B427" t="str">
            <v>SD-PAR-550-22-C020</v>
          </cell>
          <cell r="X427">
            <v>1.0869565217391304</v>
          </cell>
        </row>
        <row r="428">
          <cell r="B428" t="str">
            <v>SD-PAR-550-22-C020</v>
          </cell>
          <cell r="X428"/>
        </row>
        <row r="429">
          <cell r="B429" t="str">
            <v>SD-PAR-550-22-C020</v>
          </cell>
          <cell r="X429"/>
        </row>
        <row r="430">
          <cell r="B430" t="str">
            <v>SD-PAR-550-22-C020</v>
          </cell>
          <cell r="X430"/>
        </row>
        <row r="431">
          <cell r="B431" t="str">
            <v>SD-PAR-550-22-C020</v>
          </cell>
          <cell r="X431"/>
        </row>
        <row r="432">
          <cell r="B432" t="str">
            <v>SD-PAR-550-22-C020</v>
          </cell>
          <cell r="X432"/>
        </row>
        <row r="433">
          <cell r="B433" t="str">
            <v>SD-PAR-550-22-C020</v>
          </cell>
          <cell r="X433"/>
        </row>
        <row r="434">
          <cell r="B434" t="str">
            <v>SD-PAR-550-22-C020</v>
          </cell>
          <cell r="X434"/>
        </row>
        <row r="435">
          <cell r="B435" t="str">
            <v>SD-PAR-550-22-C020</v>
          </cell>
          <cell r="X435"/>
        </row>
        <row r="436">
          <cell r="B436" t="str">
            <v>SD-PAR-550-22-C020</v>
          </cell>
          <cell r="X436"/>
        </row>
        <row r="437">
          <cell r="B437" t="str">
            <v>SD-PAR-550-22-C020</v>
          </cell>
          <cell r="X437"/>
        </row>
        <row r="438">
          <cell r="B438" t="str">
            <v>SD-PAR-550-22-C020</v>
          </cell>
          <cell r="X438"/>
        </row>
        <row r="439">
          <cell r="B439" t="str">
            <v>SD-PAR-550-22-C020</v>
          </cell>
          <cell r="X439"/>
        </row>
        <row r="440">
          <cell r="B440" t="str">
            <v>SD-PAR-550-22-C029</v>
          </cell>
          <cell r="X440">
            <v>1</v>
          </cell>
        </row>
        <row r="441">
          <cell r="B441" t="str">
            <v>SD-PAR-550-22-C029</v>
          </cell>
          <cell r="X441"/>
        </row>
        <row r="442">
          <cell r="B442" t="str">
            <v>SD-PAR-550-22-C029</v>
          </cell>
          <cell r="X442"/>
        </row>
        <row r="443">
          <cell r="B443" t="str">
            <v>SD-PAR-550-22-C029</v>
          </cell>
          <cell r="X443"/>
        </row>
        <row r="444">
          <cell r="B444" t="str">
            <v>SD-PAR-550-22-C029</v>
          </cell>
          <cell r="X444"/>
        </row>
        <row r="445">
          <cell r="B445" t="str">
            <v>SD-PAR-550-22-C029</v>
          </cell>
          <cell r="X445"/>
        </row>
        <row r="446">
          <cell r="B446" t="str">
            <v>SD-PAR-550-22-C029</v>
          </cell>
          <cell r="X446"/>
        </row>
        <row r="447">
          <cell r="B447" t="str">
            <v>SD-PAR-550-22-C029</v>
          </cell>
          <cell r="X447"/>
        </row>
        <row r="448">
          <cell r="B448" t="str">
            <v>SD-PAR-550-22-C029</v>
          </cell>
          <cell r="X448"/>
        </row>
        <row r="449">
          <cell r="B449" t="str">
            <v>SD-PAR-550-22-C029</v>
          </cell>
          <cell r="X449"/>
        </row>
        <row r="450">
          <cell r="B450" t="str">
            <v>SD-PAR-550-22-C029</v>
          </cell>
          <cell r="X450"/>
        </row>
        <row r="451">
          <cell r="B451" t="str">
            <v>SD-PAR-550-22-C029</v>
          </cell>
          <cell r="X451"/>
        </row>
        <row r="452">
          <cell r="B452" t="str">
            <v>SD-PAR-550-22-C029</v>
          </cell>
          <cell r="X452"/>
        </row>
        <row r="453">
          <cell r="B453" t="str">
            <v>SD-PAR-550-22-C029</v>
          </cell>
          <cell r="X453"/>
        </row>
        <row r="454">
          <cell r="B454" t="str">
            <v>SD-PAR-550-22-C029</v>
          </cell>
          <cell r="X454"/>
        </row>
        <row r="455">
          <cell r="B455" t="str">
            <v>SD-PAR-550-22-C029</v>
          </cell>
          <cell r="X455"/>
        </row>
        <row r="456">
          <cell r="B456" t="str">
            <v>SD-PAR-550-22-C029</v>
          </cell>
          <cell r="X456"/>
        </row>
        <row r="457">
          <cell r="B457" t="str">
            <v>SD-PAR-550-22-C029</v>
          </cell>
          <cell r="X457"/>
        </row>
        <row r="458">
          <cell r="B458" t="str">
            <v>SD-PAR-550-22-C029</v>
          </cell>
          <cell r="X458"/>
        </row>
        <row r="459">
          <cell r="B459" t="str">
            <v>SD-PAR-550-22-C029</v>
          </cell>
          <cell r="X459"/>
        </row>
        <row r="460">
          <cell r="B460" t="str">
            <v>SD-PAR-550-22-C029</v>
          </cell>
          <cell r="X460"/>
        </row>
        <row r="461">
          <cell r="B461" t="str">
            <v>SD-PAR-550-22-C029</v>
          </cell>
          <cell r="X461"/>
        </row>
        <row r="462">
          <cell r="B462" t="str">
            <v>SD-PAR-550-22-C030</v>
          </cell>
          <cell r="X462">
            <v>1.1052631578947369</v>
          </cell>
        </row>
        <row r="463">
          <cell r="B463" t="str">
            <v>SD-PAR-550-22-C030</v>
          </cell>
          <cell r="X463"/>
        </row>
        <row r="464">
          <cell r="B464" t="str">
            <v>SD-PAR-550-22-C030</v>
          </cell>
          <cell r="X464"/>
        </row>
        <row r="465">
          <cell r="B465" t="str">
            <v>SD-PAR-550-22-C030</v>
          </cell>
          <cell r="X465"/>
        </row>
        <row r="466">
          <cell r="B466" t="str">
            <v>SD-PAR-550-22-C030</v>
          </cell>
          <cell r="X466"/>
        </row>
        <row r="467">
          <cell r="B467" t="str">
            <v>SD-PAR-550-22-C030</v>
          </cell>
          <cell r="X467"/>
        </row>
        <row r="468">
          <cell r="B468" t="str">
            <v>SD-PAR-550-22-C030</v>
          </cell>
          <cell r="X468"/>
        </row>
        <row r="469">
          <cell r="B469" t="str">
            <v>SD-PAR-550-22-C030</v>
          </cell>
          <cell r="X469"/>
        </row>
        <row r="470">
          <cell r="B470" t="str">
            <v>SD-PAR-550-22-C030</v>
          </cell>
          <cell r="X470"/>
        </row>
        <row r="471">
          <cell r="B471" t="str">
            <v>SD-PAR-550-22-C030</v>
          </cell>
          <cell r="X471"/>
        </row>
        <row r="472">
          <cell r="B472" t="str">
            <v>SD-PAR-550-22-C030</v>
          </cell>
          <cell r="X472"/>
        </row>
        <row r="473">
          <cell r="B473" t="str">
            <v>SD-PAR-550-22-C031</v>
          </cell>
          <cell r="X473">
            <v>1</v>
          </cell>
        </row>
        <row r="474">
          <cell r="B474" t="str">
            <v>SD-PAR-550-22-C031</v>
          </cell>
          <cell r="X474"/>
        </row>
        <row r="475">
          <cell r="B475" t="str">
            <v>SD-PAR-550-22-C031</v>
          </cell>
          <cell r="X475"/>
        </row>
        <row r="476">
          <cell r="B476" t="str">
            <v>SD-PAR-550-22-C031</v>
          </cell>
          <cell r="X476"/>
        </row>
        <row r="477">
          <cell r="B477" t="str">
            <v>SD-PAR-550-22-C031</v>
          </cell>
          <cell r="X477"/>
        </row>
        <row r="478">
          <cell r="B478" t="str">
            <v>SD-PAR-550-22-C031</v>
          </cell>
          <cell r="X478"/>
        </row>
        <row r="479">
          <cell r="B479" t="str">
            <v>SD-PAR-550-22-C031</v>
          </cell>
          <cell r="X479"/>
        </row>
        <row r="480">
          <cell r="B480" t="str">
            <v>SD-PAR-550-22-C031</v>
          </cell>
          <cell r="X480"/>
        </row>
        <row r="481">
          <cell r="B481" t="str">
            <v>SD-PAR-550-22-C031</v>
          </cell>
          <cell r="X481"/>
        </row>
        <row r="482">
          <cell r="B482" t="str">
            <v>SD-PAR-550-22-C031</v>
          </cell>
          <cell r="X482"/>
        </row>
        <row r="483">
          <cell r="B483" t="str">
            <v>SD-PAR-550-22-C031</v>
          </cell>
          <cell r="X483"/>
        </row>
        <row r="484">
          <cell r="B484" t="str">
            <v>SD-PAR-550-22-C031</v>
          </cell>
          <cell r="X484"/>
        </row>
        <row r="485">
          <cell r="B485" t="str">
            <v>SD-PAR-550-22-C031</v>
          </cell>
          <cell r="X485"/>
        </row>
        <row r="486">
          <cell r="B486" t="str">
            <v>SD-PAR-550-22-C031</v>
          </cell>
          <cell r="X486"/>
        </row>
        <row r="487">
          <cell r="B487" t="str">
            <v>SD-PAR-550-22-C031</v>
          </cell>
          <cell r="X487"/>
        </row>
        <row r="488">
          <cell r="B488" t="str">
            <v>SD-PAR-550-22-C031</v>
          </cell>
          <cell r="X488"/>
        </row>
        <row r="489">
          <cell r="B489" t="str">
            <v>SD-PAR-550-22-C031</v>
          </cell>
          <cell r="X489"/>
        </row>
        <row r="490">
          <cell r="B490" t="str">
            <v>SD-PAR-550-22-C031</v>
          </cell>
          <cell r="X490"/>
        </row>
        <row r="491">
          <cell r="B491" t="str">
            <v>SD-PAR-550-22-C031</v>
          </cell>
          <cell r="X491"/>
        </row>
        <row r="492">
          <cell r="B492" t="str">
            <v>SD-PAR-550-22-C031</v>
          </cell>
          <cell r="X492"/>
        </row>
        <row r="493">
          <cell r="B493" t="str">
            <v>SD-PAR-550-22-C032</v>
          </cell>
          <cell r="X493">
            <v>1.1176470588235294</v>
          </cell>
        </row>
        <row r="494">
          <cell r="B494" t="str">
            <v>SD-PAR-550-22-C032</v>
          </cell>
          <cell r="X494"/>
        </row>
        <row r="495">
          <cell r="B495" t="str">
            <v>SD-PAR-550-22-C032</v>
          </cell>
          <cell r="X495"/>
        </row>
        <row r="496">
          <cell r="B496" t="str">
            <v>SD-PAR-550-22-C032</v>
          </cell>
          <cell r="X496"/>
        </row>
        <row r="497">
          <cell r="B497" t="str">
            <v>SD-PAR-550-22-C032</v>
          </cell>
          <cell r="X497"/>
        </row>
        <row r="498">
          <cell r="B498" t="str">
            <v>SD-PAR-550-22-C032</v>
          </cell>
          <cell r="X498"/>
        </row>
        <row r="499">
          <cell r="B499" t="str">
            <v>SD-PAR-550-22-C032</v>
          </cell>
          <cell r="X499"/>
        </row>
        <row r="500">
          <cell r="B500" t="str">
            <v>SD-PAR-550-22-C032</v>
          </cell>
          <cell r="X500"/>
        </row>
        <row r="501">
          <cell r="B501" t="str">
            <v>SD-PAR-550-22-C032</v>
          </cell>
          <cell r="X501"/>
        </row>
        <row r="502">
          <cell r="B502" t="str">
            <v>SD-PAR-550-22-C032</v>
          </cell>
          <cell r="X502"/>
        </row>
        <row r="503">
          <cell r="B503" t="str">
            <v>SD-PAR-550-22-C032</v>
          </cell>
          <cell r="X503"/>
        </row>
        <row r="504">
          <cell r="B504" t="str">
            <v>SD-PAR-550-22-C033</v>
          </cell>
          <cell r="X504">
            <v>0.967741935483871</v>
          </cell>
        </row>
        <row r="505">
          <cell r="B505" t="str">
            <v>SD-PAR-550-22-C033</v>
          </cell>
          <cell r="X505"/>
        </row>
        <row r="506">
          <cell r="B506" t="str">
            <v>SD-PAR-550-22-C033</v>
          </cell>
          <cell r="X506"/>
        </row>
        <row r="507">
          <cell r="B507" t="str">
            <v>SD-PAR-550-22-C033</v>
          </cell>
          <cell r="X507"/>
        </row>
        <row r="508">
          <cell r="B508" t="str">
            <v>SD-PAR-550-22-C033</v>
          </cell>
          <cell r="X508"/>
        </row>
        <row r="509">
          <cell r="B509" t="str">
            <v>SD-PAR-550-22-C033</v>
          </cell>
          <cell r="X509"/>
        </row>
        <row r="510">
          <cell r="B510" t="str">
            <v>SD-PAR-550-22-C033</v>
          </cell>
          <cell r="X510"/>
        </row>
        <row r="511">
          <cell r="B511" t="str">
            <v>SD-PAR-550-22-C033</v>
          </cell>
          <cell r="X511"/>
        </row>
        <row r="512">
          <cell r="B512" t="str">
            <v>SD-PAR-550-22-C033</v>
          </cell>
          <cell r="X512"/>
        </row>
        <row r="513">
          <cell r="B513" t="str">
            <v>SD-PAR-550-22-C033</v>
          </cell>
          <cell r="X513"/>
        </row>
        <row r="514">
          <cell r="B514" t="str">
            <v>SD-PAR-550-22-C033</v>
          </cell>
          <cell r="X514"/>
        </row>
        <row r="515">
          <cell r="B515" t="str">
            <v>SD-PAR-550-22-C033</v>
          </cell>
          <cell r="X515"/>
        </row>
        <row r="516">
          <cell r="B516" t="str">
            <v>SD-PAR-550-22-C033</v>
          </cell>
          <cell r="X516"/>
        </row>
        <row r="517">
          <cell r="B517" t="str">
            <v>SD-PAR-550-22-C033</v>
          </cell>
          <cell r="X517"/>
        </row>
        <row r="518">
          <cell r="B518" t="str">
            <v>SD-PAR-550-22-C033</v>
          </cell>
          <cell r="X518"/>
        </row>
        <row r="519">
          <cell r="B519" t="str">
            <v>SD-PAR-550-22-C033</v>
          </cell>
          <cell r="X519"/>
        </row>
        <row r="520">
          <cell r="B520" t="str">
            <v>SD-PAR-550-22-C033</v>
          </cell>
          <cell r="X520"/>
        </row>
        <row r="521">
          <cell r="B521" t="str">
            <v>SD-PAR-550-22-C033</v>
          </cell>
          <cell r="X521"/>
        </row>
        <row r="522">
          <cell r="B522" t="str">
            <v>SD-PAR-550-22-C033</v>
          </cell>
          <cell r="X522"/>
        </row>
        <row r="523">
          <cell r="B523" t="str">
            <v>SD-PAR-550-22-C033</v>
          </cell>
          <cell r="X523"/>
        </row>
        <row r="524">
          <cell r="B524" t="str">
            <v>SD-PAR-550-22-C033</v>
          </cell>
          <cell r="X524"/>
        </row>
        <row r="525">
          <cell r="B525" t="str">
            <v>SD-PAR-550-22-C033</v>
          </cell>
          <cell r="X525"/>
        </row>
        <row r="526">
          <cell r="B526" t="str">
            <v>SD-PAR-550-22-C033</v>
          </cell>
          <cell r="X526"/>
        </row>
        <row r="527">
          <cell r="B527" t="str">
            <v>SD-PAR-550-22-C033</v>
          </cell>
          <cell r="X527"/>
        </row>
        <row r="528">
          <cell r="B528" t="str">
            <v>SD-PAR-550-22-C033</v>
          </cell>
          <cell r="X528"/>
        </row>
        <row r="529">
          <cell r="B529" t="str">
            <v>SD-PAR-550-22-C033</v>
          </cell>
          <cell r="X529"/>
        </row>
        <row r="530">
          <cell r="B530" t="str">
            <v>SD-PAR-550-22-C033</v>
          </cell>
          <cell r="X530"/>
        </row>
        <row r="531">
          <cell r="B531" t="str">
            <v>SD-PAR-550-22-C033</v>
          </cell>
          <cell r="X531"/>
        </row>
        <row r="532">
          <cell r="B532" t="str">
            <v>SD-PAR-550-22-C033</v>
          </cell>
          <cell r="X532"/>
        </row>
        <row r="533">
          <cell r="B533" t="str">
            <v>SD-PAR-550-22-C033</v>
          </cell>
          <cell r="X533"/>
        </row>
        <row r="534">
          <cell r="B534" t="str">
            <v>SD-PAR-550-22-C033</v>
          </cell>
          <cell r="X534"/>
        </row>
        <row r="535">
          <cell r="B535" t="str">
            <v>SD-PAR-550-22-C033</v>
          </cell>
          <cell r="X535"/>
        </row>
        <row r="536">
          <cell r="B536" t="str">
            <v>SD-PAR-550-22-C033</v>
          </cell>
          <cell r="X536"/>
        </row>
        <row r="537">
          <cell r="B537" t="str">
            <v>SD-PAR-550-22-C033</v>
          </cell>
          <cell r="X537"/>
        </row>
        <row r="538">
          <cell r="B538" t="str">
            <v>SD-PAR-550-22-C033</v>
          </cell>
          <cell r="X538"/>
        </row>
        <row r="539">
          <cell r="B539" t="str">
            <v>SD-PAR-550-22-C033</v>
          </cell>
          <cell r="X539"/>
        </row>
        <row r="540">
          <cell r="B540" t="str">
            <v>SD-PAR-550-22-C033</v>
          </cell>
          <cell r="X540"/>
        </row>
        <row r="541">
          <cell r="B541" t="str">
            <v>SD-PAR-550-22-C033</v>
          </cell>
          <cell r="X541"/>
        </row>
        <row r="542">
          <cell r="B542" t="str">
            <v>SD-PAR-550-22-C033</v>
          </cell>
          <cell r="X542"/>
        </row>
        <row r="543">
          <cell r="B543" t="str">
            <v>SD-PAR-550-22-C033</v>
          </cell>
          <cell r="X543"/>
        </row>
        <row r="544">
          <cell r="B544" t="str">
            <v>SD-PAR-550-22-C033</v>
          </cell>
          <cell r="X544"/>
        </row>
        <row r="545">
          <cell r="B545" t="str">
            <v>SD-PAR-550-22-C033</v>
          </cell>
          <cell r="X545"/>
        </row>
        <row r="546">
          <cell r="B546" t="str">
            <v>SD-PAR-550-22-C033</v>
          </cell>
          <cell r="X546"/>
        </row>
        <row r="547">
          <cell r="B547" t="str">
            <v>SD-PAR-550-22-C033</v>
          </cell>
          <cell r="X547"/>
        </row>
        <row r="548">
          <cell r="B548" t="str">
            <v>SD-PAR-550-22-C033</v>
          </cell>
          <cell r="X548"/>
        </row>
        <row r="549">
          <cell r="B549" t="str">
            <v>SD-PAR-550-22-C033</v>
          </cell>
          <cell r="X549"/>
        </row>
        <row r="550">
          <cell r="B550" t="str">
            <v>SD-PAR-550-22-C033</v>
          </cell>
          <cell r="X550"/>
        </row>
        <row r="551">
          <cell r="B551" t="str">
            <v>SD-PAR-550-22-C033</v>
          </cell>
          <cell r="X551"/>
        </row>
        <row r="552">
          <cell r="B552" t="str">
            <v>SD-PAR-550-22-C033</v>
          </cell>
          <cell r="X552"/>
        </row>
        <row r="553">
          <cell r="B553" t="str">
            <v>SD-PAR-550-22-C034</v>
          </cell>
          <cell r="X553">
            <v>1.0512820512820513</v>
          </cell>
        </row>
        <row r="554">
          <cell r="B554" t="str">
            <v>SD-PAR-550-22-C034</v>
          </cell>
          <cell r="X554"/>
        </row>
        <row r="555">
          <cell r="B555" t="str">
            <v>SD-PAR-550-22-C034</v>
          </cell>
          <cell r="X555"/>
        </row>
        <row r="556">
          <cell r="B556" t="str">
            <v>SD-PAR-550-22-C034</v>
          </cell>
          <cell r="X556"/>
        </row>
        <row r="557">
          <cell r="B557" t="str">
            <v>SD-PAR-550-22-C034</v>
          </cell>
          <cell r="X557"/>
        </row>
        <row r="558">
          <cell r="B558" t="str">
            <v>SD-PAR-550-22-C034</v>
          </cell>
          <cell r="X558"/>
        </row>
        <row r="559">
          <cell r="B559" t="str">
            <v>SD-PAR-550-22-C034</v>
          </cell>
          <cell r="X559"/>
        </row>
        <row r="560">
          <cell r="B560" t="str">
            <v>SD-PAR-550-22-C034</v>
          </cell>
          <cell r="X560"/>
        </row>
        <row r="561">
          <cell r="B561" t="str">
            <v>SD-PAR-550-22-C034</v>
          </cell>
          <cell r="X561"/>
        </row>
        <row r="562">
          <cell r="B562" t="str">
            <v>SD-PAR-550-22-C034</v>
          </cell>
          <cell r="X562"/>
        </row>
        <row r="563">
          <cell r="B563" t="str">
            <v>SD-PAR-550-22-C034</v>
          </cell>
          <cell r="X563"/>
        </row>
        <row r="564">
          <cell r="B564" t="str">
            <v>SD-PAR-550-22-C034</v>
          </cell>
          <cell r="X564"/>
        </row>
        <row r="565">
          <cell r="B565" t="str">
            <v>SD-PAR-550-22-C034</v>
          </cell>
          <cell r="X565"/>
        </row>
        <row r="566">
          <cell r="B566" t="str">
            <v>SD-PAR-550-22-C034</v>
          </cell>
          <cell r="X566"/>
        </row>
        <row r="567">
          <cell r="B567" t="str">
            <v>SD-PAR-550-22-C034</v>
          </cell>
          <cell r="X567"/>
        </row>
        <row r="568">
          <cell r="B568" t="str">
            <v>SD-PAR-550-22-C034</v>
          </cell>
          <cell r="X568"/>
        </row>
        <row r="569">
          <cell r="B569" t="str">
            <v>SD-PAR-550-22-C034</v>
          </cell>
          <cell r="X569"/>
        </row>
        <row r="570">
          <cell r="B570" t="str">
            <v>SD-PAR-550-22-C034</v>
          </cell>
          <cell r="X570"/>
        </row>
        <row r="571">
          <cell r="B571" t="str">
            <v>SD-PAR-550-22-C034</v>
          </cell>
          <cell r="X571"/>
        </row>
        <row r="572">
          <cell r="B572" t="str">
            <v>SD-PAR-550-22-C034</v>
          </cell>
          <cell r="X572"/>
        </row>
        <row r="573">
          <cell r="B573" t="str">
            <v>SD-PAR-550-22-C034</v>
          </cell>
          <cell r="X573"/>
        </row>
        <row r="574">
          <cell r="B574" t="str">
            <v>SD-PAR-550-22-C034</v>
          </cell>
          <cell r="X574"/>
        </row>
        <row r="575">
          <cell r="B575" t="str">
            <v>SD-PAR-550-22-C034</v>
          </cell>
          <cell r="X575"/>
        </row>
        <row r="576">
          <cell r="B576" t="str">
            <v>SD-PAR-550-22SL-C5001</v>
          </cell>
          <cell r="X576">
            <v>1</v>
          </cell>
        </row>
        <row r="577">
          <cell r="B577" t="str">
            <v>SD-PAR-550-22SL-C5001</v>
          </cell>
          <cell r="X577"/>
        </row>
        <row r="578">
          <cell r="B578" t="str">
            <v>SD-PAR-550-22SL-C5001</v>
          </cell>
          <cell r="X578"/>
        </row>
        <row r="579">
          <cell r="B579" t="str">
            <v>SD-PAR-550-22SL-C5001</v>
          </cell>
          <cell r="X579"/>
        </row>
        <row r="580">
          <cell r="B580" t="str">
            <v>SD-PAR-550-22SL-C5001</v>
          </cell>
          <cell r="X580"/>
        </row>
        <row r="581">
          <cell r="B581" t="str">
            <v>SD-PAR-550-22SL-C5001</v>
          </cell>
          <cell r="X581"/>
        </row>
        <row r="582">
          <cell r="B582" t="str">
            <v>SD-PAR-550-22SL-C5001</v>
          </cell>
          <cell r="X582"/>
        </row>
        <row r="583">
          <cell r="B583" t="str">
            <v>SD-PAR-550-22SL-C5002</v>
          </cell>
          <cell r="X583">
            <v>2.1428571428571428</v>
          </cell>
        </row>
        <row r="584">
          <cell r="B584" t="str">
            <v>SD-PAR-550-22SL-C5002</v>
          </cell>
          <cell r="X584"/>
        </row>
        <row r="585">
          <cell r="B585" t="str">
            <v>SD-PAR-550-22SL-C5002</v>
          </cell>
          <cell r="X585"/>
        </row>
        <row r="586">
          <cell r="B586" t="str">
            <v>SD-PAR-550-22SL-C5002</v>
          </cell>
          <cell r="X586"/>
        </row>
        <row r="587">
          <cell r="B587" t="str">
            <v>SD-PAR-550-22SL-C5002</v>
          </cell>
          <cell r="X587"/>
        </row>
        <row r="588">
          <cell r="B588" t="str">
            <v>SD-PAR-550-22SL-C5002</v>
          </cell>
          <cell r="X588"/>
        </row>
        <row r="589">
          <cell r="B589" t="str">
            <v>SD-PAR-550-22SL-C5002</v>
          </cell>
          <cell r="X589"/>
        </row>
        <row r="590">
          <cell r="B590" t="str">
            <v>SD-PAR-550-22SL-C5003</v>
          </cell>
          <cell r="X590">
            <v>1.7272727272727273</v>
          </cell>
        </row>
        <row r="591">
          <cell r="B591" t="str">
            <v>SD-PAR-550-22SL-C5003</v>
          </cell>
          <cell r="X591"/>
        </row>
        <row r="592">
          <cell r="B592" t="str">
            <v>SD-PAR-550-22SL-C5003</v>
          </cell>
          <cell r="X592"/>
        </row>
        <row r="593">
          <cell r="B593" t="str">
            <v>SD-PAR-550-22SL-C5003</v>
          </cell>
          <cell r="X593"/>
        </row>
        <row r="594">
          <cell r="B594" t="str">
            <v>SD-PAR-550-22SL-C5003</v>
          </cell>
          <cell r="X594"/>
        </row>
        <row r="595">
          <cell r="B595" t="str">
            <v>SD-PAR-550-22SL-C5003</v>
          </cell>
          <cell r="X595"/>
        </row>
        <row r="596">
          <cell r="B596" t="str">
            <v>SD-PAR-550-22SL-C5003</v>
          </cell>
          <cell r="X596"/>
        </row>
        <row r="597">
          <cell r="B597" t="str">
            <v>SD-PAR-550-22SL-C5003</v>
          </cell>
          <cell r="X597"/>
        </row>
        <row r="598">
          <cell r="B598" t="str">
            <v>SD-PAR-550-22SL-C5003</v>
          </cell>
          <cell r="X598"/>
        </row>
        <row r="599">
          <cell r="B599" t="str">
            <v>SD-PAR-550-22SL-C5003</v>
          </cell>
          <cell r="X599"/>
        </row>
        <row r="600">
          <cell r="B600" t="str">
            <v>SD-PAR-550-22SL-C5004</v>
          </cell>
          <cell r="X600">
            <v>1</v>
          </cell>
        </row>
        <row r="601">
          <cell r="B601" t="str">
            <v>SD-PAR-550-22SL-C5004</v>
          </cell>
          <cell r="X601"/>
        </row>
        <row r="602">
          <cell r="B602" t="str">
            <v>SD-PAR-550-22SL-C5004</v>
          </cell>
          <cell r="X602"/>
        </row>
        <row r="603">
          <cell r="B603" t="str">
            <v>SD-PAR-550-22SL-C5004</v>
          </cell>
          <cell r="X603"/>
        </row>
        <row r="604">
          <cell r="B604" t="str">
            <v>SD-PAR-550-22SL-C5004</v>
          </cell>
          <cell r="X604"/>
        </row>
        <row r="605">
          <cell r="B605" t="str">
            <v>SD-PAR-550-22SL-C5004</v>
          </cell>
          <cell r="X605"/>
        </row>
        <row r="606">
          <cell r="B606" t="str">
            <v>SD-PAR-550-22SL-C5004</v>
          </cell>
          <cell r="X606"/>
        </row>
        <row r="607">
          <cell r="B607" t="str">
            <v>SD-PAR-550-22SL-C5004</v>
          </cell>
          <cell r="X607"/>
        </row>
        <row r="608">
          <cell r="B608" t="str">
            <v>SD-PAR-550-22SL-C5005</v>
          </cell>
          <cell r="X608">
            <v>2.1428571428571428</v>
          </cell>
        </row>
        <row r="609">
          <cell r="B609" t="str">
            <v>SD-PAR-550-22SL-C5005</v>
          </cell>
          <cell r="X609"/>
        </row>
        <row r="610">
          <cell r="B610" t="str">
            <v>SD-PAR-550-22SL-C5005</v>
          </cell>
          <cell r="X610"/>
        </row>
        <row r="611">
          <cell r="B611" t="str">
            <v>SD-PAR-550-22SL-C5005</v>
          </cell>
          <cell r="X611"/>
        </row>
        <row r="612">
          <cell r="B612" t="str">
            <v>SD-PAR-550-22SL-C5005</v>
          </cell>
          <cell r="X612"/>
        </row>
        <row r="613">
          <cell r="B613" t="str">
            <v>SD-PAR-550-22SL-C5005</v>
          </cell>
          <cell r="X613"/>
        </row>
        <row r="614">
          <cell r="B614" t="str">
            <v>SD-PAR-550-22SL-C5005</v>
          </cell>
          <cell r="X614"/>
        </row>
        <row r="615">
          <cell r="B615" t="str">
            <v>SD-PAR-550-22SL-C5006</v>
          </cell>
          <cell r="X615">
            <v>3</v>
          </cell>
        </row>
        <row r="616">
          <cell r="B616" t="str">
            <v>SD-PAR-550-22SL-C5006</v>
          </cell>
          <cell r="X616"/>
        </row>
        <row r="617">
          <cell r="B617" t="str">
            <v>SD-PAR-550-22SL-C5006</v>
          </cell>
          <cell r="X617"/>
        </row>
        <row r="618">
          <cell r="B618" t="str">
            <v>SD-PAR-550-22SL-C5006</v>
          </cell>
          <cell r="X618"/>
        </row>
        <row r="619">
          <cell r="B619" t="str">
            <v>SD-PAR-550-22SL-C5006</v>
          </cell>
          <cell r="X619"/>
        </row>
        <row r="620">
          <cell r="B620" t="str">
            <v>SD-PAR-550-22SL-C5006</v>
          </cell>
          <cell r="X620"/>
        </row>
        <row r="621">
          <cell r="B621" t="str">
            <v>SD-PAR-550-22SL-C5006</v>
          </cell>
          <cell r="X621"/>
        </row>
        <row r="622">
          <cell r="B622" t="str">
            <v>SD-PAR-550-22-F006</v>
          </cell>
          <cell r="X622">
            <v>1</v>
          </cell>
        </row>
        <row r="623">
          <cell r="B623" t="str">
            <v>SD-PAR-550-22-F006</v>
          </cell>
          <cell r="X623"/>
        </row>
        <row r="624">
          <cell r="B624" t="str">
            <v>SD-PAR-550-22-F006</v>
          </cell>
          <cell r="X624"/>
        </row>
        <row r="625">
          <cell r="B625" t="str">
            <v>SD-PAR-550-22-F006</v>
          </cell>
          <cell r="X625"/>
        </row>
        <row r="626">
          <cell r="B626" t="str">
            <v>SD-PAR-550-22-F006</v>
          </cell>
          <cell r="X626"/>
        </row>
        <row r="627">
          <cell r="B627" t="str">
            <v>SD-PAR-550-22-F006</v>
          </cell>
          <cell r="X627"/>
        </row>
        <row r="628">
          <cell r="B628" t="str">
            <v>SD-PAR-550-22-F006</v>
          </cell>
          <cell r="X628"/>
        </row>
        <row r="629">
          <cell r="B629" t="str">
            <v>SD-PAR-550-22-F006</v>
          </cell>
          <cell r="X629"/>
        </row>
        <row r="630">
          <cell r="B630" t="str">
            <v>SD-PAR-550-22-F007</v>
          </cell>
          <cell r="X630">
            <v>1</v>
          </cell>
        </row>
        <row r="631">
          <cell r="B631" t="str">
            <v>SD-PAR-550-22-F007</v>
          </cell>
          <cell r="X631"/>
        </row>
        <row r="632">
          <cell r="B632" t="str">
            <v>SD-PAR-550-22-F007</v>
          </cell>
          <cell r="X632"/>
        </row>
        <row r="633">
          <cell r="B633" t="str">
            <v>SD-PAR-550-22-F007</v>
          </cell>
          <cell r="X633"/>
        </row>
        <row r="634">
          <cell r="B634" t="str">
            <v>SD-PAR-550-22-F007</v>
          </cell>
          <cell r="X634"/>
        </row>
        <row r="635">
          <cell r="B635" t="str">
            <v>SD-PAR-550-22-F007</v>
          </cell>
          <cell r="X635"/>
        </row>
        <row r="636">
          <cell r="B636" t="str">
            <v>SD-PAR-550-22-F007</v>
          </cell>
          <cell r="X636"/>
        </row>
        <row r="637">
          <cell r="B637" t="str">
            <v>SD-PAR-550-22-F007</v>
          </cell>
          <cell r="X637"/>
        </row>
        <row r="638">
          <cell r="B638" t="str">
            <v>SD-PAR-550-22-F007</v>
          </cell>
          <cell r="X638"/>
        </row>
        <row r="639">
          <cell r="B639" t="str">
            <v>SD-PAR-550-22-F007</v>
          </cell>
          <cell r="X639"/>
        </row>
        <row r="640">
          <cell r="B640" t="str">
            <v>SD-PAR-550-22-F007</v>
          </cell>
          <cell r="X640"/>
        </row>
        <row r="641">
          <cell r="B641" t="str">
            <v>SD-PAR-550-22-F007</v>
          </cell>
          <cell r="X641"/>
        </row>
        <row r="642">
          <cell r="B642" t="str">
            <v>SD-PAR-550-22-F007</v>
          </cell>
          <cell r="X642"/>
        </row>
        <row r="643">
          <cell r="B643" t="str">
            <v>SD-PAR-550-22-F010</v>
          </cell>
          <cell r="X643">
            <v>1</v>
          </cell>
        </row>
        <row r="644">
          <cell r="B644" t="str">
            <v>SD-PAR-550-22-F010</v>
          </cell>
          <cell r="X644"/>
        </row>
        <row r="645">
          <cell r="B645" t="str">
            <v>SD-PAR-550-22-F010</v>
          </cell>
          <cell r="X645"/>
        </row>
        <row r="646">
          <cell r="B646" t="str">
            <v>SD-PAR-550-22-F010</v>
          </cell>
          <cell r="X646"/>
        </row>
        <row r="647">
          <cell r="B647" t="str">
            <v>SD-PAR-550-22-F010</v>
          </cell>
          <cell r="X647"/>
        </row>
        <row r="648">
          <cell r="B648" t="str">
            <v>SD-PAR-550-22-F010</v>
          </cell>
          <cell r="X648"/>
        </row>
        <row r="649">
          <cell r="B649" t="str">
            <v>SD-PAR-550-22-F010</v>
          </cell>
          <cell r="X649"/>
        </row>
        <row r="650">
          <cell r="B650" t="str">
            <v>SD-PAR-550-22-F010</v>
          </cell>
          <cell r="X650"/>
        </row>
        <row r="651">
          <cell r="B651" t="str">
            <v>SD-PAR-550-22-F010</v>
          </cell>
          <cell r="X651"/>
        </row>
        <row r="652">
          <cell r="B652" t="str">
            <v>SD-PAR-550-22-G001</v>
          </cell>
          <cell r="X652">
            <v>1</v>
          </cell>
        </row>
        <row r="653">
          <cell r="B653" t="str">
            <v>SD-PAR-550-22-G001</v>
          </cell>
          <cell r="X653"/>
        </row>
        <row r="654">
          <cell r="B654" t="str">
            <v>SD-PAR-550-22-G001</v>
          </cell>
          <cell r="X654"/>
        </row>
        <row r="655">
          <cell r="B655" t="str">
            <v>SD-PAR-550-22-G001</v>
          </cell>
          <cell r="X655"/>
        </row>
        <row r="656">
          <cell r="B656" t="str">
            <v>SD-PAR-550-22-G001</v>
          </cell>
          <cell r="X656"/>
        </row>
        <row r="657">
          <cell r="B657" t="str">
            <v>SD-PAR-550-22-G001</v>
          </cell>
          <cell r="X657"/>
        </row>
        <row r="658">
          <cell r="B658" t="str">
            <v>SD-PAR-550-22-G001</v>
          </cell>
          <cell r="X658"/>
        </row>
        <row r="659">
          <cell r="B659" t="str">
            <v>SD-PAR-550-22-G002</v>
          </cell>
          <cell r="X659">
            <v>1</v>
          </cell>
        </row>
        <row r="660">
          <cell r="B660" t="str">
            <v>SD-PAR-550-22-G002</v>
          </cell>
          <cell r="X660"/>
        </row>
        <row r="661">
          <cell r="B661" t="str">
            <v>SD-PAR-550-22-G002</v>
          </cell>
          <cell r="X661"/>
        </row>
        <row r="662">
          <cell r="B662" t="str">
            <v>SD-PAR-550-22-G002</v>
          </cell>
          <cell r="X662"/>
        </row>
        <row r="663">
          <cell r="B663" t="str">
            <v>SD-PAR-550-22-G002</v>
          </cell>
          <cell r="X663"/>
        </row>
        <row r="664">
          <cell r="B664" t="str">
            <v>SD-PAR-550-22-G002</v>
          </cell>
          <cell r="X664"/>
        </row>
        <row r="665">
          <cell r="B665" t="str">
            <v>SD-PAR-550-22-G006</v>
          </cell>
          <cell r="X665">
            <v>1</v>
          </cell>
        </row>
        <row r="666">
          <cell r="B666" t="str">
            <v>SD-PAR-550-22-G006</v>
          </cell>
          <cell r="X666"/>
        </row>
        <row r="667">
          <cell r="B667" t="str">
            <v>SD-PAR-550-22-G006</v>
          </cell>
          <cell r="X667"/>
        </row>
        <row r="668">
          <cell r="B668" t="str">
            <v>SD-PAR-550-22-G006</v>
          </cell>
          <cell r="X668"/>
        </row>
        <row r="669">
          <cell r="B669" t="str">
            <v>SD-PAR-550-22-G006</v>
          </cell>
          <cell r="X669"/>
        </row>
        <row r="670">
          <cell r="B670" t="str">
            <v>SD-PAR-550-22-G006</v>
          </cell>
          <cell r="X670"/>
        </row>
        <row r="671">
          <cell r="B671" t="str">
            <v>SD-PAR-550-22-G006</v>
          </cell>
          <cell r="X671"/>
        </row>
        <row r="672">
          <cell r="B672" t="str">
            <v>SD-PAR-550-22-G006</v>
          </cell>
          <cell r="X672"/>
        </row>
        <row r="673">
          <cell r="B673" t="str">
            <v>SD-PAR-550-22-G006</v>
          </cell>
          <cell r="X673"/>
        </row>
        <row r="674">
          <cell r="B674" t="str">
            <v>SD-PAR-550-22-G009</v>
          </cell>
          <cell r="X674">
            <v>1</v>
          </cell>
        </row>
        <row r="675">
          <cell r="B675" t="str">
            <v>SD-PAR-550-22-G009</v>
          </cell>
          <cell r="X675"/>
        </row>
        <row r="676">
          <cell r="B676" t="str">
            <v>SD-PAR-550-22-G009</v>
          </cell>
          <cell r="X676"/>
        </row>
        <row r="677">
          <cell r="B677" t="str">
            <v>SD-PAR-550-22-G009</v>
          </cell>
          <cell r="X677"/>
        </row>
        <row r="678">
          <cell r="B678" t="str">
            <v>SD-PAR-550-22-G009</v>
          </cell>
          <cell r="X678"/>
        </row>
        <row r="679">
          <cell r="B679" t="str">
            <v>SD-PAR-550-22-G009</v>
          </cell>
          <cell r="X679"/>
        </row>
        <row r="680">
          <cell r="B680" t="str">
            <v>SD-PAR-550-22-G009</v>
          </cell>
          <cell r="X680"/>
        </row>
        <row r="681">
          <cell r="B681" t="str">
            <v>SD-PAR-550-22-G009</v>
          </cell>
          <cell r="X681"/>
        </row>
        <row r="682">
          <cell r="B682" t="str">
            <v>SD-PAR-550-22-G012</v>
          </cell>
          <cell r="X682">
            <v>1.25</v>
          </cell>
        </row>
        <row r="683">
          <cell r="B683" t="str">
            <v>SD-PAR-550-22-G012</v>
          </cell>
          <cell r="X683"/>
        </row>
        <row r="684">
          <cell r="B684" t="str">
            <v>SD-PAR-550-22-G012</v>
          </cell>
          <cell r="X684"/>
        </row>
        <row r="685">
          <cell r="B685" t="str">
            <v>SD-PAR-550-22-G012</v>
          </cell>
          <cell r="X685"/>
        </row>
        <row r="686">
          <cell r="B686" t="str">
            <v>SD-PAR-550-22-G013</v>
          </cell>
          <cell r="X686">
            <v>1</v>
          </cell>
        </row>
        <row r="687">
          <cell r="B687" t="str">
            <v>SD-PAR-550-22-G013</v>
          </cell>
          <cell r="X687"/>
        </row>
        <row r="688">
          <cell r="B688" t="str">
            <v>SD-PAR-550-22-G013</v>
          </cell>
          <cell r="X688"/>
        </row>
        <row r="689">
          <cell r="B689" t="str">
            <v>SD-PAR-550-22-G013</v>
          </cell>
          <cell r="X689"/>
        </row>
        <row r="690">
          <cell r="B690" t="str">
            <v>SD-PAR-550-22-G013</v>
          </cell>
          <cell r="X690"/>
        </row>
        <row r="691">
          <cell r="B691" t="str">
            <v>SD-PAR-550-22-G013</v>
          </cell>
          <cell r="X691"/>
        </row>
        <row r="692">
          <cell r="B692" t="str">
            <v>SD-PAR-550-22-G014</v>
          </cell>
          <cell r="X692">
            <v>1</v>
          </cell>
        </row>
        <row r="693">
          <cell r="B693" t="str">
            <v>SD-PAR-550-22-G014</v>
          </cell>
          <cell r="X693"/>
        </row>
        <row r="694">
          <cell r="B694" t="str">
            <v>SD-PAR-550-22-G014</v>
          </cell>
          <cell r="X694"/>
        </row>
        <row r="695">
          <cell r="B695" t="str">
            <v>SD-PAR-550-22-G014</v>
          </cell>
          <cell r="X695"/>
        </row>
        <row r="696">
          <cell r="B696" t="str">
            <v>SD-PAR-550-22-G014</v>
          </cell>
          <cell r="X696"/>
        </row>
        <row r="697">
          <cell r="B697" t="str">
            <v>SD-PAR-550-22-G014</v>
          </cell>
          <cell r="X697"/>
        </row>
        <row r="698">
          <cell r="B698" t="str">
            <v>SD-PAR-550-22-G014</v>
          </cell>
          <cell r="X698"/>
        </row>
        <row r="699">
          <cell r="B699" t="str">
            <v>SD-PAR-550-22-G014</v>
          </cell>
          <cell r="X699"/>
        </row>
        <row r="700">
          <cell r="B700" t="str">
            <v>SD-PAR-550-22-G041</v>
          </cell>
          <cell r="X700">
            <v>1</v>
          </cell>
        </row>
        <row r="701">
          <cell r="B701" t="str">
            <v>SD-PAR-550-22-G041</v>
          </cell>
          <cell r="X701"/>
        </row>
        <row r="702">
          <cell r="B702" t="str">
            <v>SD-PAR-550-22-G041</v>
          </cell>
          <cell r="X702"/>
        </row>
        <row r="703">
          <cell r="B703" t="str">
            <v>SD-PAR-550-22-G041</v>
          </cell>
          <cell r="X703"/>
        </row>
        <row r="704">
          <cell r="B704" t="str">
            <v>SD-PAR-550-22-G046</v>
          </cell>
          <cell r="X704">
            <v>1</v>
          </cell>
        </row>
        <row r="705">
          <cell r="B705" t="str">
            <v>SD-PAR-550-22-G046</v>
          </cell>
          <cell r="X705"/>
        </row>
        <row r="706">
          <cell r="B706" t="str">
            <v>SD-PAR-550-22-G046</v>
          </cell>
          <cell r="X706"/>
        </row>
        <row r="707">
          <cell r="B707" t="str">
            <v>SD-PAR-550-22-G046</v>
          </cell>
          <cell r="X707"/>
        </row>
        <row r="708">
          <cell r="B708" t="str">
            <v>SD-PAR-550-22-G046</v>
          </cell>
          <cell r="X708"/>
        </row>
        <row r="709">
          <cell r="B709" t="str">
            <v>SD-PAR-550-22-G048</v>
          </cell>
          <cell r="X709">
            <v>1</v>
          </cell>
        </row>
        <row r="710">
          <cell r="B710" t="str">
            <v>SD-PAR-550-22-G048</v>
          </cell>
          <cell r="X710"/>
        </row>
        <row r="711">
          <cell r="B711" t="str">
            <v>SD-PAR-550-22-G048</v>
          </cell>
          <cell r="X711"/>
        </row>
        <row r="712">
          <cell r="B712" t="str">
            <v>SD-PAR-550-22-G048</v>
          </cell>
          <cell r="X712"/>
        </row>
        <row r="713">
          <cell r="B713" t="str">
            <v>SD-PAR-550-22-G048</v>
          </cell>
          <cell r="X713"/>
        </row>
        <row r="714">
          <cell r="B714" t="str">
            <v>SD-PAR-550-22-G049</v>
          </cell>
          <cell r="X714">
            <v>1</v>
          </cell>
        </row>
        <row r="715">
          <cell r="B715" t="str">
            <v>SD-PAR-550-22-G049</v>
          </cell>
          <cell r="X715"/>
        </row>
        <row r="716">
          <cell r="B716" t="str">
            <v>SD-PAR-550-22-G049</v>
          </cell>
          <cell r="X716"/>
        </row>
        <row r="717">
          <cell r="B717" t="str">
            <v>SD-PAR-550-22-G049</v>
          </cell>
          <cell r="X717"/>
        </row>
        <row r="718">
          <cell r="B718" t="str">
            <v>SD-PAR-550-22-G049</v>
          </cell>
          <cell r="X718"/>
        </row>
        <row r="719">
          <cell r="B719" t="str">
            <v>SD-PAR-550-22-G049</v>
          </cell>
          <cell r="X719"/>
        </row>
        <row r="720">
          <cell r="B720" t="str">
            <v>SD-PAR-550-22-G049</v>
          </cell>
          <cell r="X720"/>
        </row>
        <row r="721">
          <cell r="B721" t="str">
            <v>SD-PAR-550-22-G050</v>
          </cell>
          <cell r="X721">
            <v>1</v>
          </cell>
        </row>
        <row r="722">
          <cell r="B722" t="str">
            <v>SD-PAR-550-22-G050</v>
          </cell>
          <cell r="X722"/>
        </row>
        <row r="723">
          <cell r="B723" t="str">
            <v>SD-PAR-550-22-G050</v>
          </cell>
          <cell r="X723"/>
        </row>
        <row r="724">
          <cell r="B724" t="str">
            <v>SD-PAR-550-22-G050</v>
          </cell>
          <cell r="X724"/>
        </row>
        <row r="725">
          <cell r="B725" t="str">
            <v>SD-PAR-550-22-G051</v>
          </cell>
          <cell r="X725">
            <v>1</v>
          </cell>
        </row>
        <row r="726">
          <cell r="B726" t="str">
            <v>SD-PAR-550-22-G051</v>
          </cell>
          <cell r="X726"/>
        </row>
        <row r="727">
          <cell r="B727" t="str">
            <v>SD-PAR-550-22-G051</v>
          </cell>
          <cell r="X727"/>
        </row>
        <row r="728">
          <cell r="B728" t="str">
            <v>SD-PAR-550-22-G051</v>
          </cell>
          <cell r="X728"/>
        </row>
        <row r="729">
          <cell r="B729" t="str">
            <v>SD-PAR-550-22-G052</v>
          </cell>
          <cell r="X729">
            <v>1</v>
          </cell>
        </row>
        <row r="730">
          <cell r="B730" t="str">
            <v>SD-PAR-550-22-G052</v>
          </cell>
          <cell r="X730"/>
        </row>
        <row r="731">
          <cell r="B731" t="str">
            <v>SD-PAR-550-22-G052</v>
          </cell>
          <cell r="X731"/>
        </row>
        <row r="732">
          <cell r="B732" t="str">
            <v>SD-PAR-550-22-G052</v>
          </cell>
          <cell r="X732"/>
        </row>
        <row r="733">
          <cell r="B733" t="str">
            <v>SD-PAR-550-22-G052</v>
          </cell>
          <cell r="X733"/>
        </row>
        <row r="734">
          <cell r="B734" t="str">
            <v>SD-PAR-550-22-G052</v>
          </cell>
          <cell r="X734"/>
        </row>
        <row r="735">
          <cell r="B735" t="str">
            <v>SD-PAR-550-22-G052</v>
          </cell>
          <cell r="X735"/>
        </row>
        <row r="736">
          <cell r="B736" t="str">
            <v>SD-PAR-550-22-G052</v>
          </cell>
          <cell r="X736"/>
        </row>
        <row r="737">
          <cell r="B737" t="str">
            <v>SD-PAR-550-22-G052</v>
          </cell>
          <cell r="X737"/>
        </row>
        <row r="738">
          <cell r="B738" t="str">
            <v>SD-PAR-550-22-G053</v>
          </cell>
          <cell r="X738">
            <v>1</v>
          </cell>
        </row>
        <row r="739">
          <cell r="B739" t="str">
            <v>SD-PAR-550-22-G053</v>
          </cell>
          <cell r="X739"/>
        </row>
        <row r="740">
          <cell r="B740" t="str">
            <v>SD-PAR-550-22-G053</v>
          </cell>
          <cell r="X740"/>
        </row>
        <row r="741">
          <cell r="B741" t="str">
            <v>SD-PAR-550-22-G053</v>
          </cell>
          <cell r="X741"/>
        </row>
        <row r="742">
          <cell r="B742" t="str">
            <v>SD-PAR-550-22-G054</v>
          </cell>
          <cell r="X742">
            <v>1</v>
          </cell>
        </row>
        <row r="743">
          <cell r="B743" t="str">
            <v>SD-PAR-550-22-G054</v>
          </cell>
          <cell r="X743"/>
        </row>
        <row r="744">
          <cell r="B744" t="str">
            <v>SD-PAR-550-22-G054</v>
          </cell>
          <cell r="X744"/>
        </row>
        <row r="745">
          <cell r="B745" t="str">
            <v>SD-PAR-550-22-G054</v>
          </cell>
          <cell r="X745"/>
        </row>
        <row r="746">
          <cell r="B746" t="str">
            <v>SD-PAR-550-22-G069</v>
          </cell>
          <cell r="X746">
            <v>1</v>
          </cell>
        </row>
        <row r="747">
          <cell r="B747" t="str">
            <v>SD-PAR-550-22-G069</v>
          </cell>
          <cell r="X747"/>
        </row>
        <row r="748">
          <cell r="B748" t="str">
            <v>SD-PAR-550-22-G069</v>
          </cell>
          <cell r="X748"/>
        </row>
        <row r="749">
          <cell r="B749" t="str">
            <v>SD-PAR-550-22-G069</v>
          </cell>
          <cell r="X749"/>
        </row>
        <row r="750">
          <cell r="B750" t="str">
            <v>SD-PAR-550-22-G069</v>
          </cell>
          <cell r="X750"/>
        </row>
        <row r="751">
          <cell r="B751" t="str">
            <v>SD-PAR-550-22-G069</v>
          </cell>
          <cell r="X751"/>
        </row>
        <row r="752">
          <cell r="B752" t="str">
            <v>SD-PAR-550-22-G069</v>
          </cell>
          <cell r="X752"/>
        </row>
        <row r="753">
          <cell r="B753" t="str">
            <v>SD-PAR-550-22-G069</v>
          </cell>
          <cell r="X753"/>
        </row>
        <row r="754">
          <cell r="B754" t="str">
            <v>SD-PAR-550-22-G070</v>
          </cell>
          <cell r="X754">
            <v>1</v>
          </cell>
        </row>
        <row r="755">
          <cell r="B755" t="str">
            <v>SD-PAR-550-22-G070</v>
          </cell>
          <cell r="X755"/>
        </row>
        <row r="756">
          <cell r="B756" t="str">
            <v>SD-PAR-550-22-G070</v>
          </cell>
          <cell r="X756"/>
        </row>
        <row r="757">
          <cell r="B757" t="str">
            <v>SD-PAR-550-22-G070</v>
          </cell>
          <cell r="X757"/>
        </row>
        <row r="758">
          <cell r="B758" t="str">
            <v>SD-PAR-550-22-G070</v>
          </cell>
          <cell r="X758"/>
        </row>
        <row r="759">
          <cell r="B759" t="str">
            <v>SD-PAR-550-22-G070</v>
          </cell>
          <cell r="X759"/>
        </row>
        <row r="760">
          <cell r="B760" t="str">
            <v>SD-PAR-550-22-G070</v>
          </cell>
          <cell r="X760"/>
        </row>
        <row r="761">
          <cell r="B761" t="str">
            <v>SD-PAR-550-22-G071</v>
          </cell>
          <cell r="X761">
            <v>1.4444444444444444</v>
          </cell>
        </row>
        <row r="762">
          <cell r="B762" t="str">
            <v>SD-PAR-550-22-G071</v>
          </cell>
          <cell r="X762"/>
        </row>
        <row r="763">
          <cell r="B763" t="str">
            <v>SD-PAR-550-22-G071</v>
          </cell>
          <cell r="X763"/>
        </row>
        <row r="764">
          <cell r="B764" t="str">
            <v>SD-PAR-550-22-G071</v>
          </cell>
          <cell r="X764"/>
        </row>
        <row r="765">
          <cell r="B765" t="str">
            <v>SD-PAR-550-22-G071</v>
          </cell>
          <cell r="X765"/>
        </row>
        <row r="766">
          <cell r="B766" t="str">
            <v>SD-PAR-550-22-G071</v>
          </cell>
          <cell r="X766"/>
        </row>
        <row r="767">
          <cell r="B767" t="str">
            <v>SD-PAR-550-22-G071</v>
          </cell>
          <cell r="X767"/>
        </row>
        <row r="768">
          <cell r="B768" t="str">
            <v>SD-PAR-550-22-G072</v>
          </cell>
          <cell r="X768">
            <v>1</v>
          </cell>
        </row>
        <row r="769">
          <cell r="B769" t="str">
            <v>SD-PAR-550-22-G072</v>
          </cell>
          <cell r="X769"/>
        </row>
        <row r="770">
          <cell r="B770" t="str">
            <v>SD-PAR-550-22-G072</v>
          </cell>
          <cell r="X770"/>
        </row>
        <row r="771">
          <cell r="B771" t="str">
            <v>SD-PAR-550-22-G072</v>
          </cell>
          <cell r="X771"/>
        </row>
        <row r="772">
          <cell r="B772" t="str">
            <v>SD-PAR-550-22-G072</v>
          </cell>
          <cell r="X772"/>
        </row>
        <row r="773">
          <cell r="B773" t="str">
            <v>SD-PAR-550-22-G072</v>
          </cell>
          <cell r="X773"/>
        </row>
        <row r="774">
          <cell r="B774" t="str">
            <v>SD-PAR-550-22-G073</v>
          </cell>
          <cell r="X774">
            <v>1.2352941176470589</v>
          </cell>
        </row>
        <row r="775">
          <cell r="B775" t="str">
            <v>SD-PAR-550-22-G073</v>
          </cell>
          <cell r="X775"/>
        </row>
        <row r="776">
          <cell r="B776" t="str">
            <v>SD-PAR-550-22-G073</v>
          </cell>
          <cell r="X776"/>
        </row>
        <row r="777">
          <cell r="B777" t="str">
            <v>SD-PAR-550-22-G073</v>
          </cell>
          <cell r="X777"/>
        </row>
        <row r="778">
          <cell r="B778" t="str">
            <v>SD-PAR-550-22-G073</v>
          </cell>
          <cell r="X778"/>
        </row>
        <row r="779">
          <cell r="B779" t="str">
            <v>SD-PAR-550-22-G073</v>
          </cell>
          <cell r="X779"/>
        </row>
        <row r="780">
          <cell r="B780" t="str">
            <v>SD-PAR-550-22-G073</v>
          </cell>
          <cell r="X780"/>
        </row>
        <row r="781">
          <cell r="B781" t="str">
            <v>SD-PAR-550-22-G073</v>
          </cell>
          <cell r="X781"/>
        </row>
        <row r="782">
          <cell r="B782" t="str">
            <v>SD-PAR-550-22-G073</v>
          </cell>
          <cell r="X782"/>
        </row>
        <row r="783">
          <cell r="B783" t="str">
            <v>SD-PAR-550-22-G100</v>
          </cell>
          <cell r="X783">
            <v>1</v>
          </cell>
        </row>
        <row r="784">
          <cell r="B784" t="str">
            <v>SD-PAR-550-22-G100</v>
          </cell>
          <cell r="X784"/>
        </row>
        <row r="785">
          <cell r="B785" t="str">
            <v>SD-PAR-550-22-G100</v>
          </cell>
          <cell r="X785"/>
        </row>
        <row r="786">
          <cell r="B786" t="str">
            <v>SD-PAR-550-22-G100</v>
          </cell>
          <cell r="X786"/>
        </row>
        <row r="787">
          <cell r="B787" t="str">
            <v>SD-PAR-550-22-G101</v>
          </cell>
          <cell r="X787">
            <v>1</v>
          </cell>
        </row>
        <row r="788">
          <cell r="B788" t="str">
            <v>SD-PAR-550-22-G101</v>
          </cell>
          <cell r="X788"/>
        </row>
        <row r="789">
          <cell r="B789" t="str">
            <v>SD-PAR-550-22-G101</v>
          </cell>
          <cell r="X789"/>
        </row>
        <row r="790">
          <cell r="B790" t="str">
            <v>SD-PAR-550-22-G101</v>
          </cell>
          <cell r="X790"/>
        </row>
        <row r="791">
          <cell r="B791" t="str">
            <v>SD-PAR-550-22-G101</v>
          </cell>
          <cell r="X791"/>
        </row>
        <row r="792">
          <cell r="B792" t="str">
            <v>SD-PAR-550-22-G101</v>
          </cell>
          <cell r="X792"/>
        </row>
        <row r="793">
          <cell r="B793" t="str">
            <v>SD-PAR-550-22-G101</v>
          </cell>
          <cell r="X793"/>
        </row>
        <row r="794">
          <cell r="B794" t="str">
            <v>SD-PAR-550-22-G101</v>
          </cell>
          <cell r="X794"/>
        </row>
        <row r="795">
          <cell r="B795" t="str">
            <v>SD-PAR-550-22-G102</v>
          </cell>
          <cell r="X795">
            <v>1</v>
          </cell>
        </row>
        <row r="796">
          <cell r="B796" t="str">
            <v>SD-PAR-550-22-G102</v>
          </cell>
          <cell r="X796"/>
        </row>
        <row r="797">
          <cell r="B797" t="str">
            <v>SD-PAR-550-22-G102</v>
          </cell>
          <cell r="X797"/>
        </row>
        <row r="798">
          <cell r="B798" t="str">
            <v>SD-PAR-550-22-G103</v>
          </cell>
          <cell r="X798">
            <v>1</v>
          </cell>
        </row>
        <row r="799">
          <cell r="B799" t="str">
            <v>SD-PAR-550-22-G103</v>
          </cell>
          <cell r="X799"/>
        </row>
        <row r="800">
          <cell r="B800" t="str">
            <v>SD-PAR-550-22-G103</v>
          </cell>
          <cell r="X800"/>
        </row>
        <row r="801">
          <cell r="B801" t="str">
            <v>SD-PAR-550-22-G103</v>
          </cell>
          <cell r="X801"/>
        </row>
        <row r="802">
          <cell r="B802" t="str">
            <v>SD-PAR-550-22-G104</v>
          </cell>
          <cell r="X802">
            <v>1</v>
          </cell>
        </row>
        <row r="803">
          <cell r="B803" t="str">
            <v>SD-PAR-550-22-G104</v>
          </cell>
          <cell r="X803"/>
        </row>
        <row r="804">
          <cell r="B804" t="str">
            <v>SD-PAR-550-22-G104</v>
          </cell>
          <cell r="X804"/>
        </row>
        <row r="805">
          <cell r="B805" t="str">
            <v>SD-PAR-550-22-G105</v>
          </cell>
          <cell r="X805">
            <v>1</v>
          </cell>
        </row>
        <row r="806">
          <cell r="B806" t="str">
            <v>SD-PAR-550-22-G105</v>
          </cell>
          <cell r="X806"/>
        </row>
        <row r="807">
          <cell r="B807" t="str">
            <v>SD-PAR-550-22-G105</v>
          </cell>
          <cell r="X807"/>
        </row>
        <row r="808">
          <cell r="B808" t="str">
            <v>SD-PAR-550-22-G105</v>
          </cell>
          <cell r="X808"/>
        </row>
        <row r="809">
          <cell r="B809" t="str">
            <v>SD-PAR-550-22-G105</v>
          </cell>
          <cell r="X809"/>
        </row>
        <row r="810">
          <cell r="B810" t="str">
            <v>SD-PAR-550-22-G105</v>
          </cell>
          <cell r="X810"/>
        </row>
        <row r="811">
          <cell r="B811" t="str">
            <v>SD-PAR-550-22-G105</v>
          </cell>
          <cell r="X811"/>
        </row>
        <row r="812">
          <cell r="B812" t="str">
            <v>SD-PAR-550-22-G106</v>
          </cell>
          <cell r="X812">
            <v>1</v>
          </cell>
        </row>
        <row r="813">
          <cell r="B813" t="str">
            <v>SD-PAR-550-22-G106</v>
          </cell>
          <cell r="X813"/>
        </row>
        <row r="814">
          <cell r="B814" t="str">
            <v>SD-PAR-550-22-G106</v>
          </cell>
          <cell r="X814"/>
        </row>
        <row r="815">
          <cell r="B815" t="str">
            <v>SD-PAR-550-22-G106</v>
          </cell>
          <cell r="X815"/>
        </row>
        <row r="816">
          <cell r="B816" t="str">
            <v>SD-PAR-550-22-G107</v>
          </cell>
          <cell r="X816">
            <v>1</v>
          </cell>
        </row>
        <row r="817">
          <cell r="B817" t="str">
            <v>SD-PAR-550-22-G107</v>
          </cell>
          <cell r="X817"/>
        </row>
        <row r="818">
          <cell r="B818" t="str">
            <v>SD-PAR-550-22-G107</v>
          </cell>
          <cell r="X818"/>
        </row>
        <row r="819">
          <cell r="B819" t="str">
            <v>SD-PAR-550-22-G107</v>
          </cell>
          <cell r="X819"/>
        </row>
        <row r="820">
          <cell r="B820" t="str">
            <v>SD-PAR-550-22-G107</v>
          </cell>
          <cell r="X820"/>
        </row>
        <row r="821">
          <cell r="B821" t="str">
            <v>SD-PAR-550-22-G107</v>
          </cell>
          <cell r="X821"/>
        </row>
        <row r="822">
          <cell r="B822" t="str">
            <v>SD-PAR-550-22-G107</v>
          </cell>
          <cell r="X822"/>
        </row>
        <row r="823">
          <cell r="B823" t="str">
            <v>SD-PAR-550-22-G107</v>
          </cell>
          <cell r="X823"/>
        </row>
        <row r="824">
          <cell r="B824" t="str">
            <v>SD-PAR-550-22-G107</v>
          </cell>
          <cell r="X824"/>
        </row>
        <row r="825">
          <cell r="B825" t="str">
            <v>SD-PAR-550-22-G107</v>
          </cell>
          <cell r="X825"/>
        </row>
        <row r="826">
          <cell r="B826" t="str">
            <v>SD-PAR-550-22-G107</v>
          </cell>
          <cell r="X826"/>
        </row>
        <row r="827">
          <cell r="B827" t="str">
            <v>SD-PAR-550-22-G107</v>
          </cell>
          <cell r="X827"/>
        </row>
        <row r="828">
          <cell r="B828" t="str">
            <v>SD-PAR-550-22-G107</v>
          </cell>
          <cell r="X828"/>
        </row>
        <row r="829">
          <cell r="B829" t="str">
            <v>SD-PAR-550-22-G108</v>
          </cell>
          <cell r="X829">
            <v>1</v>
          </cell>
        </row>
        <row r="830">
          <cell r="B830" t="str">
            <v>SD-PAR-550-22-G108</v>
          </cell>
          <cell r="X830"/>
        </row>
        <row r="831">
          <cell r="B831" t="str">
            <v>SD-PAR-550-22-G108</v>
          </cell>
          <cell r="X831"/>
        </row>
        <row r="832">
          <cell r="B832" t="str">
            <v>SD-PAR-550-22-G108</v>
          </cell>
          <cell r="X832"/>
        </row>
        <row r="833">
          <cell r="B833" t="str">
            <v>SD-PAR-550-22-G108</v>
          </cell>
          <cell r="X833"/>
        </row>
        <row r="834">
          <cell r="B834" t="str">
            <v>SD-PAR-550-22-G108</v>
          </cell>
          <cell r="X834"/>
        </row>
        <row r="835">
          <cell r="B835" t="str">
            <v>SD-PAR-550-22-G108</v>
          </cell>
          <cell r="X835"/>
        </row>
        <row r="836">
          <cell r="B836" t="str">
            <v>SD-PAR-550-22-G123</v>
          </cell>
          <cell r="X836">
            <v>1</v>
          </cell>
        </row>
        <row r="837">
          <cell r="B837" t="str">
            <v>SD-PAR-550-22-G123</v>
          </cell>
          <cell r="X837"/>
        </row>
        <row r="838">
          <cell r="B838" t="str">
            <v>SD-PAR-550-22-G123</v>
          </cell>
          <cell r="X838"/>
        </row>
        <row r="839">
          <cell r="B839" t="str">
            <v>SD-PAR-550-22-G123</v>
          </cell>
          <cell r="X839"/>
        </row>
        <row r="840">
          <cell r="B840" t="str">
            <v>SD-PAR-550-22-G123</v>
          </cell>
          <cell r="X840"/>
        </row>
        <row r="841">
          <cell r="B841" t="str">
            <v>SD-PAR-550-22-G123</v>
          </cell>
          <cell r="X841"/>
        </row>
        <row r="842">
          <cell r="B842" t="str">
            <v>SD-PAR-550-22-G123</v>
          </cell>
          <cell r="X842"/>
        </row>
        <row r="843">
          <cell r="B843" t="str">
            <v>SD-PAR-550-22-G124</v>
          </cell>
          <cell r="X843">
            <v>1</v>
          </cell>
        </row>
        <row r="844">
          <cell r="B844" t="str">
            <v>SD-PAR-550-22-G124</v>
          </cell>
          <cell r="X844"/>
        </row>
        <row r="845">
          <cell r="B845" t="str">
            <v>SD-PAR-550-22-G124</v>
          </cell>
          <cell r="X845"/>
        </row>
        <row r="846">
          <cell r="B846" t="str">
            <v>SD-PAR-550-22-G124</v>
          </cell>
          <cell r="X846"/>
        </row>
        <row r="847">
          <cell r="B847" t="str">
            <v>SD-PAR-550-22-G125</v>
          </cell>
          <cell r="X847">
            <v>0.89473684210526316</v>
          </cell>
        </row>
        <row r="848">
          <cell r="B848" t="str">
            <v>SD-PAR-550-22-G125</v>
          </cell>
          <cell r="X848"/>
        </row>
        <row r="849">
          <cell r="B849" t="str">
            <v>SD-PAR-550-22-G125</v>
          </cell>
          <cell r="X849"/>
        </row>
        <row r="850">
          <cell r="B850" t="str">
            <v>SD-PAR-550-22-G125</v>
          </cell>
          <cell r="X850"/>
        </row>
        <row r="851">
          <cell r="B851" t="str">
            <v>SD-PAR-550-22-G125</v>
          </cell>
          <cell r="X851"/>
        </row>
        <row r="852">
          <cell r="B852" t="str">
            <v>SD-PAR-550-22-G125</v>
          </cell>
          <cell r="X852"/>
        </row>
        <row r="853">
          <cell r="B853" t="str">
            <v>SD-PAR-550-22-G125</v>
          </cell>
          <cell r="X853"/>
        </row>
        <row r="854">
          <cell r="B854" t="str">
            <v>SD-PAR-550-22-G125</v>
          </cell>
          <cell r="X854"/>
        </row>
        <row r="855">
          <cell r="B855" t="str">
            <v>SD-PAR-550-22-G125</v>
          </cell>
          <cell r="X855"/>
        </row>
        <row r="856">
          <cell r="B856" t="str">
            <v>SD-PAR-550-22-G126</v>
          </cell>
          <cell r="X856">
            <v>1</v>
          </cell>
        </row>
        <row r="857">
          <cell r="B857" t="str">
            <v>SD-PAR-550-22-G126</v>
          </cell>
          <cell r="X857"/>
        </row>
        <row r="858">
          <cell r="B858" t="str">
            <v>SD-PAR-550-22-G126</v>
          </cell>
          <cell r="X858"/>
        </row>
        <row r="859">
          <cell r="B859" t="str">
            <v>SD-PAR-550-22-G126</v>
          </cell>
          <cell r="X859"/>
        </row>
        <row r="860">
          <cell r="B860" t="str">
            <v>SD-PAR-550-22-G127</v>
          </cell>
          <cell r="X860">
            <v>1</v>
          </cell>
        </row>
        <row r="861">
          <cell r="B861" t="str">
            <v>SD-PAR-550-22-G127</v>
          </cell>
          <cell r="X861"/>
        </row>
        <row r="862">
          <cell r="B862" t="str">
            <v>SD-PAR-550-22-G127</v>
          </cell>
          <cell r="X862"/>
        </row>
        <row r="863">
          <cell r="B863" t="str">
            <v>SD-PAR-550-22-G127</v>
          </cell>
          <cell r="X863"/>
        </row>
        <row r="864">
          <cell r="B864" t="str">
            <v>SD-PAR-550-22-G128</v>
          </cell>
          <cell r="X864">
            <v>1</v>
          </cell>
        </row>
        <row r="865">
          <cell r="B865" t="str">
            <v>SD-PAR-550-22-G128</v>
          </cell>
          <cell r="X865"/>
        </row>
        <row r="866">
          <cell r="B866" t="str">
            <v>SD-PAR-550-22-G128</v>
          </cell>
          <cell r="X866"/>
        </row>
        <row r="867">
          <cell r="B867" t="str">
            <v>SD-PAR-550-22-G128</v>
          </cell>
          <cell r="X867"/>
        </row>
        <row r="868">
          <cell r="B868" t="str">
            <v>SD-PAR-550-22-G128</v>
          </cell>
          <cell r="X868"/>
        </row>
        <row r="869">
          <cell r="B869" t="str">
            <v>SD-PAR-550-22-G128</v>
          </cell>
          <cell r="X869"/>
        </row>
        <row r="870">
          <cell r="B870" t="str">
            <v>SD-PAR-550-22-G128</v>
          </cell>
          <cell r="X870"/>
        </row>
        <row r="871">
          <cell r="B871" t="str">
            <v>SD-PAR-550-22-G128</v>
          </cell>
          <cell r="X871"/>
        </row>
        <row r="872">
          <cell r="B872" t="str">
            <v>SD-PAR-550-22-G128</v>
          </cell>
          <cell r="X872"/>
        </row>
        <row r="873">
          <cell r="B873" t="str">
            <v>SD-PAR-550-22-G151</v>
          </cell>
          <cell r="X873">
            <v>1</v>
          </cell>
        </row>
        <row r="874">
          <cell r="B874" t="str">
            <v>SD-PAR-550-22-G151</v>
          </cell>
          <cell r="X874"/>
        </row>
        <row r="875">
          <cell r="B875" t="str">
            <v>SD-PAR-550-22-G151</v>
          </cell>
          <cell r="X875"/>
        </row>
        <row r="876">
          <cell r="B876" t="str">
            <v>SD-PAR-550-22-G151</v>
          </cell>
          <cell r="X876"/>
        </row>
        <row r="877">
          <cell r="B877" t="str">
            <v>SD-PAR-550-22-G151</v>
          </cell>
          <cell r="X877"/>
        </row>
        <row r="878">
          <cell r="B878" t="str">
            <v>SD-PAR-550-22-G162</v>
          </cell>
          <cell r="X878">
            <v>1</v>
          </cell>
        </row>
        <row r="879">
          <cell r="B879" t="str">
            <v>SD-PAR-550-22-G162</v>
          </cell>
          <cell r="X879"/>
        </row>
        <row r="880">
          <cell r="B880" t="str">
            <v>SD-PAR-550-22-G162</v>
          </cell>
          <cell r="X880"/>
        </row>
        <row r="881">
          <cell r="B881" t="str">
            <v>SD-PAR-550-22-G162</v>
          </cell>
          <cell r="X881"/>
        </row>
        <row r="882">
          <cell r="B882" t="str">
            <v>SD-PAR-550-22-G162</v>
          </cell>
          <cell r="X882"/>
        </row>
        <row r="883">
          <cell r="B883" t="str">
            <v>SD-PAR-550-22-G162</v>
          </cell>
          <cell r="X883"/>
        </row>
        <row r="884">
          <cell r="B884" t="str">
            <v>SD-PAR-550-22-G162</v>
          </cell>
          <cell r="X884"/>
        </row>
        <row r="885">
          <cell r="B885" t="str">
            <v>SD-PAR-550-22-G163</v>
          </cell>
          <cell r="X885">
            <v>1</v>
          </cell>
        </row>
        <row r="886">
          <cell r="B886" t="str">
            <v>SD-PAR-550-22-G163</v>
          </cell>
          <cell r="X886"/>
        </row>
        <row r="887">
          <cell r="B887" t="str">
            <v>SD-PAR-550-22-G163</v>
          </cell>
          <cell r="X887"/>
        </row>
        <row r="888">
          <cell r="B888" t="str">
            <v>SD-PAR-550-22-G163</v>
          </cell>
          <cell r="X888"/>
        </row>
        <row r="889">
          <cell r="B889" t="str">
            <v>SD-PAR-550-22-G163</v>
          </cell>
          <cell r="X889"/>
        </row>
        <row r="890">
          <cell r="B890" t="str">
            <v>SD-PAR-550-22-G164</v>
          </cell>
          <cell r="X890">
            <v>1</v>
          </cell>
        </row>
        <row r="891">
          <cell r="B891" t="str">
            <v>SD-PAR-550-22-G164</v>
          </cell>
          <cell r="X891"/>
        </row>
        <row r="892">
          <cell r="B892" t="str">
            <v>SD-PAR-550-22-G164</v>
          </cell>
          <cell r="X892"/>
        </row>
        <row r="893">
          <cell r="B893" t="str">
            <v>SD-PAR-550-22-G164</v>
          </cell>
          <cell r="X893"/>
        </row>
        <row r="894">
          <cell r="B894" t="str">
            <v>SD-PAR-550-22-G164</v>
          </cell>
          <cell r="X894"/>
        </row>
        <row r="895">
          <cell r="B895" t="str">
            <v>SD-PAR-550-22-G164</v>
          </cell>
          <cell r="X895"/>
        </row>
        <row r="896">
          <cell r="B896" t="str">
            <v>SD-PAR-550-22-G164</v>
          </cell>
          <cell r="X896"/>
        </row>
        <row r="897">
          <cell r="B897" t="str">
            <v>SD-PAR-550-22-G172</v>
          </cell>
          <cell r="X897">
            <v>1</v>
          </cell>
        </row>
        <row r="898">
          <cell r="B898" t="str">
            <v>SD-PAR-550-22-G172</v>
          </cell>
          <cell r="X898"/>
        </row>
        <row r="899">
          <cell r="B899" t="str">
            <v>SD-PAR-550-22-G172</v>
          </cell>
          <cell r="X899"/>
        </row>
        <row r="900">
          <cell r="B900" t="str">
            <v>SD-PAR-550-22-G172</v>
          </cell>
          <cell r="X900"/>
        </row>
        <row r="901">
          <cell r="B901" t="str">
            <v>SD-PAR-550-22-G172</v>
          </cell>
          <cell r="X901"/>
        </row>
        <row r="902">
          <cell r="B902" t="str">
            <v>SD-PAR-550-22-G172</v>
          </cell>
          <cell r="X902"/>
        </row>
        <row r="903">
          <cell r="B903" t="str">
            <v>SD-PAR-550-22-G173</v>
          </cell>
          <cell r="X903">
            <v>1</v>
          </cell>
        </row>
        <row r="904">
          <cell r="B904" t="str">
            <v>SD-PAR-550-22-G173</v>
          </cell>
          <cell r="X904"/>
        </row>
        <row r="905">
          <cell r="B905" t="str">
            <v>SD-PAR-550-22-G173</v>
          </cell>
          <cell r="X905"/>
        </row>
        <row r="906">
          <cell r="B906" t="str">
            <v>SD-PAR-550-22-G173</v>
          </cell>
          <cell r="X906"/>
        </row>
        <row r="907">
          <cell r="B907" t="str">
            <v>SD-PAR-550-22-G184</v>
          </cell>
          <cell r="X907">
            <v>1</v>
          </cell>
        </row>
        <row r="908">
          <cell r="B908" t="str">
            <v>SD-PAR-550-22-G184</v>
          </cell>
          <cell r="X908"/>
        </row>
        <row r="909">
          <cell r="B909" t="str">
            <v>SD-PAR-550-22-G184</v>
          </cell>
          <cell r="X909"/>
        </row>
        <row r="910">
          <cell r="B910" t="str">
            <v>SD-PAR-550-22-G184</v>
          </cell>
          <cell r="X910"/>
        </row>
        <row r="911">
          <cell r="B911" t="str">
            <v>SD-PAR-550-22-G199</v>
          </cell>
          <cell r="X911">
            <v>1</v>
          </cell>
        </row>
        <row r="912">
          <cell r="B912" t="str">
            <v>SD-PAR-550-22-G199</v>
          </cell>
          <cell r="X912"/>
        </row>
        <row r="913">
          <cell r="B913" t="str">
            <v>SD-PAR-550-22-G199</v>
          </cell>
          <cell r="X913"/>
        </row>
        <row r="914">
          <cell r="B914" t="str">
            <v>SD-PAR-550-22-G199</v>
          </cell>
          <cell r="X914"/>
        </row>
        <row r="915">
          <cell r="B915" t="str">
            <v>SD-PAR-550-22-G199</v>
          </cell>
          <cell r="X915"/>
        </row>
        <row r="916">
          <cell r="B916" t="str">
            <v>SD-PAR-550-22-G199</v>
          </cell>
          <cell r="X916"/>
        </row>
        <row r="917">
          <cell r="B917" t="str">
            <v>SD-PAR-550-22-G199</v>
          </cell>
          <cell r="X917"/>
        </row>
        <row r="918">
          <cell r="B918" t="str">
            <v>SD-PAR-550-22-G200</v>
          </cell>
          <cell r="X918">
            <v>1</v>
          </cell>
        </row>
        <row r="919">
          <cell r="B919" t="str">
            <v>SD-PAR-550-22-G200</v>
          </cell>
          <cell r="X919"/>
        </row>
        <row r="920">
          <cell r="B920" t="str">
            <v>SD-PAR-550-22-G200</v>
          </cell>
          <cell r="X920"/>
        </row>
        <row r="921">
          <cell r="B921" t="str">
            <v>SD-PAR-550-22-G200</v>
          </cell>
          <cell r="X921"/>
        </row>
        <row r="922">
          <cell r="B922" t="str">
            <v>SD-PAR-550-22-G200</v>
          </cell>
          <cell r="X922"/>
        </row>
        <row r="923">
          <cell r="B923" t="str">
            <v>SD-PAR-550-22-G200</v>
          </cell>
          <cell r="X923"/>
        </row>
        <row r="924">
          <cell r="B924" t="str">
            <v>SD-PAR-550-22-G200</v>
          </cell>
          <cell r="X924"/>
        </row>
        <row r="925">
          <cell r="B925" t="str">
            <v>SD-PAR-550-22-G200</v>
          </cell>
          <cell r="X925"/>
        </row>
        <row r="926">
          <cell r="B926" t="str">
            <v>SD-PAR-550-22SL-G5001</v>
          </cell>
          <cell r="X926">
            <v>1</v>
          </cell>
        </row>
        <row r="927">
          <cell r="B927" t="str">
            <v>SD-PAR-550-22SL-G5001</v>
          </cell>
          <cell r="X927"/>
        </row>
        <row r="928">
          <cell r="B928" t="str">
            <v>SD-PAR-550-22SL-G5001</v>
          </cell>
          <cell r="X928"/>
        </row>
        <row r="929">
          <cell r="B929" t="str">
            <v>SD-PAR-550-22SL-G5002</v>
          </cell>
          <cell r="X929">
            <v>1</v>
          </cell>
        </row>
        <row r="930">
          <cell r="B930" t="str">
            <v>SD-PAR-550-22SL-G5002</v>
          </cell>
          <cell r="X930"/>
        </row>
        <row r="931">
          <cell r="B931" t="str">
            <v>SD-PAR-550-22SL-G5002</v>
          </cell>
          <cell r="X931"/>
        </row>
        <row r="932">
          <cell r="B932" t="str">
            <v>SD-PAR-550-22-H006</v>
          </cell>
          <cell r="X932" t="e">
            <v>#DIV/0!</v>
          </cell>
        </row>
        <row r="933">
          <cell r="B933" t="str">
            <v>SD-PAR-550-22-H006</v>
          </cell>
          <cell r="X933"/>
        </row>
        <row r="934">
          <cell r="B934" t="str">
            <v>SD-PAR-550-22-H016</v>
          </cell>
          <cell r="X934" t="e">
            <v>#DIV/0!</v>
          </cell>
        </row>
        <row r="935">
          <cell r="B935" t="str">
            <v>SD-PAR-550-22-H016</v>
          </cell>
          <cell r="X935"/>
        </row>
        <row r="936">
          <cell r="B936" t="str">
            <v>SD-PAR-550-22SL-J5001</v>
          </cell>
          <cell r="X936" t="e">
            <v>#DIV/0!</v>
          </cell>
        </row>
        <row r="937">
          <cell r="B937" t="str">
            <v>SD-PAR-550-22SL-J5001</v>
          </cell>
          <cell r="X937"/>
        </row>
        <row r="938">
          <cell r="B938" t="str">
            <v>SD-PAR-550-22SL-J5002</v>
          </cell>
          <cell r="X938" t="e">
            <v>#DIV/0!</v>
          </cell>
        </row>
        <row r="939">
          <cell r="B939" t="str">
            <v>SD-PAR-550-22SL-J5002</v>
          </cell>
          <cell r="X939"/>
        </row>
        <row r="940">
          <cell r="B940" t="str">
            <v>SD-PAR-550-22-P008</v>
          </cell>
          <cell r="X940">
            <v>1</v>
          </cell>
        </row>
        <row r="941">
          <cell r="B941" t="str">
            <v>SD-PAR-550-22-P008</v>
          </cell>
          <cell r="X941"/>
        </row>
        <row r="942">
          <cell r="B942" t="str">
            <v>SD-PAR-550-22-P008</v>
          </cell>
          <cell r="X942"/>
        </row>
        <row r="943">
          <cell r="B943" t="str">
            <v>SD-PAR-550-22-P008</v>
          </cell>
          <cell r="X943"/>
        </row>
        <row r="944">
          <cell r="B944" t="str">
            <v>SD-PAR-550-22-P008</v>
          </cell>
          <cell r="X944"/>
        </row>
        <row r="945">
          <cell r="B945" t="str">
            <v>SD-PAR-550-22-P008</v>
          </cell>
          <cell r="X945"/>
        </row>
        <row r="946">
          <cell r="B946" t="str">
            <v>SD-PAR-550-22-P008</v>
          </cell>
          <cell r="X946"/>
        </row>
        <row r="947">
          <cell r="B947" t="str">
            <v>SD-PAR-550-22-P008</v>
          </cell>
          <cell r="X947"/>
        </row>
        <row r="948">
          <cell r="B948" t="str">
            <v>SD-PAR-550-22-P008</v>
          </cell>
          <cell r="X948"/>
        </row>
        <row r="949">
          <cell r="B949" t="str">
            <v>SD-PAR-550-22-P008</v>
          </cell>
          <cell r="X949"/>
        </row>
        <row r="950">
          <cell r="B950" t="str">
            <v>SD-PAR-550-22-P009</v>
          </cell>
          <cell r="X950">
            <v>1</v>
          </cell>
        </row>
        <row r="951">
          <cell r="B951" t="str">
            <v>SD-PAR-550-22-P009</v>
          </cell>
          <cell r="X951"/>
        </row>
        <row r="952">
          <cell r="B952" t="str">
            <v>SD-PAR-550-22-P009</v>
          </cell>
          <cell r="X952"/>
        </row>
        <row r="953">
          <cell r="B953" t="str">
            <v>SD-PAR-550-22-P009</v>
          </cell>
          <cell r="X953"/>
        </row>
        <row r="954">
          <cell r="B954" t="str">
            <v>SD-PAR-550-22-P009</v>
          </cell>
          <cell r="X954"/>
        </row>
        <row r="955">
          <cell r="B955" t="str">
            <v>SD-PAR-550-22-P009</v>
          </cell>
          <cell r="X955"/>
        </row>
        <row r="956">
          <cell r="B956" t="str">
            <v>SD-PAR-550-22-P009</v>
          </cell>
          <cell r="X956"/>
        </row>
        <row r="957">
          <cell r="B957" t="str">
            <v>SD-PAR-550-22-P009</v>
          </cell>
          <cell r="X957"/>
        </row>
        <row r="958">
          <cell r="B958" t="str">
            <v>SD-PAR-550-22-P009</v>
          </cell>
          <cell r="X958"/>
        </row>
        <row r="959">
          <cell r="B959" t="str">
            <v>SD-PAR-550-22-P009</v>
          </cell>
          <cell r="X959"/>
        </row>
        <row r="960">
          <cell r="B960" t="str">
            <v>SD-PAR-550-22-P010</v>
          </cell>
          <cell r="X960">
            <v>1</v>
          </cell>
        </row>
        <row r="961">
          <cell r="B961" t="str">
            <v>SD-PAR-550-22-P010</v>
          </cell>
          <cell r="X961"/>
        </row>
        <row r="962">
          <cell r="B962" t="str">
            <v>SD-PAR-550-22-P010</v>
          </cell>
          <cell r="X962"/>
        </row>
        <row r="963">
          <cell r="B963" t="str">
            <v>SD-PAR-550-22-P010</v>
          </cell>
          <cell r="X963"/>
        </row>
        <row r="964">
          <cell r="B964" t="str">
            <v>SD-PAR-550-22-P010</v>
          </cell>
          <cell r="X964"/>
        </row>
        <row r="965">
          <cell r="B965" t="str">
            <v>SD-PAR-550-22-P010</v>
          </cell>
          <cell r="X965"/>
        </row>
        <row r="966">
          <cell r="B966" t="str">
            <v>SD-PAR-550-22-P010</v>
          </cell>
          <cell r="X966"/>
        </row>
        <row r="967">
          <cell r="B967" t="str">
            <v>SD-PAR-550-22-P010</v>
          </cell>
          <cell r="X967"/>
        </row>
        <row r="968">
          <cell r="B968" t="str">
            <v>SD-PAR-550-22-P010</v>
          </cell>
          <cell r="X968"/>
        </row>
        <row r="969">
          <cell r="B969" t="str">
            <v>SD-PAR-550-22-P010</v>
          </cell>
          <cell r="X969"/>
        </row>
        <row r="970">
          <cell r="B970" t="str">
            <v>SD-PAR-550-22-P010</v>
          </cell>
          <cell r="X970"/>
        </row>
        <row r="971">
          <cell r="B971" t="str">
            <v>SD-PAR-550-22-P010</v>
          </cell>
          <cell r="X971"/>
        </row>
        <row r="972">
          <cell r="B972" t="str">
            <v>SD-PAR-550-22-P010</v>
          </cell>
          <cell r="X972"/>
        </row>
        <row r="973">
          <cell r="B973" t="str">
            <v>SD-PAR-550-22-P015</v>
          </cell>
          <cell r="X973">
            <v>1</v>
          </cell>
        </row>
        <row r="974">
          <cell r="B974" t="str">
            <v>SD-PAR-550-22-P015</v>
          </cell>
          <cell r="X974"/>
        </row>
        <row r="975">
          <cell r="B975" t="str">
            <v>SD-PAR-550-22-P015</v>
          </cell>
          <cell r="X975"/>
        </row>
        <row r="976">
          <cell r="B976" t="str">
            <v>SD-PAR-550-22-P015</v>
          </cell>
          <cell r="X976"/>
        </row>
        <row r="977">
          <cell r="B977" t="str">
            <v>SD-PAR-550-22-P015</v>
          </cell>
          <cell r="X977"/>
        </row>
        <row r="978">
          <cell r="B978" t="str">
            <v>SD-PAR-550-22-P015</v>
          </cell>
          <cell r="X978"/>
        </row>
        <row r="979">
          <cell r="B979" t="str">
            <v>SD-PAR-550-22-P015</v>
          </cell>
          <cell r="X979"/>
        </row>
        <row r="980">
          <cell r="B980" t="str">
            <v>SD-PAR-550-22-P015</v>
          </cell>
          <cell r="X980"/>
        </row>
        <row r="981">
          <cell r="B981" t="str">
            <v>SD-PAR-550-22-P015</v>
          </cell>
          <cell r="X981"/>
        </row>
        <row r="982">
          <cell r="B982" t="str">
            <v>SD-PAR-550-22-P015</v>
          </cell>
          <cell r="X982"/>
        </row>
        <row r="983">
          <cell r="B983" t="str">
            <v>SD-PAR-550-22-P016</v>
          </cell>
          <cell r="X983">
            <v>1</v>
          </cell>
        </row>
        <row r="984">
          <cell r="B984" t="str">
            <v>SD-PAR-550-22-P016</v>
          </cell>
          <cell r="X984"/>
        </row>
        <row r="985">
          <cell r="B985" t="str">
            <v>SD-PAR-550-22-P016</v>
          </cell>
          <cell r="X985"/>
        </row>
        <row r="986">
          <cell r="B986" t="str">
            <v>SD-PAR-550-22-P016</v>
          </cell>
          <cell r="X986"/>
        </row>
        <row r="987">
          <cell r="B987" t="str">
            <v>SD-PAR-550-22-P016</v>
          </cell>
          <cell r="X987"/>
        </row>
        <row r="988">
          <cell r="B988" t="str">
            <v>SD-PAR-550-22-P016</v>
          </cell>
          <cell r="X988"/>
        </row>
        <row r="989">
          <cell r="B989" t="str">
            <v>SD-PAR-550-22-P016</v>
          </cell>
          <cell r="X989"/>
        </row>
        <row r="990">
          <cell r="B990" t="str">
            <v>SD-PAR-550-22-P016</v>
          </cell>
          <cell r="X990"/>
        </row>
        <row r="991">
          <cell r="B991" t="str">
            <v>SD-PAR-550-22-P016</v>
          </cell>
          <cell r="X991"/>
        </row>
        <row r="992">
          <cell r="B992" t="str">
            <v>SD-PAR-550-22-P016</v>
          </cell>
          <cell r="X992"/>
        </row>
        <row r="993">
          <cell r="B993" t="str">
            <v>SD-PAR-550-22-P017</v>
          </cell>
          <cell r="X993">
            <v>1</v>
          </cell>
        </row>
        <row r="994">
          <cell r="B994" t="str">
            <v>SD-PAR-550-22-P017</v>
          </cell>
          <cell r="X994"/>
        </row>
        <row r="995">
          <cell r="B995" t="str">
            <v>SD-PAR-550-22-P017</v>
          </cell>
          <cell r="X995"/>
        </row>
        <row r="996">
          <cell r="B996" t="str">
            <v>SD-PAR-550-22-P017</v>
          </cell>
          <cell r="X996"/>
        </row>
        <row r="997">
          <cell r="B997" t="str">
            <v>SD-PAR-550-22-P017</v>
          </cell>
          <cell r="X997"/>
        </row>
        <row r="998">
          <cell r="B998" t="str">
            <v>SD-PAR-550-22-P017</v>
          </cell>
          <cell r="X998"/>
        </row>
        <row r="999">
          <cell r="B999" t="str">
            <v>SD-PAR-550-22-P017</v>
          </cell>
          <cell r="X999"/>
        </row>
        <row r="1000">
          <cell r="B1000" t="str">
            <v>SD-PAR-550-22-P017</v>
          </cell>
          <cell r="X1000"/>
        </row>
        <row r="1001">
          <cell r="B1001" t="str">
            <v>SD-PAR-550-22-P017</v>
          </cell>
          <cell r="X1001"/>
        </row>
        <row r="1002">
          <cell r="B1002" t="str">
            <v>SD-PAR-550-22-P017</v>
          </cell>
          <cell r="X1002"/>
        </row>
        <row r="1003">
          <cell r="B1003" t="str">
            <v>SD-PAR-550-22-P017</v>
          </cell>
          <cell r="X1003"/>
        </row>
        <row r="1004">
          <cell r="B1004" t="str">
            <v>SD-PAR-550-22-P017</v>
          </cell>
          <cell r="X1004"/>
        </row>
        <row r="1005">
          <cell r="B1005" t="str">
            <v>SD-PAR-550-22SL-S5001</v>
          </cell>
          <cell r="X1005">
            <v>1</v>
          </cell>
        </row>
        <row r="1006">
          <cell r="B1006" t="str">
            <v>SD-PAR-550-22SL-S5001</v>
          </cell>
          <cell r="X1006"/>
        </row>
        <row r="1007">
          <cell r="B1007" t="str">
            <v>SD-PAR-550-22SL-S5001</v>
          </cell>
          <cell r="X1007"/>
        </row>
        <row r="1008">
          <cell r="B1008" t="str">
            <v>SD-PAR-550-22SL-S5001</v>
          </cell>
          <cell r="X1008"/>
        </row>
        <row r="1009">
          <cell r="B1009" t="str">
            <v>SD-PAR-550-22SL-S5001</v>
          </cell>
          <cell r="X1009"/>
        </row>
        <row r="1010">
          <cell r="B1010" t="str">
            <v>SD-PAR-550-22SL-S5001</v>
          </cell>
          <cell r="X1010"/>
        </row>
        <row r="1011">
          <cell r="B1011" t="str">
            <v>SD-PAR-550-22SL-S5001</v>
          </cell>
          <cell r="X1011"/>
        </row>
        <row r="1012">
          <cell r="B1012" t="str">
            <v>SD-PAR-550-22SL-S5001</v>
          </cell>
          <cell r="X1012"/>
        </row>
        <row r="1013">
          <cell r="B1013" t="str">
            <v>SD-PAR-550-22SL-S5001</v>
          </cell>
          <cell r="X1013"/>
        </row>
        <row r="1014">
          <cell r="B1014" t="str">
            <v>SD-PAR-550-22SL-S5001</v>
          </cell>
          <cell r="X1014"/>
        </row>
        <row r="1015">
          <cell r="B1015" t="str">
            <v>SD-PAR-550-22SL-S5001</v>
          </cell>
          <cell r="X1015"/>
        </row>
        <row r="1016">
          <cell r="B1016" t="str">
            <v>SD-PAR-550-22SL-S5002</v>
          </cell>
          <cell r="X1016">
            <v>1</v>
          </cell>
        </row>
        <row r="1017">
          <cell r="B1017" t="str">
            <v>SD-PAR-550-22SL-S5002</v>
          </cell>
          <cell r="X1017"/>
        </row>
        <row r="1018">
          <cell r="B1018" t="str">
            <v>SD-PAR-550-22SL-S5002</v>
          </cell>
          <cell r="X1018"/>
        </row>
        <row r="1019">
          <cell r="B1019" t="str">
            <v>SD-PAR-550-22SL-S5002</v>
          </cell>
          <cell r="X1019"/>
        </row>
        <row r="1020">
          <cell r="B1020" t="str">
            <v>SD-PAR-550-22SL-S5002</v>
          </cell>
          <cell r="X1020"/>
        </row>
        <row r="1021">
          <cell r="B1021" t="str">
            <v>SD-PAR-550-22SL-S5002</v>
          </cell>
          <cell r="X1021"/>
        </row>
        <row r="1022">
          <cell r="B1022" t="str">
            <v>SD-PAR-550-22SL-S5002</v>
          </cell>
          <cell r="X1022"/>
        </row>
        <row r="1023">
          <cell r="B1023" t="str">
            <v>SD-PAR-550-22SL-S5002</v>
          </cell>
          <cell r="X1023"/>
        </row>
        <row r="1024">
          <cell r="B1024" t="str">
            <v>SD-PAR-550-22SL-S5002</v>
          </cell>
          <cell r="X1024"/>
        </row>
        <row r="1025">
          <cell r="B1025" t="str">
            <v>SD-PAR-550-22SL-S5002</v>
          </cell>
          <cell r="X1025"/>
        </row>
        <row r="1026">
          <cell r="B1026" t="str">
            <v>SD-PAR-550-22SL-S5002</v>
          </cell>
          <cell r="X1026"/>
        </row>
        <row r="1027">
          <cell r="B1027" t="str">
            <v>SD-PAR-550-22SL-S5003</v>
          </cell>
          <cell r="X1027">
            <v>1</v>
          </cell>
        </row>
        <row r="1028">
          <cell r="B1028" t="str">
            <v>SD-PAR-550-22SL-S5003</v>
          </cell>
          <cell r="X1028"/>
        </row>
        <row r="1029">
          <cell r="B1029" t="str">
            <v>SD-PAR-550-22SL-S5003</v>
          </cell>
          <cell r="X1029"/>
        </row>
        <row r="1030">
          <cell r="B1030" t="str">
            <v>SD-PAR-550-22SL-S5003</v>
          </cell>
          <cell r="X1030"/>
        </row>
        <row r="1031">
          <cell r="B1031" t="str">
            <v>SD-PAR-550-22SL-S5003</v>
          </cell>
          <cell r="X1031"/>
        </row>
        <row r="1032">
          <cell r="B1032" t="str">
            <v>SD-PAR-550-22SL-S5003</v>
          </cell>
          <cell r="X1032"/>
        </row>
        <row r="1033">
          <cell r="B1033" t="str">
            <v>SD-PAR-550-22SL-S5003</v>
          </cell>
          <cell r="X1033"/>
        </row>
        <row r="1034">
          <cell r="B1034" t="str">
            <v>SD-PAR-550-22SL-S5003</v>
          </cell>
          <cell r="X1034"/>
        </row>
        <row r="1035">
          <cell r="B1035" t="str">
            <v>SD-PAR-550-22SL-S5003</v>
          </cell>
          <cell r="X1035"/>
        </row>
        <row r="1036">
          <cell r="B1036" t="str">
            <v>SD-PAR-550-22SL-S5003</v>
          </cell>
          <cell r="X1036"/>
        </row>
        <row r="1037">
          <cell r="B1037" t="str">
            <v>SD-PAR-550-22SL-S5003</v>
          </cell>
          <cell r="X1037"/>
        </row>
        <row r="1038">
          <cell r="B1038" t="str">
            <v>SD-PAR-550-22SL-S5004</v>
          </cell>
          <cell r="X1038">
            <v>1</v>
          </cell>
        </row>
        <row r="1039">
          <cell r="B1039" t="str">
            <v>SD-PAR-550-22SL-S5004</v>
          </cell>
          <cell r="X1039"/>
        </row>
        <row r="1040">
          <cell r="B1040" t="str">
            <v>SD-PAR-550-22SL-S5004</v>
          </cell>
          <cell r="X1040"/>
        </row>
        <row r="1041">
          <cell r="B1041" t="str">
            <v>SD-PAR-550-22SL-S5004</v>
          </cell>
          <cell r="X1041"/>
        </row>
        <row r="1042">
          <cell r="B1042" t="str">
            <v>SD-PAR-550-22SL-S5004</v>
          </cell>
          <cell r="X1042"/>
        </row>
        <row r="1043">
          <cell r="B1043" t="str">
            <v>SD-PAR-550-22SL-S5004</v>
          </cell>
          <cell r="X1043"/>
        </row>
        <row r="1044">
          <cell r="B1044" t="str">
            <v>SD-PAR-550-22SL-S5004</v>
          </cell>
          <cell r="X1044"/>
        </row>
        <row r="1045">
          <cell r="B1045" t="str">
            <v>SD-PAR-550-22SL-S5004</v>
          </cell>
          <cell r="X1045"/>
        </row>
        <row r="1046">
          <cell r="B1046" t="str">
            <v>SD-PAR-550-22SL-S5004</v>
          </cell>
          <cell r="X1046"/>
        </row>
        <row r="1047">
          <cell r="B1047" t="str">
            <v>SD-PAR-550-22SL-S5004</v>
          </cell>
          <cell r="X1047"/>
        </row>
        <row r="1048">
          <cell r="B1048" t="str">
            <v>SD-PAR-550-22SL-S5004</v>
          </cell>
          <cell r="X1048"/>
        </row>
        <row r="1049">
          <cell r="B1049" t="str">
            <v>SD-PAR-550-22SL-S5005</v>
          </cell>
          <cell r="X1049">
            <v>1</v>
          </cell>
        </row>
        <row r="1050">
          <cell r="B1050" t="str">
            <v>SD-PAR-550-22SL-S5005</v>
          </cell>
          <cell r="X1050"/>
        </row>
        <row r="1051">
          <cell r="B1051" t="str">
            <v>SD-PAR-550-22SL-S5005</v>
          </cell>
          <cell r="X1051"/>
        </row>
        <row r="1052">
          <cell r="B1052" t="str">
            <v>SD-PAR-550-22SL-S5005</v>
          </cell>
          <cell r="X1052"/>
        </row>
        <row r="1053">
          <cell r="B1053" t="str">
            <v>SD-PAR-550-22SL-S5005</v>
          </cell>
          <cell r="X1053"/>
        </row>
        <row r="1054">
          <cell r="B1054" t="str">
            <v>SD-PAR-550-22SL-S5005</v>
          </cell>
          <cell r="X1054"/>
        </row>
        <row r="1055">
          <cell r="B1055" t="str">
            <v>SD-PAR-550-22SL-S5005</v>
          </cell>
          <cell r="X1055"/>
        </row>
        <row r="1056">
          <cell r="B1056" t="str">
            <v>SD-PAR-550-22SL-S5005</v>
          </cell>
          <cell r="X1056"/>
        </row>
        <row r="1057">
          <cell r="B1057" t="str">
            <v>SD-PAR-550-22SL-S5005</v>
          </cell>
          <cell r="X1057"/>
        </row>
        <row r="1058">
          <cell r="B1058" t="str">
            <v>SD-PAR-550-22SL-S5005</v>
          </cell>
          <cell r="X1058"/>
        </row>
        <row r="1059">
          <cell r="B1059" t="str">
            <v>SD-PAR-550-22SL-S5006</v>
          </cell>
          <cell r="X1059">
            <v>1</v>
          </cell>
        </row>
        <row r="1060">
          <cell r="B1060" t="str">
            <v>SD-PAR-550-22SL-S5006</v>
          </cell>
          <cell r="X1060"/>
        </row>
        <row r="1061">
          <cell r="B1061" t="str">
            <v>SD-PAR-550-22SL-S5006</v>
          </cell>
          <cell r="X1061"/>
        </row>
        <row r="1062">
          <cell r="B1062" t="str">
            <v>SD-PAR-550-22SL-S5006</v>
          </cell>
          <cell r="X1062"/>
        </row>
        <row r="1063">
          <cell r="B1063" t="str">
            <v>SD-PAR-550-22SL-S5006</v>
          </cell>
          <cell r="X1063"/>
        </row>
        <row r="1064">
          <cell r="B1064" t="str">
            <v>SD-PAR-550-22SL-S5006</v>
          </cell>
          <cell r="X1064"/>
        </row>
        <row r="1065">
          <cell r="B1065" t="str">
            <v>SD-PAR-550-22SL-S5006</v>
          </cell>
          <cell r="X1065"/>
        </row>
        <row r="1066">
          <cell r="B1066" t="str">
            <v>SD-PAR-550-22SL-S5006</v>
          </cell>
          <cell r="X1066"/>
        </row>
        <row r="1067">
          <cell r="B1067" t="str">
            <v>SD-PAR-550-22SL-S5006</v>
          </cell>
          <cell r="X1067"/>
        </row>
        <row r="1068">
          <cell r="B1068" t="str">
            <v>SD-PAR-550-22SL-S5006</v>
          </cell>
          <cell r="X1068"/>
        </row>
        <row r="1069">
          <cell r="B1069" t="str">
            <v>SD-PAR-550-22SL-S5007</v>
          </cell>
          <cell r="X1069">
            <v>1</v>
          </cell>
        </row>
        <row r="1070">
          <cell r="B1070" t="str">
            <v>SD-PAR-550-22SL-S5007</v>
          </cell>
          <cell r="X1070"/>
        </row>
        <row r="1071">
          <cell r="B1071" t="str">
            <v>SD-PAR-550-22SL-S5007</v>
          </cell>
          <cell r="X1071"/>
        </row>
        <row r="1072">
          <cell r="B1072" t="str">
            <v>SD-PAR-550-22SL-S5007</v>
          </cell>
          <cell r="X1072"/>
        </row>
        <row r="1073">
          <cell r="B1073" t="str">
            <v>SD-PAR-550-22SL-S5007</v>
          </cell>
          <cell r="X1073"/>
        </row>
        <row r="1074">
          <cell r="B1074" t="str">
            <v>SD-PAR-550-22SL-S5007</v>
          </cell>
          <cell r="X1074"/>
        </row>
        <row r="1075">
          <cell r="B1075" t="str">
            <v>SD-PAR-550-22SL-S5007</v>
          </cell>
          <cell r="X1075"/>
        </row>
        <row r="1076">
          <cell r="B1076" t="str">
            <v>SD-PAR-550-22SL-S5007</v>
          </cell>
          <cell r="X1076"/>
        </row>
        <row r="1077">
          <cell r="B1077" t="str">
            <v>SD-PAR-550-22SL-S5007</v>
          </cell>
          <cell r="X1077"/>
        </row>
        <row r="1078">
          <cell r="B1078" t="str">
            <v>SD-PAR-550-22SL-S5007</v>
          </cell>
          <cell r="X1078"/>
        </row>
        <row r="1079">
          <cell r="B1079" t="str">
            <v>SD-PAR-550-22SL-S5008</v>
          </cell>
          <cell r="X1079">
            <v>1</v>
          </cell>
        </row>
        <row r="1080">
          <cell r="B1080" t="str">
            <v>SD-PAR-550-22SL-S5008</v>
          </cell>
          <cell r="X1080"/>
        </row>
        <row r="1081">
          <cell r="B1081" t="str">
            <v>SD-PAR-550-22SL-S5008</v>
          </cell>
          <cell r="X1081"/>
        </row>
        <row r="1082">
          <cell r="B1082" t="str">
            <v>SD-PAR-550-22SL-S5008</v>
          </cell>
          <cell r="X1082"/>
        </row>
        <row r="1083">
          <cell r="B1083" t="str">
            <v>SD-PAR-550-22SL-S5008</v>
          </cell>
          <cell r="X1083"/>
        </row>
        <row r="1084">
          <cell r="B1084" t="str">
            <v>SD-PAR-550-22SL-S5008</v>
          </cell>
          <cell r="X1084"/>
        </row>
        <row r="1085">
          <cell r="B1085" t="str">
            <v>SD-PAR-550-22SL-S5008</v>
          </cell>
          <cell r="X1085"/>
        </row>
        <row r="1086">
          <cell r="B1086" t="str">
            <v>SD-PAR-550-22SL-S5008</v>
          </cell>
          <cell r="X1086"/>
        </row>
        <row r="1087">
          <cell r="B1087" t="str">
            <v>SD-PAR-550-22SL-S5008</v>
          </cell>
          <cell r="X1087"/>
        </row>
        <row r="1088">
          <cell r="B1088" t="str">
            <v>SD-PAR-550-22SL-S5008</v>
          </cell>
          <cell r="X1088"/>
        </row>
        <row r="1089">
          <cell r="B1089" t="str">
            <v>SD-PAR-550-22SL-S5009</v>
          </cell>
          <cell r="X1089">
            <v>1</v>
          </cell>
        </row>
        <row r="1090">
          <cell r="B1090" t="str">
            <v>SD-PAR-550-22SL-S5009</v>
          </cell>
          <cell r="X1090"/>
        </row>
        <row r="1091">
          <cell r="B1091" t="str">
            <v>SD-PAR-550-22SL-S5009</v>
          </cell>
          <cell r="X1091"/>
        </row>
        <row r="1092">
          <cell r="B1092" t="str">
            <v>SD-PAR-550-22SL-S5009</v>
          </cell>
          <cell r="X1092"/>
        </row>
        <row r="1093">
          <cell r="B1093" t="str">
            <v>SD-PAR-550-22SL-S5009</v>
          </cell>
          <cell r="X1093"/>
        </row>
        <row r="1094">
          <cell r="B1094" t="str">
            <v>SD-PAR-550-22SL-S5009</v>
          </cell>
          <cell r="X1094"/>
        </row>
        <row r="1095">
          <cell r="B1095" t="str">
            <v>SD-PAR-550-22SL-S5009</v>
          </cell>
          <cell r="X1095"/>
        </row>
        <row r="1096">
          <cell r="B1096" t="str">
            <v>SD-PAR-550-22SL-S5009</v>
          </cell>
          <cell r="X1096"/>
        </row>
        <row r="1097">
          <cell r="B1097" t="str">
            <v>SD-PAR-550-22SL-S5009</v>
          </cell>
          <cell r="X1097"/>
        </row>
        <row r="1098">
          <cell r="B1098" t="str">
            <v>SD-PAR-550-22SL-S5009</v>
          </cell>
          <cell r="X1098"/>
        </row>
        <row r="1099">
          <cell r="B1099" t="str">
            <v>SD-PAR-550-22SL-S5010</v>
          </cell>
          <cell r="X1099">
            <v>1</v>
          </cell>
        </row>
        <row r="1100">
          <cell r="B1100" t="str">
            <v>SD-PAR-550-22SL-S5010</v>
          </cell>
          <cell r="X1100"/>
        </row>
        <row r="1101">
          <cell r="B1101" t="str">
            <v>SD-PAR-550-22SL-S5010</v>
          </cell>
          <cell r="X1101"/>
        </row>
        <row r="1102">
          <cell r="B1102" t="str">
            <v>SD-PAR-550-22SL-S5010</v>
          </cell>
          <cell r="X1102"/>
        </row>
        <row r="1103">
          <cell r="B1103" t="str">
            <v>SD-PAR-550-22SL-S5010</v>
          </cell>
          <cell r="X1103"/>
        </row>
        <row r="1104">
          <cell r="B1104" t="str">
            <v>SD-PAR-550-22SL-S5010</v>
          </cell>
          <cell r="X1104"/>
        </row>
        <row r="1105">
          <cell r="B1105" t="str">
            <v>SD-PAR-550-22SL-S5010</v>
          </cell>
          <cell r="X1105"/>
        </row>
        <row r="1106">
          <cell r="B1106" t="str">
            <v>SD-PAR-550-22SL-S5010</v>
          </cell>
          <cell r="X1106"/>
        </row>
        <row r="1107">
          <cell r="B1107" t="str">
            <v>SD-PAR-550-22SL-S5010</v>
          </cell>
          <cell r="X1107"/>
        </row>
        <row r="1108">
          <cell r="B1108" t="str">
            <v>SD-PAR-550-22SL-S5010</v>
          </cell>
          <cell r="X1108"/>
        </row>
        <row r="1109">
          <cell r="B1109" t="str">
            <v>SD-PAR-550-22SL-S5011</v>
          </cell>
          <cell r="X1109">
            <v>1</v>
          </cell>
        </row>
        <row r="1110">
          <cell r="B1110" t="str">
            <v>SD-PAR-550-22SL-S5011</v>
          </cell>
          <cell r="X1110"/>
        </row>
        <row r="1111">
          <cell r="B1111" t="str">
            <v>SD-PAR-550-22SL-S5011</v>
          </cell>
          <cell r="X1111"/>
        </row>
        <row r="1112">
          <cell r="B1112" t="str">
            <v>SD-PAR-550-22SL-S5011</v>
          </cell>
          <cell r="X1112"/>
        </row>
        <row r="1113">
          <cell r="B1113" t="str">
            <v>SD-PAR-550-22SL-S5011</v>
          </cell>
          <cell r="X1113"/>
        </row>
        <row r="1114">
          <cell r="B1114" t="str">
            <v>SD-PAR-550-22SL-S5011</v>
          </cell>
          <cell r="X1114"/>
        </row>
        <row r="1115">
          <cell r="B1115" t="str">
            <v>SD-PAR-550-22SL-S5011</v>
          </cell>
          <cell r="X1115"/>
        </row>
        <row r="1116">
          <cell r="B1116" t="str">
            <v>SD-PAR-550-22SL-S5011</v>
          </cell>
          <cell r="X1116"/>
        </row>
        <row r="1117">
          <cell r="B1117" t="str">
            <v>SD-PAR-550-22SL-S5011</v>
          </cell>
          <cell r="X1117"/>
        </row>
        <row r="1118">
          <cell r="B1118" t="str">
            <v>SD-PAR-550-22SL-S5011</v>
          </cell>
          <cell r="X1118"/>
        </row>
        <row r="1119">
          <cell r="B1119" t="str">
            <v>SD-PAR-550-22SL-S5011</v>
          </cell>
          <cell r="X1119"/>
        </row>
        <row r="1120">
          <cell r="B1120" t="str">
            <v>SD-PAR-550-22SL-S5012</v>
          </cell>
          <cell r="X1120">
            <v>1</v>
          </cell>
        </row>
        <row r="1121">
          <cell r="B1121" t="str">
            <v>SD-PAR-550-22SL-S5012</v>
          </cell>
          <cell r="X1121"/>
        </row>
        <row r="1122">
          <cell r="B1122" t="str">
            <v>SD-PAR-550-22SL-S5012</v>
          </cell>
          <cell r="X1122"/>
        </row>
        <row r="1123">
          <cell r="B1123" t="str">
            <v>SD-PAR-550-22SL-S5012</v>
          </cell>
          <cell r="X1123"/>
        </row>
        <row r="1124">
          <cell r="B1124" t="str">
            <v>SD-PAR-550-22SL-S5012</v>
          </cell>
          <cell r="X1124"/>
        </row>
        <row r="1125">
          <cell r="B1125" t="str">
            <v>SD-PAR-550-22SL-S5012</v>
          </cell>
          <cell r="X1125"/>
        </row>
        <row r="1126">
          <cell r="B1126" t="str">
            <v>SD-PAR-550-22SL-S5012</v>
          </cell>
          <cell r="X1126"/>
        </row>
        <row r="1127">
          <cell r="B1127" t="str">
            <v>SD-PAR-550-22SL-S5012</v>
          </cell>
          <cell r="X1127"/>
        </row>
        <row r="1128">
          <cell r="B1128" t="str">
            <v>SD-PAR-550-22SL-S5012</v>
          </cell>
          <cell r="X1128"/>
        </row>
        <row r="1129">
          <cell r="B1129" t="str">
            <v>SD-PAR-550-22SL-S5012</v>
          </cell>
          <cell r="X1129"/>
        </row>
        <row r="1130">
          <cell r="B1130" t="str">
            <v>SD-PAR-550-22SL-S5013</v>
          </cell>
          <cell r="X1130">
            <v>1</v>
          </cell>
        </row>
        <row r="1131">
          <cell r="B1131" t="str">
            <v>SD-PAR-550-22SL-S5013</v>
          </cell>
          <cell r="X1131"/>
        </row>
        <row r="1132">
          <cell r="B1132" t="str">
            <v>SD-PAR-550-22SL-S5013</v>
          </cell>
          <cell r="X1132"/>
        </row>
        <row r="1133">
          <cell r="B1133" t="str">
            <v>SD-PAR-550-22SL-S5013</v>
          </cell>
          <cell r="X1133"/>
        </row>
        <row r="1134">
          <cell r="B1134" t="str">
            <v>SD-PAR-550-22SL-S5013</v>
          </cell>
          <cell r="X1134"/>
        </row>
        <row r="1135">
          <cell r="B1135" t="str">
            <v>SD-PAR-550-22SL-S5013</v>
          </cell>
          <cell r="X1135"/>
        </row>
        <row r="1136">
          <cell r="B1136" t="str">
            <v>SD-PAR-550-22SL-S5013</v>
          </cell>
          <cell r="X1136"/>
        </row>
        <row r="1137">
          <cell r="B1137" t="str">
            <v>SD-PAR-550-22SL-S5013</v>
          </cell>
          <cell r="X1137"/>
        </row>
        <row r="1138">
          <cell r="B1138" t="str">
            <v>SD-PAR-550-22SL-S5013</v>
          </cell>
          <cell r="X1138"/>
        </row>
        <row r="1139">
          <cell r="B1139" t="str">
            <v>SD-PAR-550-22SL-S5013</v>
          </cell>
          <cell r="X1139"/>
        </row>
        <row r="1140">
          <cell r="B1140" t="str">
            <v>SD-PAR-550-22SL-S5014</v>
          </cell>
          <cell r="X1140">
            <v>1</v>
          </cell>
        </row>
        <row r="1141">
          <cell r="B1141" t="str">
            <v>SD-PAR-550-22SL-S5014</v>
          </cell>
          <cell r="X1141"/>
        </row>
        <row r="1142">
          <cell r="B1142" t="str">
            <v>SD-PAR-550-22SL-S5014</v>
          </cell>
          <cell r="X1142"/>
        </row>
        <row r="1143">
          <cell r="B1143" t="str">
            <v>SD-PAR-550-22SL-S5014</v>
          </cell>
          <cell r="X1143"/>
        </row>
        <row r="1144">
          <cell r="B1144" t="str">
            <v>SD-PAR-550-22SL-S5014</v>
          </cell>
          <cell r="X1144"/>
        </row>
        <row r="1145">
          <cell r="B1145" t="str">
            <v>SD-PAR-550-22SL-S5014</v>
          </cell>
          <cell r="X1145"/>
        </row>
        <row r="1146">
          <cell r="B1146" t="str">
            <v>SD-PAR-550-22SL-S5014</v>
          </cell>
          <cell r="X1146"/>
        </row>
        <row r="1147">
          <cell r="B1147" t="str">
            <v>SD-PAR-550-22SL-S5014</v>
          </cell>
          <cell r="X1147"/>
        </row>
        <row r="1148">
          <cell r="B1148" t="str">
            <v>SD-PAR-550-22SL-S5014</v>
          </cell>
          <cell r="X1148"/>
        </row>
        <row r="1149">
          <cell r="B1149" t="str">
            <v>SD-PAR-550-22SL-S5014</v>
          </cell>
          <cell r="X1149"/>
        </row>
        <row r="1150">
          <cell r="B1150" t="str">
            <v>SD-PAR-550-22SL-S5014</v>
          </cell>
          <cell r="X1150"/>
        </row>
        <row r="1151">
          <cell r="B1151" t="str">
            <v>SD-PAR-550-22SL-S5015</v>
          </cell>
          <cell r="X1151">
            <v>1</v>
          </cell>
        </row>
        <row r="1152">
          <cell r="B1152" t="str">
            <v>SD-PAR-550-22SL-S5015</v>
          </cell>
          <cell r="X1152"/>
        </row>
        <row r="1153">
          <cell r="B1153" t="str">
            <v>SD-PAR-550-22SL-S5015</v>
          </cell>
          <cell r="X1153"/>
        </row>
        <row r="1154">
          <cell r="B1154" t="str">
            <v>SD-PAR-550-22SL-S5015</v>
          </cell>
          <cell r="X1154"/>
        </row>
        <row r="1155">
          <cell r="B1155" t="str">
            <v>SD-PAR-550-22SL-S5015</v>
          </cell>
          <cell r="X1155"/>
        </row>
        <row r="1156">
          <cell r="B1156" t="str">
            <v>SD-PAR-550-22SL-S5015</v>
          </cell>
          <cell r="X1156"/>
        </row>
        <row r="1157">
          <cell r="B1157" t="str">
            <v>SD-PAR-550-22SL-S5015</v>
          </cell>
          <cell r="X1157"/>
        </row>
        <row r="1158">
          <cell r="B1158" t="str">
            <v>SD-PAR-550-22SL-S5015</v>
          </cell>
          <cell r="X1158"/>
        </row>
        <row r="1159">
          <cell r="B1159" t="str">
            <v>SD-PAR-550-22SL-S5015</v>
          </cell>
          <cell r="X1159"/>
        </row>
        <row r="1160">
          <cell r="B1160" t="str">
            <v>SD-PAR-550-22SL-S5015</v>
          </cell>
          <cell r="X1160"/>
        </row>
        <row r="1161">
          <cell r="B1161" t="str">
            <v>SD-PAR-550-22SL-S5015</v>
          </cell>
          <cell r="X1161"/>
        </row>
        <row r="1162">
          <cell r="B1162" t="str">
            <v>SD-PAR-550-22SL-S5016</v>
          </cell>
          <cell r="X1162">
            <v>1</v>
          </cell>
        </row>
        <row r="1163">
          <cell r="B1163" t="str">
            <v>SD-PAR-550-22SL-S5016</v>
          </cell>
          <cell r="X1163"/>
        </row>
        <row r="1164">
          <cell r="B1164" t="str">
            <v>SD-PAR-550-22SL-S5016</v>
          </cell>
          <cell r="X1164"/>
        </row>
        <row r="1165">
          <cell r="B1165" t="str">
            <v>SD-PAR-550-22SL-S5016</v>
          </cell>
          <cell r="X1165"/>
        </row>
        <row r="1166">
          <cell r="B1166" t="str">
            <v>SD-PAR-550-22SL-S5016</v>
          </cell>
          <cell r="X1166"/>
        </row>
        <row r="1167">
          <cell r="B1167" t="str">
            <v>SD-PAR-550-22SL-S5016</v>
          </cell>
          <cell r="X1167"/>
        </row>
        <row r="1168">
          <cell r="B1168" t="str">
            <v>SD-PAR-550-22SL-S5016</v>
          </cell>
          <cell r="X1168"/>
        </row>
        <row r="1169">
          <cell r="B1169" t="str">
            <v>SD-PAR-550-22SL-S5016</v>
          </cell>
          <cell r="X1169"/>
        </row>
        <row r="1170">
          <cell r="B1170" t="str">
            <v>SD-PAR-550-22SL-S5016</v>
          </cell>
          <cell r="X1170"/>
        </row>
        <row r="1171">
          <cell r="B1171" t="str">
            <v>SD-PAR-550-22SL-S5016</v>
          </cell>
          <cell r="X1171"/>
        </row>
        <row r="1172">
          <cell r="B1172" t="str">
            <v>SD-PAR-550-22SL-S5016</v>
          </cell>
          <cell r="X1172"/>
        </row>
        <row r="1173">
          <cell r="B1173" t="str">
            <v>SD-PAR-550-22SL-S5017</v>
          </cell>
          <cell r="X1173">
            <v>1</v>
          </cell>
        </row>
        <row r="1174">
          <cell r="B1174" t="str">
            <v>SD-PAR-550-22SL-S5017</v>
          </cell>
          <cell r="X1174"/>
        </row>
        <row r="1175">
          <cell r="B1175" t="str">
            <v>SD-PAR-550-22SL-S5017</v>
          </cell>
          <cell r="X1175"/>
        </row>
        <row r="1176">
          <cell r="B1176" t="str">
            <v>SD-PAR-550-22SL-S5017</v>
          </cell>
          <cell r="X1176"/>
        </row>
        <row r="1177">
          <cell r="B1177" t="str">
            <v>SD-PAR-550-22SL-S5017</v>
          </cell>
          <cell r="X1177"/>
        </row>
        <row r="1178">
          <cell r="B1178" t="str">
            <v>SD-PAR-550-22SL-S5017</v>
          </cell>
          <cell r="X1178"/>
        </row>
        <row r="1179">
          <cell r="B1179" t="str">
            <v>SD-PAR-550-22SL-S5017</v>
          </cell>
          <cell r="X1179"/>
        </row>
        <row r="1180">
          <cell r="B1180" t="str">
            <v>SD-PAR-550-22SL-S5017</v>
          </cell>
          <cell r="X1180"/>
        </row>
        <row r="1181">
          <cell r="B1181" t="str">
            <v>SD-PAR-550-22SL-S5017</v>
          </cell>
          <cell r="X1181"/>
        </row>
        <row r="1182">
          <cell r="B1182" t="str">
            <v>SD-PAR-550-22SL-S5017</v>
          </cell>
          <cell r="X1182"/>
        </row>
        <row r="1183">
          <cell r="B1183" t="str">
            <v>SD-PAR-550-22SL-S5017</v>
          </cell>
          <cell r="X1183"/>
        </row>
        <row r="1184">
          <cell r="B1184" t="str">
            <v>SD-PAR-550-22SL-S5018</v>
          </cell>
          <cell r="X1184">
            <v>1</v>
          </cell>
        </row>
        <row r="1185">
          <cell r="B1185" t="str">
            <v>SD-PAR-550-22SL-S5018</v>
          </cell>
          <cell r="X1185"/>
        </row>
        <row r="1186">
          <cell r="B1186" t="str">
            <v>SD-PAR-550-22SL-S5018</v>
          </cell>
          <cell r="X1186"/>
        </row>
        <row r="1187">
          <cell r="B1187" t="str">
            <v>SD-PAR-550-22SL-S5018</v>
          </cell>
          <cell r="X1187"/>
        </row>
        <row r="1188">
          <cell r="B1188" t="str">
            <v>SD-PAR-550-22SL-S5018</v>
          </cell>
          <cell r="X1188"/>
        </row>
        <row r="1189">
          <cell r="B1189" t="str">
            <v>SD-PAR-550-22SL-S5018</v>
          </cell>
          <cell r="X1189"/>
        </row>
        <row r="1190">
          <cell r="B1190" t="str">
            <v>SD-PAR-550-22SL-S5018</v>
          </cell>
          <cell r="X1190"/>
        </row>
        <row r="1191">
          <cell r="B1191" t="str">
            <v>SD-PAR-550-22SL-S5018</v>
          </cell>
          <cell r="X1191"/>
        </row>
        <row r="1192">
          <cell r="B1192" t="str">
            <v>SD-PAR-550-22SL-S5018</v>
          </cell>
          <cell r="X1192"/>
        </row>
        <row r="1193">
          <cell r="B1193" t="str">
            <v>SD-PAR-550-22SL-S5018</v>
          </cell>
          <cell r="X1193"/>
        </row>
        <row r="1194">
          <cell r="B1194" t="str">
            <v>SD-PAR-550-22SL-S5018</v>
          </cell>
          <cell r="X1194"/>
        </row>
        <row r="1195">
          <cell r="B1195" t="str">
            <v>SD-PAR-550-22-V004</v>
          </cell>
          <cell r="X1195" t="e">
            <v>#DIV/0!</v>
          </cell>
        </row>
        <row r="1196">
          <cell r="B1196" t="str">
            <v>SD-PAR-550-22-V004</v>
          </cell>
          <cell r="X1196"/>
        </row>
        <row r="1197">
          <cell r="B1197" t="str">
            <v>SD-PAR-550-22-V025</v>
          </cell>
          <cell r="X1197" t="e">
            <v>#DIV/0!</v>
          </cell>
        </row>
        <row r="1198">
          <cell r="B1198" t="str">
            <v>SD-PAR-550-22-V025</v>
          </cell>
          <cell r="X1198"/>
        </row>
        <row r="1199">
          <cell r="B1199" t="str">
            <v>SD-PAR-550-22-V037</v>
          </cell>
          <cell r="X1199" t="e">
            <v>#DIV/0!</v>
          </cell>
        </row>
        <row r="1200">
          <cell r="B1200" t="str">
            <v>SD-PAR-550-22-V037</v>
          </cell>
          <cell r="X1200"/>
        </row>
        <row r="1201">
          <cell r="B1201" t="str">
            <v>SD-PAR-550-22-V038</v>
          </cell>
          <cell r="X1201" t="e">
            <v>#DIV/0!</v>
          </cell>
        </row>
        <row r="1202">
          <cell r="B1202" t="str">
            <v>SD-PAR-550-22-V038</v>
          </cell>
          <cell r="X1202"/>
        </row>
        <row r="1203">
          <cell r="B1203" t="str">
            <v>SD-PAR-550-22-V042</v>
          </cell>
          <cell r="X1203">
            <v>2.3333333333333335</v>
          </cell>
        </row>
        <row r="1204">
          <cell r="B1204" t="str">
            <v>SD-PAR-550-22-V042</v>
          </cell>
          <cell r="X1204"/>
        </row>
        <row r="1205">
          <cell r="B1205" t="str">
            <v>SD-PAR-550-22-V042</v>
          </cell>
          <cell r="X1205"/>
        </row>
        <row r="1206">
          <cell r="B1206" t="str">
            <v>SD-PAR-550-22-V042</v>
          </cell>
          <cell r="X1206"/>
        </row>
        <row r="1207">
          <cell r="B1207" t="str">
            <v>SD-PAR-550-22-V043</v>
          </cell>
          <cell r="X1207">
            <v>2.3333333333333335</v>
          </cell>
        </row>
        <row r="1208">
          <cell r="B1208" t="str">
            <v>SD-PAR-550-22-V043</v>
          </cell>
          <cell r="X1208"/>
        </row>
        <row r="1209">
          <cell r="B1209" t="str">
            <v>SD-PAR-550-22-V043</v>
          </cell>
          <cell r="X1209"/>
        </row>
        <row r="1210">
          <cell r="B1210" t="str">
            <v>SD-PAR-550-22-V043</v>
          </cell>
          <cell r="X1210"/>
        </row>
        <row r="1211">
          <cell r="B1211" t="str">
            <v>SD-PAR-550-22-V053</v>
          </cell>
          <cell r="X1211" t="e">
            <v>#DIV/0!</v>
          </cell>
        </row>
        <row r="1212">
          <cell r="B1212" t="str">
            <v>SD-PAR-550-22-V053</v>
          </cell>
          <cell r="X1212"/>
        </row>
        <row r="1213">
          <cell r="B1213" t="str">
            <v>SD-PAR-550-22-V057</v>
          </cell>
          <cell r="X1213" t="e">
            <v>#DIV/0!</v>
          </cell>
        </row>
        <row r="1214">
          <cell r="B1214" t="str">
            <v>SD-PAR-550-22-V057</v>
          </cell>
          <cell r="X1214"/>
        </row>
        <row r="1215">
          <cell r="B1215" t="str">
            <v>SD-PAR-550-22-V067</v>
          </cell>
          <cell r="X1215" t="e">
            <v>#DIV/0!</v>
          </cell>
        </row>
        <row r="1216">
          <cell r="B1216" t="str">
            <v>SD-PAR-550-22-V067</v>
          </cell>
          <cell r="X1216"/>
        </row>
        <row r="1217">
          <cell r="B1217" t="str">
            <v>SD-PAR-550-22-V068</v>
          </cell>
          <cell r="X1217" t="e">
            <v>#DIV/0!</v>
          </cell>
        </row>
        <row r="1218">
          <cell r="B1218" t="str">
            <v>SD-PAR-550-22-V068</v>
          </cell>
          <cell r="X1218"/>
        </row>
        <row r="1219">
          <cell r="B1219" t="str">
            <v>SD-PAR-550-22-V085</v>
          </cell>
          <cell r="X1219" t="e">
            <v>#DIV/0!</v>
          </cell>
        </row>
        <row r="1220">
          <cell r="B1220" t="str">
            <v>SD-PAR-550-22-V085</v>
          </cell>
          <cell r="X1220"/>
        </row>
        <row r="1221">
          <cell r="B1221" t="str">
            <v>SD-PAR-550-22-V086</v>
          </cell>
          <cell r="X1221" t="e">
            <v>#DIV/0!</v>
          </cell>
        </row>
        <row r="1222">
          <cell r="B1222" t="str">
            <v>SD-PAR-550-22-V086</v>
          </cell>
          <cell r="X1222"/>
        </row>
        <row r="1223">
          <cell r="B1223" t="str">
            <v>SD-PAR-550-22SL-V5001</v>
          </cell>
          <cell r="X1223" t="e">
            <v>#DIV/0!</v>
          </cell>
        </row>
        <row r="1224">
          <cell r="B1224" t="str">
            <v>SD-PAR-550-22SL-V5001</v>
          </cell>
          <cell r="X1224"/>
        </row>
      </sheetData>
      <sheetData sheetId="58">
        <row r="6">
          <cell r="X6">
            <v>205042.56130454765</v>
          </cell>
        </row>
      </sheetData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34.369393865738" createdVersion="8" refreshedVersion="8" minRefreshableVersion="3" recordCount="255" xr:uid="{4067F58C-28E2-44CB-8FA2-A8EFFD878FFB}">
  <cacheSource type="worksheet">
    <worksheetSource ref="A3:BA258" sheet="Progress"/>
  </cacheSource>
  <cacheFields count="53">
    <cacheField name="TT" numFmtId="0">
      <sharedItems containsMixedTypes="1" containsNumber="1" containsInteger="1" minValue="0" maxValue="9"/>
    </cacheField>
    <cacheField name="Số Dự Án" numFmtId="0">
      <sharedItems containsBlank="1" count="2">
        <s v="M296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PAR-550-22 Main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7-01-06T00:00:00" maxDate="2027-01-07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"/>
    </cacheField>
    <cacheField name="U.Weight" numFmtId="43">
      <sharedItems containsString="0" containsBlank="1" containsNumber="1" minValue="0" maxValue="8081.6"/>
    </cacheField>
    <cacheField name="T.Weight" numFmtId="43">
      <sharedItems containsString="0" containsBlank="1" containsNumber="1" minValue="0" maxValue="8081.6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8081.6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minValue="0.89473684210526316" maxValue="1"/>
    </cacheField>
    <cacheField name="Khối lượng" numFmtId="164">
      <sharedItems containsSemiMixedTypes="0" containsString="0" containsNumber="1" minValue="0" maxValue="8081.6"/>
    </cacheField>
    <cacheField name="Ngày Gá" numFmtId="14">
      <sharedItems containsNonDate="0" containsDate="1" containsString="0" containsBlank="1" minDate="2026-05-05T00:00:00" maxDate="2026-06-07T00:00:00"/>
    </cacheField>
    <cacheField name="SL Gá" numFmtId="0">
      <sharedItems containsString="0" containsBlank="1" containsNumber="1" containsInteger="1" minValue="1" maxValue="1"/>
    </cacheField>
    <cacheField name="KL Gá" numFmtId="43">
      <sharedItems containsSemiMixedTypes="0" containsString="0" containsNumber="1" minValue="0" maxValue="8081.6"/>
    </cacheField>
    <cacheField name="Ngày Hàn" numFmtId="14">
      <sharedItems containsNonDate="0" containsDate="1" containsString="0" containsBlank="1" minDate="2026-05-08T00:00:00" maxDate="2026-06-16T00:00:00"/>
    </cacheField>
    <cacheField name="SL Hàn" numFmtId="0">
      <sharedItems containsString="0" containsBlank="1" containsNumber="1" containsInteger="1" minValue="1" maxValue="1"/>
    </cacheField>
    <cacheField name="KL Hàn" numFmtId="43">
      <sharedItems containsSemiMixedTypes="0" containsString="0" containsNumber="1" minValue="0" maxValue="8081.6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5-11T00:00:00" maxDate="2026-07-21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8081.6"/>
    </cacheField>
    <cacheField name="Ngày BG" numFmtId="14">
      <sharedItems containsNonDate="0" containsDate="1" containsString="0" containsBlank="1" minDate="2026-05-25T00:00:00" maxDate="2026-07-07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8081.6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n v="0"/>
    <x v="0"/>
    <s v="Shipment 1 PAR-550-22 Main"/>
    <x v="0"/>
    <x v="0"/>
    <m/>
    <d v="2027-01-06T00:00:00"/>
    <s v="Structure"/>
    <s v="STR02"/>
    <s v="S2"/>
    <s v="SD-PAR-550-22-B001"/>
    <s v="B001"/>
    <s v="BEAM"/>
    <n v="1"/>
    <n v="259.2"/>
    <n v="259.2"/>
    <s v="(5680x335x300)"/>
    <m/>
    <m/>
    <m/>
    <m/>
    <m/>
    <m/>
    <m/>
    <m/>
    <m/>
    <m/>
    <m/>
    <m/>
    <m/>
    <n v="259.2"/>
    <n v="0"/>
    <m/>
    <n v="1"/>
    <n v="259.2"/>
    <d v="2026-05-14T00:00:00"/>
    <n v="1"/>
    <n v="259.2"/>
    <d v="2026-05-20T00:00:00"/>
    <n v="1"/>
    <n v="259.2"/>
    <m/>
    <m/>
    <n v="0"/>
    <s v="M296-017"/>
    <d v="2026-06-03T00:00:00"/>
    <n v="1"/>
    <n v="259.2"/>
    <d v="2026-06-07T00:00:00"/>
    <n v="1"/>
    <n v="259.2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B015"/>
    <s v="B015"/>
    <s v="BEAM"/>
    <n v="1"/>
    <n v="331.6"/>
    <n v="331.6"/>
    <s v="(3755x300x290)"/>
    <m/>
    <m/>
    <m/>
    <m/>
    <m/>
    <m/>
    <m/>
    <m/>
    <m/>
    <m/>
    <m/>
    <m/>
    <m/>
    <n v="331.60000000000008"/>
    <n v="0"/>
    <m/>
    <n v="1"/>
    <n v="331.6"/>
    <d v="2026-05-09T00:00:00"/>
    <n v="1"/>
    <n v="331.6"/>
    <d v="2026-05-11T00:00:00"/>
    <n v="1"/>
    <n v="331.6"/>
    <m/>
    <m/>
    <n v="0"/>
    <s v="M296-001"/>
    <d v="2026-05-11T00:00:00"/>
    <n v="1"/>
    <n v="331.6"/>
    <d v="2026-05-25T00:00:00"/>
    <n v="1"/>
    <n v="331.6"/>
    <s v="AMC GT-Galv"/>
    <s v="M296-001"/>
  </r>
  <r>
    <n v="0"/>
    <x v="0"/>
    <s v="Shipment 1 PAR-550-22 Main"/>
    <x v="0"/>
    <x v="0"/>
    <m/>
    <d v="2027-01-06T00:00:00"/>
    <s v="Structure"/>
    <s v="STR02"/>
    <s v="S2"/>
    <s v="SD-PAR-550-22-B017"/>
    <s v="B017"/>
    <s v="BEAM"/>
    <n v="1"/>
    <n v="257.10000000000002"/>
    <n v="257.10000000000002"/>
    <s v="(5680x320x300)"/>
    <m/>
    <m/>
    <m/>
    <m/>
    <m/>
    <m/>
    <m/>
    <m/>
    <m/>
    <m/>
    <m/>
    <m/>
    <m/>
    <n v="257.10000000000002"/>
    <n v="0"/>
    <m/>
    <n v="1"/>
    <n v="257.10000000000002"/>
    <d v="2026-05-14T00:00:00"/>
    <n v="1"/>
    <n v="257.10000000000002"/>
    <d v="2026-05-20T00:00:00"/>
    <n v="1"/>
    <n v="257.10000000000002"/>
    <m/>
    <m/>
    <n v="0"/>
    <s v="M296-017"/>
    <d v="2026-06-03T00:00:00"/>
    <n v="1"/>
    <n v="257.10000000000002"/>
    <d v="2026-06-07T00:00:00"/>
    <n v="1"/>
    <n v="257.10000000000002"/>
    <s v="Truong An"/>
    <s v="M296-015"/>
  </r>
  <r>
    <n v="0"/>
    <x v="0"/>
    <s v="Shipment 1 PAR-550-22 Main"/>
    <x v="0"/>
    <x v="0"/>
    <m/>
    <d v="2027-01-06T00:00:00"/>
    <s v="Structure"/>
    <s v="STR02"/>
    <s v="S2"/>
    <s v="SD-PAR-550-22-B018"/>
    <s v="B018"/>
    <s v="BEAM"/>
    <n v="1"/>
    <n v="256.2"/>
    <n v="256.2"/>
    <s v="(5680x314x300)"/>
    <m/>
    <m/>
    <m/>
    <m/>
    <m/>
    <m/>
    <m/>
    <m/>
    <m/>
    <m/>
    <m/>
    <m/>
    <m/>
    <n v="256.2"/>
    <n v="0"/>
    <m/>
    <n v="1"/>
    <n v="256.2"/>
    <d v="2026-05-14T00:00:00"/>
    <n v="1"/>
    <n v="256.2"/>
    <d v="2026-05-20T00:00:00"/>
    <n v="1"/>
    <n v="256.2"/>
    <m/>
    <m/>
    <n v="0"/>
    <s v="M296-017"/>
    <d v="2026-06-03T00:00:00"/>
    <n v="1"/>
    <n v="256.2"/>
    <d v="2026-06-07T00:00:00"/>
    <n v="1"/>
    <n v="256.2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B047"/>
    <s v="B047"/>
    <s v="BEAM"/>
    <n v="1"/>
    <n v="514.79999999999995"/>
    <n v="514.79999999999995"/>
    <s v="(5830x300x290)"/>
    <m/>
    <m/>
    <m/>
    <m/>
    <m/>
    <m/>
    <m/>
    <m/>
    <m/>
    <m/>
    <m/>
    <m/>
    <m/>
    <n v="514.79999999999995"/>
    <n v="0"/>
    <m/>
    <n v="1"/>
    <n v="514.79999999999995"/>
    <d v="2026-05-09T00:00:00"/>
    <n v="1"/>
    <n v="514.79999999999995"/>
    <d v="2026-05-11T00:00:00"/>
    <n v="1"/>
    <n v="514.79999999999995"/>
    <m/>
    <m/>
    <n v="0"/>
    <s v="M296-001"/>
    <d v="2026-05-11T00:00:00"/>
    <n v="1"/>
    <n v="514.79999999999995"/>
    <d v="2026-05-25T00:00:00"/>
    <n v="1"/>
    <n v="514.79999999999995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1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2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3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4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5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6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7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52"/>
    <s v="B052(8/8)"/>
    <s v="BEAM"/>
    <n v="1"/>
    <n v="61.637500000000003"/>
    <n v="61.637500000000003"/>
    <s v="(2755x100x200)"/>
    <m/>
    <m/>
    <m/>
    <m/>
    <m/>
    <m/>
    <m/>
    <m/>
    <m/>
    <m/>
    <m/>
    <m/>
    <m/>
    <n v="61.637500000000003"/>
    <n v="0"/>
    <m/>
    <n v="1"/>
    <n v="61.637500000000003"/>
    <d v="2026-05-09T00:00:00"/>
    <n v="1"/>
    <n v="61.637500000000003"/>
    <d v="2026-05-09T00:00:00"/>
    <n v="1"/>
    <n v="61.637500000000003"/>
    <m/>
    <m/>
    <n v="0"/>
    <s v="M296-001"/>
    <d v="2026-05-11T00:00:00"/>
    <n v="1"/>
    <n v="61.637500000000003"/>
    <d v="2026-05-25T00:00:00"/>
    <n v="1"/>
    <n v="61.637500000000003"/>
    <s v="AMC GT-Galv"/>
    <s v="M296-001"/>
  </r>
  <r>
    <n v="0"/>
    <x v="0"/>
    <s v="Shipment 1 PAR-550-22 Main"/>
    <x v="0"/>
    <x v="0"/>
    <m/>
    <d v="2027-01-06T00:00:00"/>
    <s v="Structure"/>
    <s v="STR02"/>
    <s v="S2"/>
    <s v="SD-PAR-550-22-B055"/>
    <s v="B055"/>
    <s v="BEAM"/>
    <n v="1"/>
    <n v="420.4"/>
    <n v="420.4"/>
    <s v="(5680x578x400)"/>
    <m/>
    <m/>
    <m/>
    <m/>
    <m/>
    <m/>
    <m/>
    <m/>
    <m/>
    <m/>
    <m/>
    <m/>
    <m/>
    <n v="420.40000000000003"/>
    <n v="0"/>
    <m/>
    <n v="1"/>
    <n v="420.4"/>
    <d v="2026-05-14T00:00:00"/>
    <n v="1"/>
    <n v="420.4"/>
    <d v="2026-05-20T00:00:00"/>
    <n v="1"/>
    <n v="420.4"/>
    <m/>
    <m/>
    <n v="0"/>
    <s v="M296-017"/>
    <d v="2026-06-03T00:00:00"/>
    <n v="1"/>
    <n v="420.4"/>
    <d v="2026-06-07T00:00:00"/>
    <n v="1"/>
    <n v="420.4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B056"/>
    <s v="B056"/>
    <s v="BEAM"/>
    <n v="1"/>
    <n v="123.10000000000001"/>
    <n v="123.10000000000001"/>
    <s v="(2740x318x300)"/>
    <m/>
    <m/>
    <m/>
    <m/>
    <m/>
    <m/>
    <m/>
    <m/>
    <m/>
    <m/>
    <m/>
    <m/>
    <m/>
    <n v="123.10000000000002"/>
    <n v="0"/>
    <m/>
    <n v="1"/>
    <n v="123.10000000000001"/>
    <d v="2026-05-09T00:00:00"/>
    <n v="1"/>
    <n v="123.10000000000001"/>
    <d v="2026-05-16T00:00:00"/>
    <n v="1"/>
    <n v="123.10000000000001"/>
    <m/>
    <m/>
    <n v="0"/>
    <s v="M296-004"/>
    <d v="2026-05-19T00:00:00"/>
    <n v="1"/>
    <n v="123.10000000000001"/>
    <d v="2026-05-25T00:00:00"/>
    <n v="1"/>
    <n v="123.10000000000001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B058"/>
    <s v="B058"/>
    <s v="BEAM"/>
    <n v="1"/>
    <n v="284.60000000000002"/>
    <n v="284.60000000000002"/>
    <s v="(5680x549x300)"/>
    <m/>
    <m/>
    <m/>
    <m/>
    <m/>
    <m/>
    <m/>
    <m/>
    <m/>
    <m/>
    <m/>
    <m/>
    <m/>
    <n v="284.60000000000002"/>
    <n v="0"/>
    <m/>
    <n v="1"/>
    <n v="284.60000000000002"/>
    <d v="2026-05-14T00:00:00"/>
    <n v="1"/>
    <n v="284.60000000000002"/>
    <d v="2026-05-20T00:00:00"/>
    <n v="1"/>
    <n v="284.60000000000002"/>
    <m/>
    <m/>
    <n v="0"/>
    <s v="M296-017"/>
    <d v="2026-06-03T00:00:00"/>
    <n v="1"/>
    <n v="284.60000000000002"/>
    <d v="2026-06-07T00:00:00"/>
    <n v="1"/>
    <n v="284.60000000000002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B059"/>
    <s v="B059"/>
    <s v="BEAM"/>
    <n v="1"/>
    <n v="568.79999999999995"/>
    <n v="568.79999999999995"/>
    <s v="(5680x699x290)"/>
    <m/>
    <m/>
    <m/>
    <m/>
    <m/>
    <m/>
    <m/>
    <m/>
    <m/>
    <m/>
    <m/>
    <m/>
    <m/>
    <n v="568.79999999999995"/>
    <n v="0"/>
    <m/>
    <n v="1"/>
    <n v="568.79999999999995"/>
    <d v="2026-05-14T00:00:00"/>
    <n v="1"/>
    <n v="568.79999999999995"/>
    <d v="2026-05-19T00:00:00"/>
    <n v="1"/>
    <n v="568.79999999999995"/>
    <m/>
    <m/>
    <n v="0"/>
    <s v="M296-004"/>
    <d v="2026-05-19T00:00:00"/>
    <n v="1"/>
    <n v="568.79999999999995"/>
    <d v="2026-05-25T00:00:00"/>
    <n v="1"/>
    <n v="568.79999999999995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B060"/>
    <s v="B060"/>
    <s v="BEAM"/>
    <n v="1"/>
    <n v="252.4"/>
    <n v="252.4"/>
    <s v="(5860x150x300)"/>
    <m/>
    <m/>
    <m/>
    <m/>
    <m/>
    <m/>
    <m/>
    <m/>
    <m/>
    <m/>
    <m/>
    <m/>
    <m/>
    <n v="252.40000000000003"/>
    <n v="0"/>
    <m/>
    <n v="1"/>
    <n v="252.4"/>
    <d v="2026-05-07T00:00:00"/>
    <n v="1"/>
    <n v="252.4"/>
    <d v="2026-05-11T00:00:00"/>
    <n v="1"/>
    <n v="252.4"/>
    <m/>
    <m/>
    <n v="0"/>
    <s v="M296-001"/>
    <d v="2026-05-11T00:00:00"/>
    <n v="1"/>
    <n v="252.4"/>
    <d v="2026-05-25T00:00:00"/>
    <n v="1"/>
    <n v="252.4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76"/>
    <s v="B076(1/2)"/>
    <s v="BEAM"/>
    <n v="1"/>
    <n v="60.95"/>
    <n v="60.95"/>
    <s v="(2725x100x200)"/>
    <m/>
    <m/>
    <m/>
    <m/>
    <m/>
    <m/>
    <m/>
    <m/>
    <m/>
    <m/>
    <m/>
    <m/>
    <m/>
    <n v="60.95"/>
    <n v="0"/>
    <m/>
    <n v="1"/>
    <n v="60.95"/>
    <d v="2026-05-09T00:00:00"/>
    <n v="1"/>
    <n v="60.95"/>
    <d v="2026-05-11T00:00:00"/>
    <n v="1"/>
    <n v="60.95"/>
    <m/>
    <m/>
    <n v="0"/>
    <s v="M296-001"/>
    <d v="2026-05-11T00:00:00"/>
    <n v="1"/>
    <n v="60.95"/>
    <d v="2026-05-25T00:00:00"/>
    <n v="1"/>
    <n v="60.95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76"/>
    <s v="B076(2/2)"/>
    <s v="BEAM"/>
    <n v="1"/>
    <n v="60.95"/>
    <n v="60.95"/>
    <s v="(2725x100x200)"/>
    <m/>
    <m/>
    <m/>
    <m/>
    <m/>
    <m/>
    <m/>
    <m/>
    <m/>
    <m/>
    <m/>
    <m/>
    <m/>
    <n v="60.95"/>
    <n v="0"/>
    <m/>
    <n v="1"/>
    <n v="60.95"/>
    <d v="2026-05-09T00:00:00"/>
    <n v="1"/>
    <n v="60.95"/>
    <d v="2026-05-11T00:00:00"/>
    <n v="1"/>
    <n v="60.95"/>
    <m/>
    <m/>
    <n v="0"/>
    <s v="M296-001"/>
    <d v="2026-05-11T00:00:00"/>
    <n v="1"/>
    <n v="60.95"/>
    <d v="2026-05-25T00:00:00"/>
    <n v="1"/>
    <n v="60.95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077"/>
    <s v="B077(1/2)"/>
    <s v="BEAM"/>
    <n v="1"/>
    <n v="63.85"/>
    <n v="63.85"/>
    <s v="(2680x100x404)"/>
    <m/>
    <m/>
    <m/>
    <m/>
    <m/>
    <m/>
    <m/>
    <m/>
    <m/>
    <m/>
    <m/>
    <m/>
    <m/>
    <n v="63.85"/>
    <n v="0"/>
    <m/>
    <n v="1"/>
    <n v="63.85"/>
    <d v="2026-05-14T00:00:00"/>
    <n v="1"/>
    <n v="63.85"/>
    <d v="2026-05-20T00:00:00"/>
    <n v="1"/>
    <n v="63.85"/>
    <m/>
    <m/>
    <n v="0"/>
    <s v="M296-006"/>
    <d v="2026-05-22T00:00:00"/>
    <n v="1"/>
    <n v="63.85"/>
    <d v="2026-05-25T00:00:00"/>
    <n v="1"/>
    <n v="63.85"/>
    <s v="AMC GT-Galv"/>
    <s v="M296-005"/>
  </r>
  <r>
    <n v="0"/>
    <x v="0"/>
    <s v="Shipment 1 PAR-550-22 Main"/>
    <x v="0"/>
    <x v="0"/>
    <m/>
    <d v="2027-01-06T00:00:00"/>
    <s v="Structure"/>
    <s v="STR01"/>
    <s v="S5"/>
    <s v="SD-PAR-550-22-B077"/>
    <s v="B077(2/2)"/>
    <s v="BEAM"/>
    <n v="1"/>
    <n v="63.85"/>
    <n v="63.85"/>
    <s v="(2680x100x404)"/>
    <m/>
    <m/>
    <m/>
    <m/>
    <m/>
    <m/>
    <m/>
    <m/>
    <m/>
    <m/>
    <m/>
    <m/>
    <m/>
    <n v="63.85"/>
    <n v="0"/>
    <m/>
    <n v="1"/>
    <n v="63.85"/>
    <d v="2026-05-14T00:00:00"/>
    <n v="1"/>
    <n v="63.85"/>
    <d v="2026-05-20T00:00:00"/>
    <n v="1"/>
    <n v="63.85"/>
    <m/>
    <m/>
    <n v="0"/>
    <s v="M296-006"/>
    <d v="2026-05-22T00:00:00"/>
    <n v="1"/>
    <n v="63.85"/>
    <d v="2026-05-25T00:00:00"/>
    <n v="1"/>
    <n v="63.85"/>
    <s v="AMC GT-Galv"/>
    <s v="M296-005"/>
  </r>
  <r>
    <n v="0"/>
    <x v="0"/>
    <s v="Shipment 1 PAR-550-22 Main"/>
    <x v="0"/>
    <x v="0"/>
    <m/>
    <d v="2027-01-06T00:00:00"/>
    <s v="Structure"/>
    <s v="STR02"/>
    <s v="S5"/>
    <s v="SD-PAR-550-22-B082"/>
    <s v="B082"/>
    <s v="BEAM"/>
    <n v="1"/>
    <n v="123.60000000000001"/>
    <n v="123.60000000000001"/>
    <s v="(2740x318x300)"/>
    <m/>
    <m/>
    <m/>
    <m/>
    <m/>
    <m/>
    <m/>
    <m/>
    <m/>
    <m/>
    <m/>
    <m/>
    <m/>
    <n v="123.60000000000001"/>
    <n v="0"/>
    <m/>
    <n v="1"/>
    <n v="123.60000000000001"/>
    <d v="2026-05-09T00:00:00"/>
    <n v="1"/>
    <n v="123.60000000000001"/>
    <d v="2026-05-16T00:00:00"/>
    <n v="1"/>
    <n v="123.60000000000001"/>
    <m/>
    <m/>
    <n v="0"/>
    <s v="M296-004"/>
    <d v="2026-05-19T00:00:00"/>
    <n v="1"/>
    <n v="123.60000000000001"/>
    <d v="2026-05-25T00:00:00"/>
    <n v="1"/>
    <n v="123.60000000000001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B083"/>
    <s v="B083"/>
    <s v="BEAM"/>
    <n v="1"/>
    <n v="255.9"/>
    <n v="255.9"/>
    <s v="(5680x318x300)"/>
    <m/>
    <m/>
    <m/>
    <m/>
    <m/>
    <m/>
    <m/>
    <m/>
    <m/>
    <m/>
    <m/>
    <m/>
    <m/>
    <n v="255.9"/>
    <n v="0"/>
    <m/>
    <n v="1"/>
    <n v="255.9"/>
    <d v="2026-05-07T00:00:00"/>
    <n v="1"/>
    <n v="255.9"/>
    <d v="2026-05-14T00:00:00"/>
    <n v="1"/>
    <n v="255.9"/>
    <m/>
    <m/>
    <n v="0"/>
    <s v="M296-004"/>
    <d v="2026-05-19T00:00:00"/>
    <n v="1"/>
    <n v="255.9"/>
    <d v="2026-05-25T00:00:00"/>
    <n v="1"/>
    <n v="255.9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B085"/>
    <s v="B085"/>
    <s v="BEAM"/>
    <n v="1"/>
    <n v="254.8"/>
    <n v="254.8"/>
    <s v="(5680x318x300)"/>
    <m/>
    <m/>
    <m/>
    <m/>
    <m/>
    <m/>
    <m/>
    <m/>
    <m/>
    <m/>
    <m/>
    <m/>
    <m/>
    <n v="254.8"/>
    <n v="0"/>
    <m/>
    <n v="1"/>
    <n v="254.8"/>
    <d v="2026-05-07T00:00:00"/>
    <n v="1"/>
    <n v="254.8"/>
    <d v="2026-05-14T00:00:00"/>
    <n v="1"/>
    <n v="254.8"/>
    <m/>
    <m/>
    <n v="0"/>
    <s v="M296-004"/>
    <d v="2026-05-19T00:00:00"/>
    <n v="1"/>
    <n v="254.8"/>
    <d v="2026-05-25T00:00:00"/>
    <n v="1"/>
    <n v="254.8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B095"/>
    <s v="B095"/>
    <s v="BEAM"/>
    <n v="1"/>
    <n v="691.1"/>
    <n v="691.1"/>
    <s v="(9915x350x400)"/>
    <m/>
    <m/>
    <m/>
    <m/>
    <m/>
    <m/>
    <m/>
    <m/>
    <m/>
    <m/>
    <m/>
    <m/>
    <m/>
    <n v="691.1"/>
    <n v="0"/>
    <m/>
    <n v="0.9375"/>
    <n v="647.90625"/>
    <d v="2026-05-23T00:00:00"/>
    <n v="1"/>
    <n v="691.1"/>
    <d v="2026-05-25T00:00:00"/>
    <n v="1"/>
    <n v="691.1"/>
    <m/>
    <m/>
    <n v="0"/>
    <s v="M296-020"/>
    <d v="2026-06-17T00:00:00"/>
    <n v="1"/>
    <n v="691.1"/>
    <d v="2026-06-19T00:00:00"/>
    <n v="1"/>
    <n v="691.1"/>
    <s v="PAC"/>
    <s v="M296-018"/>
  </r>
  <r>
    <n v="0"/>
    <x v="0"/>
    <s v="Shipment 1 PAR-550-22 Main"/>
    <x v="0"/>
    <x v="0"/>
    <m/>
    <d v="2027-01-06T00:00:00"/>
    <s v="Structure"/>
    <s v="STR02"/>
    <s v="S2"/>
    <s v="SD-PAR-550-22-B097"/>
    <s v="B097"/>
    <s v="BEAM"/>
    <n v="1"/>
    <n v="365.4"/>
    <n v="365.4"/>
    <s v="(2760x468x396)"/>
    <m/>
    <m/>
    <m/>
    <m/>
    <m/>
    <m/>
    <m/>
    <m/>
    <m/>
    <m/>
    <m/>
    <m/>
    <m/>
    <n v="365.40000000000003"/>
    <n v="0"/>
    <m/>
    <n v="1"/>
    <n v="365.4"/>
    <d v="2026-05-14T00:00:00"/>
    <n v="1"/>
    <n v="365.4"/>
    <d v="2026-05-20T00:00:00"/>
    <n v="1"/>
    <n v="365.4"/>
    <m/>
    <m/>
    <n v="0"/>
    <s v="M296-017"/>
    <d v="2026-06-03T00:00:00"/>
    <n v="1"/>
    <n v="365.4"/>
    <d v="2026-06-07T00:00:00"/>
    <n v="1"/>
    <n v="365.4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B098"/>
    <s v="B098"/>
    <s v="BEAM"/>
    <n v="1"/>
    <n v="501.5"/>
    <n v="501.5"/>
    <s v="(5680x300x290)"/>
    <m/>
    <m/>
    <m/>
    <m/>
    <m/>
    <m/>
    <m/>
    <m/>
    <m/>
    <m/>
    <m/>
    <m/>
    <m/>
    <n v="501.5"/>
    <n v="0"/>
    <m/>
    <n v="1"/>
    <n v="501.5"/>
    <d v="2026-05-11T00:00:00"/>
    <n v="1"/>
    <n v="501.5"/>
    <d v="2026-05-11T00:00:00"/>
    <n v="1"/>
    <n v="501.5"/>
    <m/>
    <m/>
    <n v="0"/>
    <s v="M296-001"/>
    <d v="2026-05-11T00:00:00"/>
    <n v="1"/>
    <n v="501.5"/>
    <d v="2026-05-25T00:00:00"/>
    <n v="1"/>
    <n v="501.5"/>
    <s v="AMC GT-Galv"/>
    <s v="M296-001"/>
  </r>
  <r>
    <n v="0"/>
    <x v="0"/>
    <s v="Shipment 1 PAR-550-22 Main"/>
    <x v="0"/>
    <x v="0"/>
    <m/>
    <d v="2027-01-06T00:00:00"/>
    <s v="Structure"/>
    <s v="STR02"/>
    <s v="S5"/>
    <s v="SD-PAR-550-22-B107"/>
    <s v="B107"/>
    <s v="BEAM"/>
    <n v="1"/>
    <n v="62.3"/>
    <n v="62.3"/>
    <s v="(1360x150x300)"/>
    <m/>
    <m/>
    <m/>
    <m/>
    <m/>
    <m/>
    <m/>
    <m/>
    <m/>
    <m/>
    <m/>
    <m/>
    <m/>
    <n v="62.3"/>
    <n v="0"/>
    <m/>
    <n v="1"/>
    <n v="62.3"/>
    <d v="2026-05-09T00:00:00"/>
    <n v="1"/>
    <n v="62.3"/>
    <d v="2026-05-11T00:00:00"/>
    <n v="1"/>
    <n v="62.3"/>
    <m/>
    <m/>
    <n v="0"/>
    <s v="M296-001"/>
    <d v="2026-05-11T00:00:00"/>
    <n v="1"/>
    <n v="62.3"/>
    <d v="2026-05-25T00:00:00"/>
    <n v="1"/>
    <n v="62.3"/>
    <s v="AMC GT-Galv"/>
    <s v="M296-001"/>
  </r>
  <r>
    <n v="0"/>
    <x v="0"/>
    <s v="Shipment 1 PAR-550-22 Main"/>
    <x v="0"/>
    <x v="0"/>
    <m/>
    <d v="2027-01-06T00:00:00"/>
    <s v="Structure"/>
    <s v="STR02"/>
    <s v="S2"/>
    <s v="SD-PAR-550-22-B110"/>
    <s v="B110"/>
    <s v="BEAM"/>
    <n v="1"/>
    <n v="65.599999999999994"/>
    <n v="65.599999999999994"/>
    <s v="(1215x353x504)"/>
    <m/>
    <m/>
    <m/>
    <m/>
    <m/>
    <m/>
    <m/>
    <m/>
    <m/>
    <m/>
    <m/>
    <m/>
    <m/>
    <n v="65.599999999999994"/>
    <n v="0"/>
    <m/>
    <n v="1"/>
    <n v="65.599999999999994"/>
    <d v="2026-05-14T00:00:00"/>
    <n v="1"/>
    <n v="65.599999999999994"/>
    <d v="2026-05-20T00:00:00"/>
    <n v="1"/>
    <n v="65.599999999999994"/>
    <m/>
    <m/>
    <n v="0"/>
    <s v="M296-020"/>
    <d v="2026-06-17T00:00:00"/>
    <n v="1"/>
    <n v="65.599999999999994"/>
    <d v="2026-06-19T00:00:00"/>
    <n v="1"/>
    <n v="65.599999999999994"/>
    <s v="PAC"/>
    <s v="M296-018"/>
  </r>
  <r>
    <n v="0"/>
    <x v="0"/>
    <s v="Shipment 1 PAR-550-22 Main"/>
    <x v="0"/>
    <x v="0"/>
    <m/>
    <d v="2027-01-06T00:00:00"/>
    <s v="Structure"/>
    <s v="STR02"/>
    <s v="S2"/>
    <s v="SD-PAR-550-22-B112"/>
    <s v="B112"/>
    <s v="BEAM"/>
    <n v="1"/>
    <n v="66.099999999999994"/>
    <n v="66.099999999999994"/>
    <s v="(1215x353x503)"/>
    <m/>
    <m/>
    <m/>
    <m/>
    <m/>
    <m/>
    <m/>
    <m/>
    <m/>
    <m/>
    <m/>
    <m/>
    <m/>
    <n v="66.099999999999994"/>
    <n v="0"/>
    <m/>
    <n v="1"/>
    <n v="66.099999999999994"/>
    <d v="2026-05-14T00:00:00"/>
    <n v="1"/>
    <n v="66.099999999999994"/>
    <d v="2026-05-20T00:00:00"/>
    <n v="1"/>
    <n v="66.099999999999994"/>
    <m/>
    <m/>
    <n v="0"/>
    <s v="M296-020"/>
    <d v="2026-06-17T00:00:00"/>
    <n v="1"/>
    <n v="66.099999999999994"/>
    <d v="2026-06-19T00:00:00"/>
    <n v="1"/>
    <n v="66.099999999999994"/>
    <s v="PAC"/>
    <s v="M296-018"/>
  </r>
  <r>
    <n v="0"/>
    <x v="0"/>
    <s v="Shipment 1 PAR-550-22 Main"/>
    <x v="0"/>
    <x v="0"/>
    <m/>
    <d v="2027-01-06T00:00:00"/>
    <s v="Structure"/>
    <s v="STR02"/>
    <s v="S2"/>
    <s v="SD-PAR-550-22-B120"/>
    <s v="B120"/>
    <s v="BEAM"/>
    <n v="1"/>
    <n v="59.4"/>
    <n v="59.4"/>
    <s v="(1060x353x504)"/>
    <m/>
    <m/>
    <m/>
    <m/>
    <m/>
    <m/>
    <m/>
    <m/>
    <m/>
    <m/>
    <m/>
    <m/>
    <m/>
    <n v="59.4"/>
    <n v="0"/>
    <m/>
    <n v="1"/>
    <n v="59.4"/>
    <d v="2026-05-14T00:00:00"/>
    <n v="1"/>
    <n v="59.4"/>
    <d v="2026-05-20T00:00:00"/>
    <n v="1"/>
    <n v="59.4"/>
    <m/>
    <m/>
    <n v="0"/>
    <s v="M296-020"/>
    <d v="2026-06-17T00:00:00"/>
    <n v="1"/>
    <n v="59.4"/>
    <d v="2026-06-19T00:00:00"/>
    <n v="1"/>
    <n v="59.4"/>
    <s v="PAC"/>
    <s v="M296-018"/>
  </r>
  <r>
    <n v="0"/>
    <x v="0"/>
    <s v="Shipment 1 PAR-550-22 Main"/>
    <x v="0"/>
    <x v="0"/>
    <m/>
    <d v="2027-01-06T00:00:00"/>
    <s v="Structure"/>
    <s v="STR01"/>
    <s v="S5"/>
    <s v="SD-PAR-550-22-B132"/>
    <s v="B132"/>
    <s v="BEAM"/>
    <n v="1"/>
    <n v="23.4"/>
    <n v="23.4"/>
    <s v="(1460x60x140)"/>
    <m/>
    <m/>
    <m/>
    <m/>
    <m/>
    <m/>
    <m/>
    <m/>
    <m/>
    <m/>
    <m/>
    <m/>
    <m/>
    <n v="23.4"/>
    <n v="0"/>
    <m/>
    <n v="1"/>
    <n v="23.4"/>
    <d v="2026-05-14T00:00:00"/>
    <n v="1"/>
    <n v="23.4"/>
    <d v="2026-05-20T00:00:00"/>
    <n v="1"/>
    <n v="23.4"/>
    <m/>
    <m/>
    <n v="0"/>
    <s v="M296-010"/>
    <d v="2026-05-26T00:00:00"/>
    <n v="1"/>
    <n v="23.4"/>
    <d v="2026-05-29T00:00:00"/>
    <n v="1"/>
    <n v="23.4"/>
    <s v="AMC GT-Galv"/>
    <s v="M296-010"/>
  </r>
  <r>
    <n v="0"/>
    <x v="0"/>
    <s v="Shipment 1 PAR-550-22 Main"/>
    <x v="0"/>
    <x v="0"/>
    <m/>
    <d v="2027-01-06T00:00:00"/>
    <s v="Structure"/>
    <s v="STR01"/>
    <s v="S5"/>
    <s v="SD-PAR-550-22-B140"/>
    <s v="B140"/>
    <s v="BEAM"/>
    <n v="1"/>
    <n v="165.29999999999998"/>
    <n v="165.29999999999998"/>
    <s v="(3908x200x190)"/>
    <m/>
    <m/>
    <m/>
    <m/>
    <m/>
    <m/>
    <m/>
    <m/>
    <m/>
    <m/>
    <m/>
    <m/>
    <m/>
    <n v="165.29999999999998"/>
    <n v="0"/>
    <m/>
    <n v="1"/>
    <n v="165.29999999999998"/>
    <d v="2026-05-09T00:00:00"/>
    <n v="1"/>
    <n v="165.29999999999998"/>
    <d v="2026-05-11T00:00:00"/>
    <n v="1"/>
    <n v="165.29999999999998"/>
    <m/>
    <m/>
    <n v="0"/>
    <s v="M296-001"/>
    <d v="2026-05-11T00:00:00"/>
    <n v="1"/>
    <n v="165.29999999999998"/>
    <d v="2026-05-25T00:00:00"/>
    <n v="1"/>
    <n v="165.29999999999998"/>
    <s v="AMC GT-Galv"/>
    <s v="M296-001"/>
  </r>
  <r>
    <n v="0"/>
    <x v="0"/>
    <s v="Shipment 1 PAR-550-22 Main"/>
    <x v="0"/>
    <x v="0"/>
    <m/>
    <d v="2027-01-06T00:00:00"/>
    <s v="Structure"/>
    <s v="STR02"/>
    <s v="S2"/>
    <s v="SD-PAR-550-22-B142"/>
    <s v="B142"/>
    <s v="BEAM"/>
    <n v="1"/>
    <n v="421.8"/>
    <n v="421.8"/>
    <s v="(3755x300x790)"/>
    <m/>
    <m/>
    <m/>
    <m/>
    <m/>
    <m/>
    <m/>
    <m/>
    <m/>
    <m/>
    <m/>
    <m/>
    <m/>
    <n v="421.8"/>
    <n v="0"/>
    <m/>
    <n v="1"/>
    <n v="421.8"/>
    <d v="2026-05-14T00:00:00"/>
    <n v="1"/>
    <n v="421.8"/>
    <d v="2026-05-20T00:00:00"/>
    <n v="1"/>
    <n v="421.8"/>
    <m/>
    <m/>
    <n v="0"/>
    <s v="M296-021"/>
    <d v="2026-06-26T00:00:00"/>
    <n v="1"/>
    <n v="421.8"/>
    <d v="2026-06-30T00:00:00"/>
    <n v="1"/>
    <n v="421.8"/>
    <s v="PAC"/>
    <s v="M296-019"/>
  </r>
  <r>
    <n v="0"/>
    <x v="0"/>
    <s v="Shipment 1 PAR-550-22 Main"/>
    <x v="0"/>
    <x v="0"/>
    <m/>
    <d v="2027-01-06T00:00:00"/>
    <s v="Structure"/>
    <s v="STR02"/>
    <s v="S2"/>
    <s v="SD-PAR-550-22-B143"/>
    <s v="B143"/>
    <s v="BEAM"/>
    <n v="1"/>
    <n v="421.2"/>
    <n v="421.2"/>
    <s v="(3755x300x790)"/>
    <m/>
    <m/>
    <m/>
    <m/>
    <m/>
    <m/>
    <m/>
    <m/>
    <m/>
    <m/>
    <m/>
    <m/>
    <m/>
    <n v="421.20000000000005"/>
    <n v="0"/>
    <m/>
    <n v="1"/>
    <n v="421.2"/>
    <d v="2026-05-14T00:00:00"/>
    <n v="1"/>
    <n v="421.2"/>
    <d v="2026-05-20T00:00:00"/>
    <n v="1"/>
    <n v="421.2"/>
    <m/>
    <m/>
    <n v="0"/>
    <s v="M296-020"/>
    <d v="2026-06-17T00:00:00"/>
    <n v="1"/>
    <n v="421.2"/>
    <d v="2026-06-19T00:00:00"/>
    <n v="1"/>
    <n v="421.2"/>
    <s v="PAC"/>
    <s v="M296-018"/>
  </r>
  <r>
    <n v="0"/>
    <x v="0"/>
    <s v="Shipment 1 PAR-550-22 Main"/>
    <x v="0"/>
    <x v="0"/>
    <m/>
    <d v="2027-01-06T00:00:00"/>
    <s v="Structure"/>
    <s v="STR01"/>
    <s v="S5"/>
    <s v="SD-PAR-550-22-B144"/>
    <s v="B144(1/2)"/>
    <s v="BEAM"/>
    <n v="1"/>
    <n v="158.80000000000001"/>
    <n v="158.80000000000001"/>
    <s v="(3755x200x190)"/>
    <m/>
    <m/>
    <m/>
    <m/>
    <m/>
    <m/>
    <m/>
    <m/>
    <m/>
    <m/>
    <m/>
    <m/>
    <m/>
    <n v="158.80000000000001"/>
    <n v="0"/>
    <m/>
    <n v="1"/>
    <n v="158.80000000000001"/>
    <d v="2026-05-09T00:00:00"/>
    <n v="1"/>
    <n v="158.80000000000001"/>
    <d v="2026-05-11T00:00:00"/>
    <n v="1"/>
    <n v="158.80000000000001"/>
    <m/>
    <m/>
    <n v="0"/>
    <s v="M296-001"/>
    <d v="2026-05-11T00:00:00"/>
    <n v="1"/>
    <n v="158.80000000000001"/>
    <d v="2026-05-25T00:00:00"/>
    <n v="1"/>
    <n v="158.80000000000001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144"/>
    <s v="B144(2/2)"/>
    <s v="BEAM"/>
    <n v="1"/>
    <n v="158.80000000000001"/>
    <n v="158.80000000000001"/>
    <s v="(3755x200x190)"/>
    <m/>
    <m/>
    <m/>
    <m/>
    <m/>
    <m/>
    <m/>
    <m/>
    <m/>
    <m/>
    <m/>
    <m/>
    <m/>
    <n v="158.80000000000001"/>
    <n v="0"/>
    <m/>
    <n v="1"/>
    <n v="158.80000000000001"/>
    <d v="2026-05-09T00:00:00"/>
    <n v="1"/>
    <n v="158.80000000000001"/>
    <d v="2026-05-11T00:00:00"/>
    <n v="1"/>
    <n v="158.80000000000001"/>
    <m/>
    <m/>
    <n v="0"/>
    <s v="M296-001"/>
    <d v="2026-05-11T00:00:00"/>
    <n v="1"/>
    <n v="158.80000000000001"/>
    <d v="2026-05-25T00:00:00"/>
    <n v="1"/>
    <n v="158.80000000000001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148"/>
    <s v="B148"/>
    <s v="BEAM"/>
    <n v="1"/>
    <n v="13.6"/>
    <n v="13.6"/>
    <s v="(1280x50x100)"/>
    <m/>
    <m/>
    <m/>
    <m/>
    <m/>
    <m/>
    <m/>
    <m/>
    <m/>
    <m/>
    <m/>
    <m/>
    <m/>
    <n v="13.6"/>
    <n v="0"/>
    <m/>
    <n v="1"/>
    <n v="13.6"/>
    <d v="2026-05-14T00:00:00"/>
    <n v="1"/>
    <n v="13.6"/>
    <d v="2026-05-20T00:00:00"/>
    <n v="1"/>
    <n v="13.6"/>
    <m/>
    <m/>
    <n v="0"/>
    <s v="M296-010"/>
    <d v="2026-05-26T00:00:00"/>
    <n v="1"/>
    <n v="13.6"/>
    <d v="2026-05-29T00:00:00"/>
    <n v="1"/>
    <n v="13.6"/>
    <s v="AMC GT-Galv"/>
    <s v="M296-010"/>
  </r>
  <r>
    <n v="0"/>
    <x v="0"/>
    <s v="Shipment 1 PAR-550-22 Main"/>
    <x v="0"/>
    <x v="0"/>
    <m/>
    <d v="2027-01-06T00:00:00"/>
    <s v="Structure"/>
    <s v="STR01"/>
    <s v="S2"/>
    <s v="SD-PAR-550-22-B150"/>
    <s v="B150"/>
    <s v="BEAM"/>
    <n v="1"/>
    <n v="35.700000000000003"/>
    <n v="35.700000000000003"/>
    <s v="(1480x180x200)"/>
    <m/>
    <m/>
    <m/>
    <m/>
    <m/>
    <m/>
    <m/>
    <m/>
    <m/>
    <m/>
    <m/>
    <m/>
    <m/>
    <n v="35.700000000000003"/>
    <n v="0"/>
    <m/>
    <n v="1"/>
    <n v="35.700000000000003"/>
    <d v="2026-05-14T00:00:00"/>
    <n v="1"/>
    <n v="35.700000000000003"/>
    <d v="2026-05-20T00:00:00"/>
    <n v="1"/>
    <n v="35.700000000000003"/>
    <m/>
    <m/>
    <n v="0"/>
    <s v="M296-020"/>
    <d v="2026-06-17T00:00:00"/>
    <n v="1"/>
    <n v="35.700000000000003"/>
    <d v="2026-06-19T00:00:00"/>
    <n v="1"/>
    <n v="35.700000000000003"/>
    <s v="PAC"/>
    <s v="M296-018"/>
  </r>
  <r>
    <n v="0"/>
    <x v="0"/>
    <s v="Shipment 1 PAR-550-22 Main"/>
    <x v="0"/>
    <x v="0"/>
    <m/>
    <d v="2027-01-06T00:00:00"/>
    <s v="Structure"/>
    <s v="STR01"/>
    <s v="S5"/>
    <s v="SD-PAR-550-22-B153"/>
    <s v="B153"/>
    <s v="BEAM"/>
    <n v="1"/>
    <n v="13.6"/>
    <n v="13.6"/>
    <s v="(1280x50x100)"/>
    <m/>
    <m/>
    <m/>
    <m/>
    <m/>
    <m/>
    <m/>
    <m/>
    <m/>
    <m/>
    <m/>
    <m/>
    <m/>
    <n v="13.6"/>
    <n v="0"/>
    <m/>
    <n v="1"/>
    <n v="13.6"/>
    <d v="2026-05-14T00:00:00"/>
    <n v="1"/>
    <n v="13.6"/>
    <d v="2026-05-20T00:00:00"/>
    <n v="1"/>
    <n v="13.6"/>
    <m/>
    <m/>
    <n v="0"/>
    <s v="M296-010"/>
    <d v="2026-05-26T00:00:00"/>
    <n v="1"/>
    <n v="13.6"/>
    <d v="2026-05-29T00:00:00"/>
    <n v="1"/>
    <n v="13.6"/>
    <s v="AMC GT-Galv"/>
    <s v="M296-010"/>
  </r>
  <r>
    <n v="0"/>
    <x v="0"/>
    <s v="Shipment 1 PAR-550-22 Main"/>
    <x v="0"/>
    <x v="0"/>
    <m/>
    <d v="2027-01-06T00:00:00"/>
    <s v="Structure"/>
    <s v="STR02"/>
    <s v="S5"/>
    <s v="SD-PAR-550-22-B156"/>
    <s v="B156"/>
    <s v="BEAM"/>
    <n v="1"/>
    <n v="122.7"/>
    <n v="122.7"/>
    <s v="(2740x314x300)"/>
    <m/>
    <m/>
    <m/>
    <m/>
    <m/>
    <m/>
    <m/>
    <m/>
    <m/>
    <m/>
    <m/>
    <m/>
    <m/>
    <n v="122.7"/>
    <n v="0"/>
    <m/>
    <n v="1"/>
    <n v="122.7"/>
    <d v="2026-05-14T00:00:00"/>
    <n v="1"/>
    <n v="122.7"/>
    <d v="2026-05-20T00:00:00"/>
    <n v="1"/>
    <n v="122.7"/>
    <m/>
    <m/>
    <n v="0"/>
    <s v="M296-006"/>
    <d v="2026-05-22T00:00:00"/>
    <n v="1"/>
    <n v="122.7"/>
    <d v="2026-05-25T00:00:00"/>
    <n v="1"/>
    <n v="122.7"/>
    <s v="AMC GT-Galv"/>
    <s v="M296-005"/>
  </r>
  <r>
    <n v="0"/>
    <x v="0"/>
    <s v="Shipment 1 PAR-550-22 Main"/>
    <x v="0"/>
    <x v="0"/>
    <m/>
    <d v="2027-01-06T00:00:00"/>
    <s v="Structure"/>
    <s v="STR01"/>
    <s v="S5"/>
    <s v="SD-PAR-550-22-B158"/>
    <s v="B158"/>
    <s v="BEAM"/>
    <n v="1"/>
    <n v="118.6"/>
    <n v="118.6"/>
    <s v="(2755x284x190)"/>
    <m/>
    <m/>
    <m/>
    <m/>
    <m/>
    <m/>
    <m/>
    <m/>
    <m/>
    <m/>
    <m/>
    <m/>
    <m/>
    <n v="118.6"/>
    <n v="0"/>
    <m/>
    <n v="1"/>
    <n v="118.6"/>
    <d v="2026-05-09T00:00:00"/>
    <n v="1"/>
    <n v="118.6"/>
    <d v="2026-05-16T00:00:00"/>
    <n v="1"/>
    <n v="118.6"/>
    <m/>
    <m/>
    <n v="0"/>
    <s v="M296-004"/>
    <d v="2026-05-19T00:00:00"/>
    <n v="1"/>
    <n v="118.6"/>
    <d v="2026-05-25T00:00:00"/>
    <n v="1"/>
    <n v="118.6"/>
    <s v="AMC GT-Galv"/>
    <s v="M296-003"/>
  </r>
  <r>
    <n v="0"/>
    <x v="0"/>
    <s v="Shipment 1 PAR-550-22 Main"/>
    <x v="0"/>
    <x v="0"/>
    <m/>
    <d v="2027-01-06T00:00:00"/>
    <s v="Structure"/>
    <s v="STR01"/>
    <s v="S5"/>
    <s v="SD-PAR-550-22-B159"/>
    <s v="B159"/>
    <s v="BEAM"/>
    <n v="1"/>
    <n v="54.6"/>
    <n v="54.6"/>
    <s v="(1290x200x190)"/>
    <m/>
    <m/>
    <m/>
    <m/>
    <m/>
    <m/>
    <m/>
    <m/>
    <m/>
    <m/>
    <m/>
    <m/>
    <m/>
    <n v="54.6"/>
    <n v="0"/>
    <m/>
    <n v="1"/>
    <n v="54.6"/>
    <d v="2026-05-11T00:00:00"/>
    <n v="1"/>
    <n v="54.6"/>
    <d v="2026-05-11T00:00:00"/>
    <n v="1"/>
    <n v="54.6"/>
    <m/>
    <m/>
    <n v="0"/>
    <s v="M296-001"/>
    <d v="2026-05-11T00:00:00"/>
    <n v="1"/>
    <n v="54.6"/>
    <d v="2026-05-25T00:00:00"/>
    <n v="1"/>
    <n v="54.6"/>
    <s v="AMC GT-Galv"/>
    <s v="M296-001"/>
  </r>
  <r>
    <n v="0"/>
    <x v="0"/>
    <s v="Shipment 1 PAR-550-22 Main"/>
    <x v="0"/>
    <x v="0"/>
    <m/>
    <d v="2027-01-06T00:00:00"/>
    <s v="Structure"/>
    <s v="STR01"/>
    <s v="S5"/>
    <s v="SD-PAR-550-22-B161"/>
    <s v="B161"/>
    <s v="BEAM"/>
    <n v="1"/>
    <n v="249.9"/>
    <n v="249.9"/>
    <s v="(5908x200x190)"/>
    <m/>
    <m/>
    <m/>
    <m/>
    <m/>
    <m/>
    <m/>
    <m/>
    <m/>
    <m/>
    <m/>
    <m/>
    <m/>
    <n v="249.90000000000003"/>
    <n v="0"/>
    <m/>
    <n v="1"/>
    <n v="249.9"/>
    <d v="2026-05-09T00:00:00"/>
    <n v="1"/>
    <n v="249.9"/>
    <d v="2026-05-11T00:00:00"/>
    <n v="1"/>
    <n v="249.9"/>
    <m/>
    <m/>
    <n v="0"/>
    <s v="M296-001"/>
    <d v="2026-05-11T00:00:00"/>
    <n v="1"/>
    <n v="249.9"/>
    <d v="2026-05-25T00:00:00"/>
    <n v="1"/>
    <n v="249.9"/>
    <s v="AMC GT-Galv"/>
    <s v="M296-001"/>
  </r>
  <r>
    <n v="0"/>
    <x v="0"/>
    <s v="Shipment 1 PAR-550-22 Main"/>
    <x v="0"/>
    <x v="0"/>
    <m/>
    <d v="2027-01-06T00:00:00"/>
    <s v="Structure"/>
    <s v="STR02"/>
    <s v="S5"/>
    <s v="SD-PAR-550-22SL-B5001"/>
    <s v="B5001"/>
    <s v="BEAM"/>
    <n v="1"/>
    <n v="142.30000000000001"/>
    <n v="142.30000000000001"/>
    <s v="(2915x320x617)"/>
    <m/>
    <s v="SHIP LOOSE"/>
    <m/>
    <m/>
    <m/>
    <m/>
    <m/>
    <m/>
    <m/>
    <m/>
    <m/>
    <m/>
    <m/>
    <n v="142.30000000000001"/>
    <n v="0"/>
    <m/>
    <n v="1"/>
    <n v="142.30000000000001"/>
    <d v="2026-05-14T00:00:00"/>
    <n v="1"/>
    <n v="142.30000000000001"/>
    <d v="2026-05-20T00:00:00"/>
    <n v="1"/>
    <n v="142.30000000000001"/>
    <m/>
    <m/>
    <n v="0"/>
    <s v="M296-007"/>
    <d v="2026-05-22T00:00:00"/>
    <n v="1"/>
    <n v="142.30000000000001"/>
    <d v="2026-05-25T00:00:00"/>
    <n v="1"/>
    <n v="142.30000000000001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2"/>
    <s v="B5002"/>
    <s v="BEAM"/>
    <n v="1"/>
    <n v="239.9"/>
    <n v="239.9"/>
    <s v="(5680x150x300)"/>
    <m/>
    <s v="SHIP LOOSE"/>
    <m/>
    <m/>
    <m/>
    <m/>
    <m/>
    <m/>
    <m/>
    <m/>
    <m/>
    <m/>
    <m/>
    <n v="239.90000000000003"/>
    <n v="0"/>
    <m/>
    <n v="1"/>
    <n v="239.9"/>
    <d v="2026-05-07T00:00:00"/>
    <n v="1"/>
    <n v="239.9"/>
    <d v="2026-05-11T00:00:00"/>
    <n v="1"/>
    <n v="239.9"/>
    <m/>
    <m/>
    <n v="0"/>
    <s v="M296-002"/>
    <d v="2026-05-11T00:00:00"/>
    <n v="1"/>
    <n v="239.9"/>
    <d v="2026-05-25T00:00:00"/>
    <n v="1"/>
    <n v="239.9"/>
    <s v="AMC GT-Galv"/>
    <s v="M296-002"/>
  </r>
  <r>
    <n v="0"/>
    <x v="0"/>
    <s v="Shipment 1 PAR-550-22 Main"/>
    <x v="0"/>
    <x v="0"/>
    <m/>
    <d v="2027-01-06T00:00:00"/>
    <s v="Structure"/>
    <s v="STR01"/>
    <s v="S5"/>
    <s v="SD-PAR-550-22SL-B5003"/>
    <s v="B5003(1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2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3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4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5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6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7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8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9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3"/>
    <s v="B5003(10/10)"/>
    <s v="BEAM"/>
    <n v="1"/>
    <n v="18.72"/>
    <n v="18.72"/>
    <s v="(1170x60x140)"/>
    <m/>
    <s v="SHIP LOOSE"/>
    <m/>
    <m/>
    <m/>
    <m/>
    <m/>
    <m/>
    <m/>
    <m/>
    <m/>
    <m/>
    <m/>
    <n v="18.72"/>
    <n v="0"/>
    <m/>
    <n v="1"/>
    <n v="18.72"/>
    <d v="2026-05-14T00:00:00"/>
    <n v="1"/>
    <n v="18.72"/>
    <d v="2026-05-17T00:00:00"/>
    <n v="1"/>
    <n v="18.72"/>
    <m/>
    <m/>
    <n v="0"/>
    <s v="M296-011"/>
    <d v="2026-05-26T00:00:00"/>
    <n v="1"/>
    <n v="18.72"/>
    <d v="2026-05-29T00:00:00"/>
    <n v="1"/>
    <n v="18.72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1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4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2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3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4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5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6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7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8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9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10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1"/>
    <s v="S5"/>
    <s v="SD-PAR-550-22SL-B5004"/>
    <s v="B5004(11/11)"/>
    <s v="BEAM"/>
    <n v="1"/>
    <n v="18.718181818181819"/>
    <n v="18.718181818181819"/>
    <s v="(1170x60x140)"/>
    <m/>
    <s v="SHIP LOOSE"/>
    <m/>
    <m/>
    <m/>
    <m/>
    <m/>
    <m/>
    <m/>
    <m/>
    <m/>
    <m/>
    <m/>
    <n v="18.718181818181819"/>
    <n v="0"/>
    <m/>
    <n v="1"/>
    <n v="18.718181818181819"/>
    <d v="2026-05-15T00:00:00"/>
    <n v="1"/>
    <n v="18.718181818181819"/>
    <d v="2026-05-17T00:00:00"/>
    <n v="1"/>
    <n v="18.718181818181819"/>
    <m/>
    <m/>
    <n v="0"/>
    <s v="M296-011"/>
    <d v="2026-05-26T00:00:00"/>
    <n v="1"/>
    <n v="18.718181818181819"/>
    <d v="2026-05-29T00:00:00"/>
    <n v="1"/>
    <n v="18.718181818181819"/>
    <s v="AMC GT-Galv"/>
    <s v="M296-011"/>
  </r>
  <r>
    <n v="0"/>
    <x v="0"/>
    <s v="Shipment 1 PAR-550-22 Main"/>
    <x v="0"/>
    <x v="0"/>
    <m/>
    <d v="2027-01-06T00:00:00"/>
    <s v="Structure"/>
    <s v="STR02"/>
    <s v="S5"/>
    <s v="SD-PAR-550-22SL-B5005"/>
    <s v="B5005(1/2)"/>
    <s v="BEAM"/>
    <n v="1"/>
    <n v="154.30000000000001"/>
    <n v="154.30000000000001"/>
    <s v="(3325x314x300)"/>
    <m/>
    <s v="SHIP LOOSE"/>
    <m/>
    <m/>
    <m/>
    <m/>
    <m/>
    <m/>
    <m/>
    <m/>
    <m/>
    <m/>
    <m/>
    <n v="154.30000000000001"/>
    <n v="0"/>
    <m/>
    <n v="1"/>
    <n v="154.30000000000001"/>
    <d v="2026-05-07T00:00:00"/>
    <n v="1"/>
    <n v="154.30000000000001"/>
    <d v="2026-05-14T00:00:00"/>
    <n v="1"/>
    <n v="154.30000000000001"/>
    <m/>
    <m/>
    <n v="0"/>
    <s v="M296-007"/>
    <d v="2026-05-22T00:00:00"/>
    <n v="1"/>
    <n v="154.30000000000001"/>
    <d v="2026-05-25T00:00:00"/>
    <n v="1"/>
    <n v="154.30000000000001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5"/>
    <s v="B5005(2/2)"/>
    <s v="BEAM"/>
    <n v="1"/>
    <n v="154.30000000000001"/>
    <n v="154.30000000000001"/>
    <s v="(3325x314x300)"/>
    <m/>
    <s v="SHIP LOOSE"/>
    <m/>
    <m/>
    <m/>
    <m/>
    <m/>
    <m/>
    <m/>
    <m/>
    <m/>
    <m/>
    <m/>
    <n v="154.30000000000001"/>
    <n v="0"/>
    <m/>
    <n v="1"/>
    <n v="154.30000000000001"/>
    <d v="2026-05-07T00:00:00"/>
    <n v="1"/>
    <n v="154.30000000000001"/>
    <d v="2026-05-14T00:00:00"/>
    <n v="1"/>
    <n v="154.30000000000001"/>
    <m/>
    <m/>
    <n v="0"/>
    <s v="M296-007"/>
    <d v="2026-05-22T00:00:00"/>
    <n v="1"/>
    <n v="154.30000000000001"/>
    <d v="2026-05-25T00:00:00"/>
    <n v="1"/>
    <n v="154.30000000000001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6"/>
    <s v="B5006(1/2)"/>
    <s v="BEAM"/>
    <n v="1"/>
    <n v="154.30000000000001"/>
    <n v="154.30000000000001"/>
    <s v="(3325x314x300)"/>
    <m/>
    <s v="SHIP LOOSE"/>
    <m/>
    <m/>
    <m/>
    <m/>
    <m/>
    <m/>
    <m/>
    <m/>
    <m/>
    <m/>
    <m/>
    <n v="154.30000000000001"/>
    <n v="0"/>
    <m/>
    <n v="1"/>
    <n v="154.30000000000001"/>
    <d v="2026-05-11T00:00:00"/>
    <n v="1"/>
    <n v="154.30000000000001"/>
    <d v="2026-05-17T00:00:00"/>
    <n v="1"/>
    <n v="154.30000000000001"/>
    <m/>
    <m/>
    <n v="0"/>
    <s v="M296-007"/>
    <d v="2026-05-22T00:00:00"/>
    <n v="1"/>
    <n v="154.30000000000001"/>
    <d v="2026-05-25T00:00:00"/>
    <n v="1"/>
    <n v="154.30000000000001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6"/>
    <s v="B5006(2/2)"/>
    <s v="BEAM"/>
    <n v="1"/>
    <n v="154.30000000000001"/>
    <n v="154.30000000000001"/>
    <s v="(3325x314x300)"/>
    <m/>
    <s v="SHIP LOOSE"/>
    <m/>
    <m/>
    <m/>
    <m/>
    <m/>
    <m/>
    <m/>
    <m/>
    <m/>
    <m/>
    <m/>
    <n v="154.30000000000001"/>
    <n v="0"/>
    <m/>
    <n v="1"/>
    <n v="154.30000000000001"/>
    <d v="2026-05-11T00:00:00"/>
    <n v="1"/>
    <n v="154.30000000000001"/>
    <d v="2026-05-17T00:00:00"/>
    <n v="1"/>
    <n v="154.30000000000001"/>
    <m/>
    <m/>
    <n v="0"/>
    <s v="M296-007"/>
    <d v="2026-05-22T00:00:00"/>
    <n v="1"/>
    <n v="154.30000000000001"/>
    <d v="2026-05-25T00:00:00"/>
    <n v="1"/>
    <n v="154.30000000000001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7"/>
    <s v="B5007(1/3)"/>
    <s v="BEAM"/>
    <n v="1"/>
    <n v="160.86666666666665"/>
    <n v="160.86666666666665"/>
    <s v="(3480x314x300)"/>
    <m/>
    <s v="SHIP LOOSE"/>
    <m/>
    <m/>
    <m/>
    <m/>
    <m/>
    <m/>
    <m/>
    <m/>
    <m/>
    <m/>
    <m/>
    <n v="160.86666666666665"/>
    <n v="0"/>
    <m/>
    <n v="1"/>
    <n v="160.86666666666665"/>
    <d v="2026-05-11T00:00:00"/>
    <n v="1"/>
    <n v="160.86666666666665"/>
    <d v="2026-05-17T00:00:00"/>
    <n v="1"/>
    <n v="160.86666666666665"/>
    <m/>
    <m/>
    <n v="0"/>
    <s v="M296-007"/>
    <d v="2026-05-22T00:00:00"/>
    <n v="1"/>
    <n v="160.86666666666665"/>
    <d v="2026-05-25T00:00:00"/>
    <n v="1"/>
    <n v="160.86666666666665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7"/>
    <s v="B5007(2/3)"/>
    <s v="BEAM"/>
    <n v="1"/>
    <n v="160.86666666666665"/>
    <n v="160.86666666666665"/>
    <s v="(3480x314x300)"/>
    <m/>
    <s v="SHIP LOOSE"/>
    <m/>
    <m/>
    <m/>
    <m/>
    <m/>
    <m/>
    <m/>
    <m/>
    <m/>
    <m/>
    <m/>
    <n v="160.86666666666665"/>
    <n v="0"/>
    <m/>
    <n v="1"/>
    <n v="160.86666666666665"/>
    <d v="2026-05-11T00:00:00"/>
    <n v="1"/>
    <n v="160.86666666666665"/>
    <d v="2026-05-17T00:00:00"/>
    <n v="1"/>
    <n v="160.86666666666665"/>
    <m/>
    <m/>
    <n v="0"/>
    <s v="M296-007"/>
    <d v="2026-05-22T00:00:00"/>
    <n v="1"/>
    <n v="160.86666666666665"/>
    <d v="2026-05-25T00:00:00"/>
    <n v="1"/>
    <n v="160.86666666666665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7"/>
    <s v="B5007(3/3)"/>
    <s v="BEAM"/>
    <n v="1"/>
    <n v="160.86666666666665"/>
    <n v="160.86666666666665"/>
    <s v="(3480x314x300)"/>
    <m/>
    <s v="SHIP LOOSE"/>
    <m/>
    <m/>
    <m/>
    <m/>
    <m/>
    <m/>
    <m/>
    <m/>
    <m/>
    <m/>
    <m/>
    <n v="160.86666666666665"/>
    <n v="0"/>
    <m/>
    <n v="1"/>
    <n v="160.86666666666665"/>
    <d v="2026-05-11T00:00:00"/>
    <n v="1"/>
    <n v="160.86666666666665"/>
    <d v="2026-05-17T00:00:00"/>
    <n v="1"/>
    <n v="160.86666666666665"/>
    <m/>
    <m/>
    <n v="0"/>
    <s v="M296-007"/>
    <d v="2026-05-22T00:00:00"/>
    <n v="1"/>
    <n v="160.86666666666665"/>
    <d v="2026-05-25T00:00:00"/>
    <n v="1"/>
    <n v="160.86666666666665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08"/>
    <s v="B5008"/>
    <s v="BEAM"/>
    <n v="1"/>
    <n v="156.1"/>
    <n v="156.1"/>
    <s v="(3480x320x300)"/>
    <m/>
    <s v="SHIP LOOSE"/>
    <m/>
    <m/>
    <m/>
    <m/>
    <m/>
    <m/>
    <m/>
    <m/>
    <m/>
    <m/>
    <m/>
    <n v="156.10000000000002"/>
    <n v="0"/>
    <m/>
    <n v="1"/>
    <n v="156.1"/>
    <d v="2026-05-11T00:00:00"/>
    <n v="1"/>
    <n v="156.1"/>
    <d v="2026-05-17T00:00:00"/>
    <n v="1"/>
    <n v="156.1"/>
    <m/>
    <m/>
    <n v="0"/>
    <s v="M296-007"/>
    <d v="2026-05-22T00:00:00"/>
    <n v="1"/>
    <n v="156.1"/>
    <d v="2026-05-25T00:00:00"/>
    <n v="1"/>
    <n v="156.1"/>
    <s v="AMC GT-Galv"/>
    <s v="M296-006"/>
  </r>
  <r>
    <n v="0"/>
    <x v="0"/>
    <s v="Shipment 1 PAR-550-22 Main"/>
    <x v="0"/>
    <x v="0"/>
    <m/>
    <d v="2027-01-06T00:00:00"/>
    <s v="Structure"/>
    <s v="STR02"/>
    <s v="S2"/>
    <s v="SD-PAR-550-22SL-B5009"/>
    <s v="B5009"/>
    <s v="BEAM"/>
    <n v="1"/>
    <n v="328.90000000000003"/>
    <n v="328.90000000000003"/>
    <s v="(3480x464x290)"/>
    <m/>
    <s v="SHIP LOOSE"/>
    <m/>
    <m/>
    <m/>
    <m/>
    <m/>
    <m/>
    <m/>
    <m/>
    <m/>
    <m/>
    <m/>
    <n v="328.90000000000003"/>
    <n v="0"/>
    <m/>
    <n v="1"/>
    <n v="328.90000000000003"/>
    <d v="2026-05-11T00:00:00"/>
    <n v="1"/>
    <n v="328.90000000000003"/>
    <d v="2026-05-15T00:00:00"/>
    <n v="1"/>
    <n v="328.90000000000003"/>
    <m/>
    <m/>
    <n v="0"/>
    <s v="M296-016"/>
    <d v="2026-06-03T00:00:00"/>
    <n v="1"/>
    <n v="328.90000000000003"/>
    <d v="2026-06-07T00:00:00"/>
    <n v="1"/>
    <n v="328.90000000000003"/>
    <s v="Truong An"/>
    <s v="M296-014"/>
  </r>
  <r>
    <n v="0"/>
    <x v="0"/>
    <s v="Shipment 1 PAR-550-22 Main"/>
    <x v="0"/>
    <x v="0"/>
    <m/>
    <d v="2027-01-06T00:00:00"/>
    <s v="Structure"/>
    <s v="STR02"/>
    <s v="S5"/>
    <s v="SD-PAR-550-22SL-B5010"/>
    <s v="B5010(1/2)"/>
    <s v="BEAM"/>
    <n v="1"/>
    <n v="160.85"/>
    <n v="160.85"/>
    <s v="(3480x314x300)"/>
    <m/>
    <s v="SHIP LOOSE"/>
    <m/>
    <m/>
    <m/>
    <m/>
    <m/>
    <m/>
    <m/>
    <m/>
    <m/>
    <m/>
    <m/>
    <n v="160.85"/>
    <n v="0"/>
    <m/>
    <n v="1"/>
    <n v="160.85"/>
    <d v="2026-05-11T00:00:00"/>
    <n v="1"/>
    <n v="160.85"/>
    <d v="2026-05-17T00:00:00"/>
    <n v="1"/>
    <n v="160.85"/>
    <m/>
    <m/>
    <n v="0"/>
    <s v="M296-007"/>
    <d v="2026-05-22T00:00:00"/>
    <n v="1"/>
    <n v="160.85"/>
    <d v="2026-05-25T00:00:00"/>
    <n v="1"/>
    <n v="160.85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10"/>
    <s v="B5010(2/2)"/>
    <s v="BEAM"/>
    <n v="1"/>
    <n v="160.85"/>
    <n v="160.85"/>
    <s v="(3480x314x300)"/>
    <m/>
    <s v="SHIP LOOSE"/>
    <m/>
    <m/>
    <m/>
    <m/>
    <m/>
    <m/>
    <m/>
    <m/>
    <m/>
    <m/>
    <m/>
    <n v="160.85"/>
    <n v="0"/>
    <m/>
    <n v="1"/>
    <n v="160.85"/>
    <d v="2026-05-11T00:00:00"/>
    <n v="1"/>
    <n v="160.85"/>
    <d v="2026-05-17T00:00:00"/>
    <n v="1"/>
    <n v="160.85"/>
    <m/>
    <m/>
    <n v="0"/>
    <s v="M296-007"/>
    <d v="2026-05-22T00:00:00"/>
    <n v="1"/>
    <n v="160.85"/>
    <d v="2026-05-25T00:00:00"/>
    <n v="1"/>
    <n v="160.85"/>
    <s v="AMC GT-Galv"/>
    <s v="M296-006"/>
  </r>
  <r>
    <n v="0"/>
    <x v="0"/>
    <s v="Shipment 1 PAR-550-22 Main"/>
    <x v="0"/>
    <x v="0"/>
    <m/>
    <d v="2027-01-06T00:00:00"/>
    <s v="Structure"/>
    <s v="STR02"/>
    <s v="S5"/>
    <s v="SD-PAR-550-22SL-B5011"/>
    <s v="B5011"/>
    <s v="BEAM"/>
    <n v="1"/>
    <n v="168.29999999999998"/>
    <n v="168.29999999999998"/>
    <s v="(3755x335x300)"/>
    <m/>
    <s v="SHIP LOOSE"/>
    <m/>
    <m/>
    <m/>
    <m/>
    <m/>
    <m/>
    <m/>
    <m/>
    <m/>
    <m/>
    <m/>
    <n v="168.29999999999995"/>
    <n v="0"/>
    <m/>
    <n v="1"/>
    <n v="168.29999999999998"/>
    <d v="2026-05-11T00:00:00"/>
    <n v="1"/>
    <n v="168.29999999999998"/>
    <d v="2026-05-17T00:00:00"/>
    <n v="1"/>
    <n v="168.29999999999998"/>
    <m/>
    <m/>
    <n v="0"/>
    <s v="M296-007"/>
    <d v="2026-05-22T00:00:00"/>
    <n v="1"/>
    <n v="168.29999999999998"/>
    <d v="2026-05-25T00:00:00"/>
    <n v="1"/>
    <n v="168.29999999999998"/>
    <s v="AMC GT-Galv"/>
    <s v="M296-006"/>
  </r>
  <r>
    <n v="0"/>
    <x v="0"/>
    <s v="Shipment 1 PAR-550-22 Main"/>
    <x v="0"/>
    <x v="0"/>
    <m/>
    <d v="2027-01-06T00:00:00"/>
    <s v="Structure"/>
    <s v="STR02"/>
    <s v="S2"/>
    <s v="SD-PAR-550-22SL-B5012"/>
    <s v="B5012"/>
    <s v="BEAM"/>
    <n v="1"/>
    <n v="125.1"/>
    <n v="125.1"/>
    <s v="(2830x318x300)"/>
    <m/>
    <s v="SHIP LOOSE"/>
    <m/>
    <m/>
    <m/>
    <m/>
    <m/>
    <m/>
    <m/>
    <m/>
    <m/>
    <m/>
    <m/>
    <n v="125.10000000000001"/>
    <n v="0"/>
    <m/>
    <n v="1"/>
    <n v="125.1"/>
    <d v="2026-05-09T00:00:00"/>
    <n v="1"/>
    <n v="125.1"/>
    <d v="2026-05-16T00:00:00"/>
    <n v="1"/>
    <n v="125.1"/>
    <m/>
    <m/>
    <n v="0"/>
    <s v="M296-016"/>
    <d v="2026-06-03T00:00:00"/>
    <n v="1"/>
    <n v="125.1"/>
    <d v="2026-06-07T00:00:00"/>
    <n v="1"/>
    <n v="125.1"/>
    <s v="Truong An"/>
    <s v="M296-014"/>
  </r>
  <r>
    <n v="0"/>
    <x v="0"/>
    <s v="Shipment 1 PAR-550-22 Main"/>
    <x v="0"/>
    <x v="0"/>
    <m/>
    <d v="2027-01-06T00:00:00"/>
    <s v="Structure"/>
    <s v="STR04"/>
    <s v="S2"/>
    <s v="SD-PAR-550-22-C001"/>
    <s v="C001-A"/>
    <s v="COLUMN"/>
    <n v="1"/>
    <n v="6857.7"/>
    <n v="6857.7"/>
    <s v="(21250x485x2215)"/>
    <m/>
    <m/>
    <m/>
    <m/>
    <m/>
    <m/>
    <m/>
    <m/>
    <m/>
    <m/>
    <m/>
    <m/>
    <m/>
    <n v="6857.7000000000007"/>
    <n v="0"/>
    <m/>
    <n v="1"/>
    <n v="6857.7"/>
    <d v="2026-05-13T00:00:00"/>
    <n v="1"/>
    <n v="6857.7"/>
    <d v="2026-05-19T00:00:00"/>
    <n v="1"/>
    <n v="6857.7"/>
    <m/>
    <m/>
    <n v="0"/>
    <s v="M296-018"/>
    <d v="2026-06-09T00:00:00"/>
    <n v="1"/>
    <n v="6857.7"/>
    <d v="2026-06-11T00:00:00"/>
    <n v="1"/>
    <n v="6857.7"/>
    <s v="Truong An"/>
    <s v="M296-016"/>
  </r>
  <r>
    <n v="0"/>
    <x v="0"/>
    <s v="Shipment 1 PAR-550-22 Main"/>
    <x v="0"/>
    <x v="0"/>
    <m/>
    <d v="2027-01-06T00:00:00"/>
    <s v="Structure"/>
    <s v="STR04"/>
    <s v="S2"/>
    <s v="SD-PAR-550-22-C001"/>
    <s v="C001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5-13T00:00:00"/>
    <n v="1"/>
    <n v="0"/>
    <d v="2026-05-13T00:00:00"/>
    <n v="1"/>
    <n v="0"/>
    <m/>
    <m/>
    <n v="0"/>
    <s v="M296-015"/>
    <d v="2026-06-02T00:00:00"/>
    <n v="1"/>
    <n v="0"/>
    <d v="2026-06-04T00:00:00"/>
    <n v="1"/>
    <n v="0"/>
    <s v="Truong An"/>
    <s v="M296-013"/>
  </r>
  <r>
    <n v="0"/>
    <x v="0"/>
    <s v="Shipment 1 PAR-550-22 Main"/>
    <x v="0"/>
    <x v="0"/>
    <m/>
    <d v="2027-01-06T00:00:00"/>
    <s v="Structure"/>
    <s v="STR03"/>
    <s v="S2"/>
    <s v="SD-PAR-550-22-C002"/>
    <s v="C002"/>
    <s v="COLUMN"/>
    <n v="1"/>
    <n v="1086.4000000000001"/>
    <n v="1086.4000000000001"/>
    <s v="(4765x693x785)"/>
    <m/>
    <m/>
    <m/>
    <m/>
    <m/>
    <m/>
    <m/>
    <m/>
    <m/>
    <m/>
    <m/>
    <m/>
    <m/>
    <n v="1086.4000000000001"/>
    <n v="0"/>
    <m/>
    <n v="1"/>
    <n v="1086.4000000000001"/>
    <d v="2026-05-19T00:00:00"/>
    <n v="1"/>
    <n v="1086.4000000000001"/>
    <d v="2026-05-26T00:00:00"/>
    <n v="1"/>
    <n v="1086.4000000000001"/>
    <m/>
    <m/>
    <n v="0"/>
    <s v="M296-014"/>
    <d v="2026-05-30T00:00:00"/>
    <n v="1"/>
    <n v="1086.4000000000001"/>
    <d v="2026-06-04T00:00:00"/>
    <n v="1"/>
    <n v="1086.4000000000001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03"/>
    <s v="C003-A"/>
    <s v="COLUMN"/>
    <n v="1"/>
    <n v="6957.7999999999993"/>
    <n v="6957.7999999999993"/>
    <s v="(21250x520x2520)"/>
    <m/>
    <m/>
    <m/>
    <m/>
    <m/>
    <m/>
    <m/>
    <m/>
    <m/>
    <m/>
    <m/>
    <m/>
    <m/>
    <n v="6957.7999999999993"/>
    <n v="0"/>
    <m/>
    <n v="1"/>
    <n v="6957.7999999999993"/>
    <d v="2026-06-05T00:00:00"/>
    <n v="1"/>
    <n v="6957.7999999999993"/>
    <d v="2026-06-09T00:00:00"/>
    <n v="1"/>
    <n v="6957.7999999999993"/>
    <m/>
    <m/>
    <n v="0"/>
    <s v="M296-018"/>
    <d v="2026-06-09T00:00:00"/>
    <n v="1"/>
    <n v="6957.7999999999993"/>
    <d v="2026-06-11T00:00:00"/>
    <n v="1"/>
    <n v="6957.7999999999993"/>
    <s v="Truong An"/>
    <s v="M296-016"/>
  </r>
  <r>
    <n v="0"/>
    <x v="0"/>
    <s v="Shipment 1 PAR-550-22 Main"/>
    <x v="0"/>
    <x v="0"/>
    <m/>
    <d v="2027-01-06T00:00:00"/>
    <s v="Structure"/>
    <s v="STR04"/>
    <s v="S2"/>
    <s v="SD-PAR-550-22-C003"/>
    <s v="C003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5T00:00:00"/>
    <n v="1"/>
    <n v="0"/>
    <d v="2026-06-09T00:00:00"/>
    <n v="1"/>
    <n v="0"/>
    <m/>
    <m/>
    <n v="0"/>
    <s v="M296-018-1"/>
    <d v="2026-06-09T00:00:00"/>
    <n v="1"/>
    <n v="0"/>
    <d v="2026-06-15T00:00:00"/>
    <n v="1"/>
    <n v="0"/>
    <s v="PAC"/>
    <s v="M296-017"/>
  </r>
  <r>
    <n v="0"/>
    <x v="0"/>
    <s v="Shipment 1 PAR-550-22 Main"/>
    <x v="0"/>
    <x v="0"/>
    <m/>
    <d v="2027-01-06T00:00:00"/>
    <s v="Structure"/>
    <s v="STR03"/>
    <s v="S2"/>
    <s v="SD-PAR-550-22-C004"/>
    <s v="C004"/>
    <s v="COLUMN"/>
    <n v="1"/>
    <n v="1068.6999999999998"/>
    <n v="1068.6999999999998"/>
    <s v="(4765x470x1008)"/>
    <m/>
    <m/>
    <m/>
    <m/>
    <m/>
    <m/>
    <m/>
    <m/>
    <m/>
    <m/>
    <m/>
    <m/>
    <m/>
    <n v="1068.6999999999998"/>
    <n v="0"/>
    <m/>
    <n v="1"/>
    <n v="1068.6999999999998"/>
    <d v="2026-05-21T00:00:00"/>
    <n v="1"/>
    <n v="1068.6999999999998"/>
    <d v="2026-05-27T00:00:00"/>
    <n v="1"/>
    <n v="1068.6999999999998"/>
    <m/>
    <m/>
    <n v="0"/>
    <s v="M296-014"/>
    <d v="2026-05-30T00:00:00"/>
    <n v="1"/>
    <n v="1068.6999999999998"/>
    <d v="2026-06-04T00:00:00"/>
    <n v="1"/>
    <n v="1068.6999999999998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05"/>
    <s v="C005-A"/>
    <s v="COLUMN"/>
    <n v="1"/>
    <n v="7842.5"/>
    <n v="7842.5"/>
    <s v="(21250x1185x2520)"/>
    <m/>
    <m/>
    <m/>
    <m/>
    <m/>
    <m/>
    <m/>
    <m/>
    <m/>
    <m/>
    <m/>
    <m/>
    <m/>
    <n v="7842.5"/>
    <n v="0"/>
    <m/>
    <n v="1"/>
    <n v="7842.5"/>
    <d v="2026-05-14T00:00:00"/>
    <n v="1"/>
    <n v="7842.5"/>
    <d v="2026-05-19T00:00:00"/>
    <n v="1"/>
    <n v="7842.5"/>
    <m/>
    <m/>
    <n v="0"/>
    <s v="M296-021"/>
    <d v="2026-06-26T00:00:00"/>
    <n v="1"/>
    <n v="7842.5"/>
    <d v="2026-06-30T00:00:00"/>
    <n v="1"/>
    <n v="7842.5"/>
    <s v="PAC"/>
    <s v="M296-019"/>
  </r>
  <r>
    <n v="0"/>
    <x v="0"/>
    <s v="Shipment 1 PAR-550-22 Main"/>
    <x v="0"/>
    <x v="0"/>
    <m/>
    <d v="2027-01-06T00:00:00"/>
    <s v="Structure"/>
    <s v="STR04"/>
    <s v="S2"/>
    <s v="SD-PAR-550-22-C005"/>
    <s v="C005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5T00:00:00"/>
    <n v="1"/>
    <n v="0"/>
    <d v="2026-06-09T00:00:00"/>
    <n v="1"/>
    <n v="0"/>
    <m/>
    <m/>
    <n v="0"/>
    <s v="M296-018-1"/>
    <d v="2026-06-09T00:00:00"/>
    <n v="1"/>
    <n v="0"/>
    <d v="2026-06-15T00:00:00"/>
    <n v="1"/>
    <n v="0"/>
    <s v="PAC"/>
    <s v="M296-017"/>
  </r>
  <r>
    <n v="0"/>
    <x v="0"/>
    <s v="Shipment 1 PAR-550-22 Main"/>
    <x v="0"/>
    <x v="0"/>
    <m/>
    <d v="2027-01-06T00:00:00"/>
    <s v="Structure"/>
    <s v="STR03"/>
    <s v="S2"/>
    <s v="SD-PAR-550-22-C006"/>
    <s v="C006"/>
    <s v="COLUMN"/>
    <n v="1"/>
    <n v="1114.2"/>
    <n v="1114.2"/>
    <s v="(4765x500x1011)"/>
    <m/>
    <m/>
    <m/>
    <m/>
    <m/>
    <m/>
    <m/>
    <m/>
    <m/>
    <m/>
    <m/>
    <m/>
    <m/>
    <n v="1114.2"/>
    <n v="0"/>
    <m/>
    <n v="1"/>
    <n v="1114.2"/>
    <d v="2026-05-21T00:00:00"/>
    <n v="1"/>
    <n v="1114.2"/>
    <d v="2026-05-27T00:00:00"/>
    <n v="1"/>
    <n v="1114.2"/>
    <m/>
    <m/>
    <n v="0"/>
    <s v="M296-014"/>
    <d v="2026-05-30T00:00:00"/>
    <n v="1"/>
    <n v="1114.2"/>
    <d v="2026-06-04T00:00:00"/>
    <n v="1"/>
    <n v="1114.2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15"/>
    <s v="C015-A"/>
    <s v="COLUMN"/>
    <n v="1"/>
    <n v="7008.4"/>
    <n v="7008.4"/>
    <s v="(21250x717x2302)"/>
    <m/>
    <m/>
    <m/>
    <m/>
    <m/>
    <m/>
    <m/>
    <m/>
    <m/>
    <m/>
    <m/>
    <m/>
    <m/>
    <n v="7008.4"/>
    <n v="0"/>
    <m/>
    <n v="1"/>
    <n v="7008.4"/>
    <d v="2026-05-25T00:00:00"/>
    <n v="1"/>
    <n v="7008.4"/>
    <d v="2026-06-05T00:00:00"/>
    <n v="1"/>
    <n v="7008.4"/>
    <m/>
    <m/>
    <n v="0"/>
    <s v="M296-022"/>
    <d v="2026-06-30T00:00:00"/>
    <n v="1"/>
    <n v="7008.4"/>
    <d v="2026-07-05T00:00:00"/>
    <n v="1"/>
    <n v="7008.4"/>
    <s v="PAC"/>
    <s v="M296-020"/>
  </r>
  <r>
    <n v="0"/>
    <x v="0"/>
    <s v="Shipment 1 PAR-550-22 Main"/>
    <x v="0"/>
    <x v="0"/>
    <m/>
    <d v="2027-01-06T00:00:00"/>
    <s v="Structure"/>
    <s v="STR04"/>
    <s v="S2"/>
    <s v="SD-PAR-550-22-C015"/>
    <s v="C015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5-25T00:00:00"/>
    <n v="1"/>
    <n v="0"/>
    <d v="2026-06-02T00:00:00"/>
    <n v="1"/>
    <n v="0"/>
    <m/>
    <m/>
    <n v="0"/>
    <s v="M296-015"/>
    <d v="2026-06-02T00:00:00"/>
    <n v="1"/>
    <n v="0"/>
    <d v="2026-06-04T00:00:00"/>
    <n v="1"/>
    <n v="0"/>
    <s v="Truong An"/>
    <s v="M296-013"/>
  </r>
  <r>
    <n v="0"/>
    <x v="0"/>
    <s v="Shipment 1 PAR-550-22 Main"/>
    <x v="0"/>
    <x v="0"/>
    <m/>
    <d v="2027-01-06T00:00:00"/>
    <s v="Structure"/>
    <s v="STR03"/>
    <s v="S2"/>
    <s v="SD-PAR-550-22-C016"/>
    <s v="C016"/>
    <s v="COLUMN"/>
    <n v="1"/>
    <n v="1117.2"/>
    <n v="1117.2"/>
    <s v="(4765x470x690)"/>
    <m/>
    <m/>
    <m/>
    <m/>
    <m/>
    <m/>
    <m/>
    <m/>
    <m/>
    <m/>
    <m/>
    <m/>
    <m/>
    <n v="1117.2"/>
    <n v="0"/>
    <m/>
    <n v="1"/>
    <n v="1117.2"/>
    <d v="2026-05-21T00:00:00"/>
    <n v="1"/>
    <n v="1117.2"/>
    <d v="2026-06-01T00:00:00"/>
    <n v="1"/>
    <n v="1117.2"/>
    <m/>
    <m/>
    <n v="0"/>
    <s v="M296-015"/>
    <d v="2026-06-02T00:00:00"/>
    <n v="1"/>
    <n v="1117.2"/>
    <d v="2026-06-04T00:00:00"/>
    <n v="1"/>
    <n v="1117.2"/>
    <s v="Truong An"/>
    <s v="M296-013"/>
  </r>
  <r>
    <n v="0"/>
    <x v="0"/>
    <s v="Shipment 1 PAR-550-22 Main"/>
    <x v="0"/>
    <x v="0"/>
    <m/>
    <d v="2027-01-06T00:00:00"/>
    <s v="Structure"/>
    <s v="STR04"/>
    <s v="S2"/>
    <s v="SD-PAR-550-22-C017"/>
    <s v="C017-A"/>
    <s v="COLUMN"/>
    <n v="1"/>
    <n v="7037.8"/>
    <n v="7037.8"/>
    <s v="(21250x520x2302)"/>
    <m/>
    <m/>
    <m/>
    <m/>
    <m/>
    <m/>
    <m/>
    <m/>
    <m/>
    <m/>
    <m/>
    <m/>
    <m/>
    <n v="7037.8"/>
    <n v="0"/>
    <m/>
    <n v="1"/>
    <n v="7037.8"/>
    <d v="2026-06-01T00:00:00"/>
    <n v="1"/>
    <n v="7037.8"/>
    <d v="2026-06-04T00:00:00"/>
    <n v="1"/>
    <n v="7037.8"/>
    <m/>
    <m/>
    <n v="0"/>
    <s v="M296-018"/>
    <d v="2026-06-09T00:00:00"/>
    <n v="1"/>
    <n v="7037.8"/>
    <d v="2026-06-11T00:00:00"/>
    <n v="1"/>
    <n v="7037.8"/>
    <s v="Truong An"/>
    <s v="M296-016"/>
  </r>
  <r>
    <n v="0"/>
    <x v="0"/>
    <s v="Shipment 1 PAR-550-22 Main"/>
    <x v="0"/>
    <x v="0"/>
    <m/>
    <d v="2027-01-06T00:00:00"/>
    <s v="Structure"/>
    <s v="STR04"/>
    <s v="S2"/>
    <s v="SD-PAR-550-22-C017"/>
    <s v="C017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4T00:00:00"/>
    <n v="1"/>
    <n v="0"/>
    <d v="2026-06-05T00:00:00"/>
    <n v="1"/>
    <n v="0"/>
    <m/>
    <m/>
    <n v="0"/>
    <s v="M296-018-1"/>
    <d v="2026-06-09T00:00:00"/>
    <n v="1"/>
    <n v="0"/>
    <d v="2026-06-15T00:00:00"/>
    <n v="1"/>
    <n v="0"/>
    <s v="PAC"/>
    <s v="M296-017"/>
  </r>
  <r>
    <n v="0"/>
    <x v="0"/>
    <s v="Shipment 1 PAR-550-22 Main"/>
    <x v="0"/>
    <x v="0"/>
    <m/>
    <d v="2027-01-06T00:00:00"/>
    <s v="Structure"/>
    <s v="STR03"/>
    <s v="S2"/>
    <s v="SD-PAR-550-22-C018"/>
    <s v="C018"/>
    <s v="COLUMN"/>
    <n v="1"/>
    <n v="1122.5"/>
    <n v="1122.5"/>
    <s v="(4765x470x690)"/>
    <m/>
    <m/>
    <m/>
    <m/>
    <m/>
    <m/>
    <m/>
    <m/>
    <m/>
    <m/>
    <m/>
    <m/>
    <m/>
    <n v="1122.5"/>
    <n v="0"/>
    <m/>
    <n v="1"/>
    <n v="1122.5"/>
    <d v="2026-05-21T00:00:00"/>
    <n v="1"/>
    <n v="1122.5"/>
    <d v="2026-05-30T00:00:00"/>
    <n v="1"/>
    <n v="1122.5"/>
    <m/>
    <m/>
    <n v="0"/>
    <s v="M296-014"/>
    <d v="2026-05-30T00:00:00"/>
    <n v="1"/>
    <n v="1122.5"/>
    <d v="2026-06-04T00:00:00"/>
    <n v="1"/>
    <n v="1122.5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19"/>
    <s v="C019-A"/>
    <s v="COLUMN"/>
    <n v="1"/>
    <n v="8013.1999999999989"/>
    <n v="8013.1999999999989"/>
    <s v="(21250x1185x2302)"/>
    <m/>
    <m/>
    <m/>
    <m/>
    <m/>
    <m/>
    <m/>
    <m/>
    <m/>
    <m/>
    <m/>
    <m/>
    <m/>
    <n v="8013.1999999999989"/>
    <n v="0"/>
    <m/>
    <n v="1"/>
    <n v="8013.1999999999989"/>
    <d v="2026-05-08T00:00:00"/>
    <n v="1"/>
    <n v="8013.1999999999989"/>
    <d v="2026-05-26T00:00:00"/>
    <n v="1"/>
    <n v="8013.1999999999989"/>
    <m/>
    <m/>
    <n v="0"/>
    <s v="M296-020"/>
    <d v="2026-06-17T00:00:00"/>
    <n v="1"/>
    <n v="8013.1999999999989"/>
    <d v="2026-06-19T00:00:00"/>
    <n v="1"/>
    <n v="8013.1999999999989"/>
    <s v="PAC"/>
    <s v="M296-018"/>
  </r>
  <r>
    <n v="0"/>
    <x v="0"/>
    <s v="Shipment 1 PAR-550-22 Main"/>
    <x v="0"/>
    <x v="0"/>
    <m/>
    <d v="2027-01-06T00:00:00"/>
    <s v="Structure"/>
    <s v="STR04"/>
    <s v="S2"/>
    <s v="SD-PAR-550-22-C019"/>
    <s v="C019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5T00:00:00"/>
    <n v="1"/>
    <n v="0"/>
    <d v="2026-06-08T00:00:00"/>
    <n v="1"/>
    <n v="0"/>
    <m/>
    <m/>
    <n v="0"/>
    <s v="M296-020"/>
    <d v="2026-06-17T00:00:00"/>
    <n v="1"/>
    <n v="0"/>
    <d v="2026-06-19T00:00:00"/>
    <n v="1"/>
    <n v="0"/>
    <s v="PAC"/>
    <s v="M296-018"/>
  </r>
  <r>
    <n v="0"/>
    <x v="0"/>
    <s v="Shipment 1 PAR-550-22 Main"/>
    <x v="0"/>
    <x v="0"/>
    <m/>
    <d v="2027-01-06T00:00:00"/>
    <s v="Structure"/>
    <s v="STR03"/>
    <s v="S2"/>
    <s v="SD-PAR-550-22-C020"/>
    <s v="C020"/>
    <s v="COLUMN"/>
    <n v="1"/>
    <n v="1198.0999999999999"/>
    <n v="1198.0999999999999"/>
    <s v="(4765x500x690)"/>
    <m/>
    <m/>
    <m/>
    <m/>
    <m/>
    <m/>
    <m/>
    <m/>
    <m/>
    <m/>
    <m/>
    <m/>
    <m/>
    <n v="1198.0999999999999"/>
    <n v="0"/>
    <m/>
    <n v="1"/>
    <n v="1198.0999999999999"/>
    <d v="2026-05-14T00:00:00"/>
    <n v="1"/>
    <n v="1198.0999999999999"/>
    <d v="2026-05-19T00:00:00"/>
    <n v="1"/>
    <n v="1198.0999999999999"/>
    <m/>
    <m/>
    <n v="0"/>
    <s v="M296-014"/>
    <d v="2026-05-30T00:00:00"/>
    <n v="1"/>
    <n v="1198.0999999999999"/>
    <d v="2026-06-04T00:00:00"/>
    <n v="1"/>
    <n v="1198.0999999999999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29"/>
    <s v="C029-A"/>
    <s v="COLUMN"/>
    <n v="1"/>
    <n v="6921.8"/>
    <n v="6921.8"/>
    <s v="(21250x717x1202)"/>
    <m/>
    <m/>
    <m/>
    <m/>
    <m/>
    <m/>
    <m/>
    <m/>
    <m/>
    <m/>
    <m/>
    <m/>
    <m/>
    <n v="6921.8000000000011"/>
    <n v="0"/>
    <m/>
    <n v="1"/>
    <n v="6921.8"/>
    <d v="2026-06-06T00:00:00"/>
    <n v="1"/>
    <n v="6921.8"/>
    <d v="2026-06-15T00:00:00"/>
    <n v="1"/>
    <n v="6921.8"/>
    <m/>
    <m/>
    <n v="0"/>
    <s v="M296-020"/>
    <d v="2026-06-17T00:00:00"/>
    <n v="1"/>
    <n v="6921.8"/>
    <d v="2026-06-19T00:00:00"/>
    <n v="1"/>
    <n v="6921.8"/>
    <s v="PAC"/>
    <s v="M296-018"/>
  </r>
  <r>
    <n v="0"/>
    <x v="0"/>
    <s v="Shipment 1 PAR-550-22 Main"/>
    <x v="0"/>
    <x v="0"/>
    <m/>
    <d v="2027-01-06T00:00:00"/>
    <s v="Structure"/>
    <s v="STR04"/>
    <s v="S2"/>
    <s v="SD-PAR-550-22-C029"/>
    <s v="C029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6T00:00:00"/>
    <n v="1"/>
    <n v="0"/>
    <d v="2026-06-15T00:00:00"/>
    <n v="1"/>
    <n v="0"/>
    <m/>
    <m/>
    <n v="0"/>
    <s v="M296-020"/>
    <d v="2026-06-17T00:00:00"/>
    <n v="1"/>
    <n v="0"/>
    <d v="2026-06-19T00:00:00"/>
    <n v="1"/>
    <n v="0"/>
    <s v="PAC"/>
    <s v="M296-018"/>
  </r>
  <r>
    <n v="0"/>
    <x v="0"/>
    <s v="Shipment 1 PAR-550-22 Main"/>
    <x v="0"/>
    <x v="0"/>
    <m/>
    <d v="2027-01-06T00:00:00"/>
    <s v="Structure"/>
    <s v="STR03"/>
    <s v="S2"/>
    <s v="SD-PAR-550-22-C030"/>
    <s v="C030"/>
    <s v="COLUMN"/>
    <n v="1"/>
    <n v="1117.2"/>
    <n v="1117.2"/>
    <s v="(4765x470x1100)"/>
    <m/>
    <m/>
    <m/>
    <m/>
    <m/>
    <m/>
    <m/>
    <m/>
    <m/>
    <m/>
    <m/>
    <m/>
    <m/>
    <n v="1117.2"/>
    <n v="0"/>
    <m/>
    <n v="1"/>
    <n v="1117.2"/>
    <d v="2026-05-14T00:00:00"/>
    <n v="1"/>
    <n v="1117.2"/>
    <d v="2026-05-19T00:00:00"/>
    <n v="1"/>
    <n v="1117.2"/>
    <m/>
    <m/>
    <n v="0"/>
    <s v="M296-014"/>
    <d v="2026-05-30T00:00:00"/>
    <n v="1"/>
    <n v="1117.2"/>
    <d v="2026-06-04T00:00:00"/>
    <n v="1"/>
    <n v="1117.2"/>
    <s v="Truong An"/>
    <s v="M296-012"/>
  </r>
  <r>
    <n v="0"/>
    <x v="0"/>
    <s v="Shipment 1 PAR-550-22 Main"/>
    <x v="0"/>
    <x v="0"/>
    <m/>
    <d v="2027-01-06T00:00:00"/>
    <s v="Structure"/>
    <s v="STR04"/>
    <s v="S2"/>
    <s v="SD-PAR-550-22-C031"/>
    <s v="C031-A"/>
    <s v="COLUMN"/>
    <n v="1"/>
    <n v="6932"/>
    <n v="6932"/>
    <s v="(21250x520x1202)"/>
    <m/>
    <m/>
    <m/>
    <m/>
    <m/>
    <m/>
    <m/>
    <m/>
    <m/>
    <m/>
    <m/>
    <m/>
    <m/>
    <n v="6932"/>
    <n v="0"/>
    <m/>
    <n v="1"/>
    <n v="6932"/>
    <d v="2026-05-25T00:00:00"/>
    <n v="1"/>
    <n v="6932"/>
    <d v="2026-05-28T00:00:00"/>
    <n v="1"/>
    <n v="6932"/>
    <m/>
    <m/>
    <n v="0"/>
    <s v="M296-021"/>
    <d v="2026-06-26T00:00:00"/>
    <n v="1"/>
    <n v="6932"/>
    <d v="2026-06-30T00:00:00"/>
    <n v="1"/>
    <n v="6932"/>
    <s v="PAC"/>
    <s v="M296-019"/>
  </r>
  <r>
    <n v="0"/>
    <x v="0"/>
    <s v="Shipment 1 PAR-550-22 Main"/>
    <x v="0"/>
    <x v="0"/>
    <m/>
    <d v="2027-01-06T00:00:00"/>
    <s v="Structure"/>
    <s v="STR04"/>
    <s v="S2"/>
    <s v="SD-PAR-550-22-C031"/>
    <s v="C031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4T00:00:00"/>
    <n v="1"/>
    <n v="0"/>
    <d v="2026-06-07T00:00:00"/>
    <n v="1"/>
    <n v="0"/>
    <m/>
    <m/>
    <n v="0"/>
    <s v="M296-020"/>
    <d v="2026-06-17T00:00:00"/>
    <n v="1"/>
    <n v="0"/>
    <d v="2026-06-19T00:00:00"/>
    <n v="1"/>
    <n v="0"/>
    <s v="PAC"/>
    <s v="M296-018"/>
  </r>
  <r>
    <n v="0"/>
    <x v="0"/>
    <s v="Shipment 1 PAR-550-22 Main"/>
    <x v="0"/>
    <x v="0"/>
    <m/>
    <d v="2027-01-06T00:00:00"/>
    <s v="Structure"/>
    <s v="STR03"/>
    <s v="S2"/>
    <s v="SD-PAR-550-22-C032"/>
    <s v="C032"/>
    <s v="COLUMN"/>
    <n v="1"/>
    <n v="1098.8999999999999"/>
    <n v="1098.8999999999999"/>
    <s v="(4765x475x1100)"/>
    <m/>
    <m/>
    <m/>
    <m/>
    <m/>
    <m/>
    <m/>
    <m/>
    <m/>
    <m/>
    <m/>
    <m/>
    <m/>
    <n v="1098.8999999999999"/>
    <n v="0"/>
    <m/>
    <n v="1"/>
    <n v="1098.8999999999999"/>
    <d v="2026-05-05T00:00:00"/>
    <n v="1"/>
    <n v="1098.8999999999999"/>
    <d v="2026-05-08T00:00:00"/>
    <n v="1"/>
    <n v="1098.8999999999999"/>
    <m/>
    <m/>
    <n v="0"/>
    <s v="M296-021"/>
    <d v="2026-06-26T00:00:00"/>
    <n v="1"/>
    <n v="1098.8999999999999"/>
    <d v="2026-06-30T00:00:00"/>
    <n v="1"/>
    <n v="1098.8999999999999"/>
    <s v="PAC"/>
    <s v="M296-019"/>
  </r>
  <r>
    <n v="0"/>
    <x v="0"/>
    <s v="Shipment 1 PAR-550-22 Main"/>
    <x v="0"/>
    <x v="0"/>
    <m/>
    <d v="2027-01-06T00:00:00"/>
    <s v="Structure"/>
    <s v="STR04"/>
    <s v="S2"/>
    <s v="SD-PAR-550-22-C033"/>
    <s v="C033-A"/>
    <s v="COLUMN"/>
    <n v="1"/>
    <n v="8081.6"/>
    <n v="8081.6"/>
    <s v="(21250x5013x1607)"/>
    <m/>
    <m/>
    <m/>
    <m/>
    <m/>
    <m/>
    <m/>
    <m/>
    <m/>
    <m/>
    <m/>
    <m/>
    <m/>
    <n v="8081.6"/>
    <n v="0"/>
    <m/>
    <n v="1"/>
    <n v="8081.6"/>
    <d v="2026-05-30T00:00:00"/>
    <n v="1"/>
    <n v="8081.6"/>
    <d v="2026-06-09T00:00:00"/>
    <n v="1"/>
    <n v="8081.6"/>
    <m/>
    <m/>
    <n v="0"/>
    <s v="M296-021"/>
    <d v="2026-06-26T00:00:00"/>
    <n v="1"/>
    <n v="8081.6"/>
    <d v="2026-06-30T00:00:00"/>
    <n v="1"/>
    <n v="8081.6"/>
    <s v="PAC"/>
    <s v="M296-019"/>
  </r>
  <r>
    <n v="0"/>
    <x v="0"/>
    <s v="Shipment 1 PAR-550-22 Main"/>
    <x v="0"/>
    <x v="0"/>
    <m/>
    <d v="2027-01-06T00:00:00"/>
    <s v="Structure"/>
    <s v="STR04"/>
    <s v="S2"/>
    <s v="SD-PAR-550-22-C033"/>
    <s v="C033-B"/>
    <s v="COLUMN"/>
    <n v="1"/>
    <n v="0"/>
    <n v="0"/>
    <m/>
    <m/>
    <m/>
    <m/>
    <m/>
    <m/>
    <m/>
    <m/>
    <m/>
    <m/>
    <m/>
    <m/>
    <m/>
    <m/>
    <n v="0"/>
    <n v="0"/>
    <m/>
    <n v="1"/>
    <n v="0"/>
    <d v="2026-06-05T00:00:00"/>
    <n v="1"/>
    <n v="0"/>
    <d v="2026-06-09T00:00:00"/>
    <n v="1"/>
    <n v="0"/>
    <m/>
    <m/>
    <n v="0"/>
    <s v="M296-021"/>
    <d v="2026-06-26T00:00:00"/>
    <n v="1"/>
    <n v="0"/>
    <d v="2026-06-30T00:00:00"/>
    <n v="1"/>
    <n v="0"/>
    <s v="PAC"/>
    <s v="M296-019"/>
  </r>
  <r>
    <n v="0"/>
    <x v="0"/>
    <s v="Shipment 1 PAR-550-22 Main"/>
    <x v="0"/>
    <x v="0"/>
    <m/>
    <d v="2027-01-06T00:00:00"/>
    <s v="Structure"/>
    <s v="STR03"/>
    <s v="S2"/>
    <s v="SD-PAR-550-22-C034"/>
    <s v="C034"/>
    <s v="COLUMN"/>
    <n v="1"/>
    <n v="1281.9999999999995"/>
    <n v="1281.9999999999995"/>
    <s v="(4765x1565x1270)"/>
    <m/>
    <m/>
    <m/>
    <m/>
    <m/>
    <m/>
    <m/>
    <m/>
    <m/>
    <m/>
    <m/>
    <m/>
    <m/>
    <n v="1281.9999999999998"/>
    <n v="0"/>
    <m/>
    <n v="1"/>
    <n v="1281.9999999999995"/>
    <d v="2026-05-05T00:00:00"/>
    <n v="1"/>
    <n v="1281.9999999999995"/>
    <d v="2026-05-13T00:00:00"/>
    <n v="1"/>
    <n v="1281.9999999999995"/>
    <m/>
    <m/>
    <n v="0"/>
    <s v="M296-020"/>
    <d v="2026-06-17T00:00:00"/>
    <n v="1"/>
    <n v="1281.9999999999995"/>
    <d v="2026-06-19T00:00:00"/>
    <n v="1"/>
    <n v="1281.9999999999995"/>
    <s v="PAC"/>
    <s v="M296-018"/>
  </r>
  <r>
    <n v="0"/>
    <x v="0"/>
    <s v="Shipment 1 PAR-550-22 Main"/>
    <x v="0"/>
    <x v="0"/>
    <m/>
    <d v="2027-01-06T00:00:00"/>
    <s v="Structure"/>
    <s v="STR02"/>
    <s v="S2"/>
    <s v="SD-PAR-550-22SL-C5001"/>
    <s v="C5001"/>
    <s v="COLUMN"/>
    <n v="1"/>
    <n v="1062.3999999999999"/>
    <n v="1062.3999999999999"/>
    <s v="(11450x410x330)"/>
    <m/>
    <s v="SHIP LOOSE"/>
    <m/>
    <m/>
    <m/>
    <m/>
    <m/>
    <m/>
    <m/>
    <m/>
    <m/>
    <m/>
    <m/>
    <n v="1062.3999999999999"/>
    <n v="0"/>
    <m/>
    <n v="1"/>
    <n v="1062.3999999999999"/>
    <d v="2026-05-23T00:00:00"/>
    <n v="1"/>
    <n v="1062.3999999999999"/>
    <d v="2026-05-26T00:00:00"/>
    <n v="1"/>
    <n v="1062.3999999999999"/>
    <m/>
    <m/>
    <n v="0"/>
    <s v="M296-016"/>
    <d v="2026-06-03T00:00:00"/>
    <n v="1"/>
    <n v="1062.3999999999999"/>
    <d v="2026-06-07T00:00:00"/>
    <n v="1"/>
    <n v="1062.3999999999999"/>
    <s v="Truong An"/>
    <s v="M296-014"/>
  </r>
  <r>
    <n v="0"/>
    <x v="0"/>
    <s v="Shipment 1 PAR-550-22 Main"/>
    <x v="0"/>
    <x v="0"/>
    <m/>
    <d v="2027-01-06T00:00:00"/>
    <s v="Structure"/>
    <s v="STR02"/>
    <s v="S2"/>
    <s v="SD-PAR-550-22SL-C5002"/>
    <s v="C5002"/>
    <s v="COLUMN"/>
    <n v="1"/>
    <n v="1036"/>
    <n v="1036"/>
    <s v="(11260x390x310)"/>
    <m/>
    <s v="SHIP LOOSE"/>
    <m/>
    <m/>
    <m/>
    <m/>
    <m/>
    <m/>
    <m/>
    <m/>
    <m/>
    <m/>
    <m/>
    <n v="1036"/>
    <n v="0"/>
    <m/>
    <n v="1"/>
    <n v="1036"/>
    <d v="2026-05-07T00:00:00"/>
    <n v="1"/>
    <n v="1036"/>
    <d v="2026-05-14T00:00:00"/>
    <n v="1"/>
    <n v="1036"/>
    <m/>
    <m/>
    <n v="0"/>
    <s v="M296-016"/>
    <d v="2026-06-03T00:00:00"/>
    <n v="1"/>
    <n v="1036"/>
    <d v="2026-06-07T00:00:00"/>
    <n v="1"/>
    <n v="1036"/>
    <s v="Truong An"/>
    <s v="M296-014"/>
  </r>
  <r>
    <n v="0"/>
    <x v="0"/>
    <s v="Shipment 1 PAR-550-22 Main"/>
    <x v="0"/>
    <x v="0"/>
    <m/>
    <d v="2027-01-06T00:00:00"/>
    <s v="Structure"/>
    <s v="STR02"/>
    <s v="S2"/>
    <s v="SD-PAR-550-22SL-C5003"/>
    <s v="C5003"/>
    <s v="COLUMN"/>
    <n v="1"/>
    <n v="380.1"/>
    <n v="380.1"/>
    <s v="(3660x390x702)"/>
    <m/>
    <s v="SHIP LOOSE"/>
    <m/>
    <m/>
    <m/>
    <m/>
    <m/>
    <m/>
    <m/>
    <m/>
    <m/>
    <m/>
    <m/>
    <n v="380.1"/>
    <n v="0"/>
    <m/>
    <n v="1"/>
    <n v="380.1"/>
    <d v="2026-05-16T00:00:00"/>
    <n v="1"/>
    <n v="380.1"/>
    <d v="2026-05-23T00:00:00"/>
    <n v="1"/>
    <n v="380.1"/>
    <m/>
    <m/>
    <n v="0"/>
    <s v="M296-016"/>
    <d v="2026-06-03T00:00:00"/>
    <n v="1"/>
    <n v="380.1"/>
    <d v="2026-06-07T00:00:00"/>
    <n v="1"/>
    <n v="380.1"/>
    <s v="Truong An"/>
    <s v="M296-014"/>
  </r>
  <r>
    <n v="0"/>
    <x v="0"/>
    <s v="Shipment 1 PAR-550-22 Main"/>
    <x v="0"/>
    <x v="0"/>
    <m/>
    <d v="2027-01-06T00:00:00"/>
    <s v="Structure"/>
    <s v="STR02"/>
    <s v="S2"/>
    <s v="SD-PAR-550-22SL-C5004"/>
    <s v="C5004"/>
    <s v="COLUMN"/>
    <n v="1"/>
    <n v="1066.8999999999999"/>
    <n v="1066.8999999999999"/>
    <s v="(11450x410x330)"/>
    <m/>
    <s v="SHIP LOOSE"/>
    <m/>
    <m/>
    <m/>
    <m/>
    <m/>
    <m/>
    <m/>
    <m/>
    <m/>
    <m/>
    <m/>
    <n v="1066.8999999999999"/>
    <n v="0"/>
    <m/>
    <n v="1"/>
    <n v="1066.8999999999999"/>
    <d v="2026-05-23T00:00:00"/>
    <n v="1"/>
    <n v="1066.8999999999999"/>
    <d v="2026-05-26T00:00:00"/>
    <n v="1"/>
    <n v="1066.8999999999999"/>
    <m/>
    <m/>
    <n v="0"/>
    <s v="M296-016"/>
    <d v="2026-06-03T00:00:00"/>
    <n v="1"/>
    <n v="1066.8999999999999"/>
    <d v="2026-06-07T00:00:00"/>
    <n v="1"/>
    <n v="1066.8999999999999"/>
    <s v="Truong An"/>
    <s v="M296-014"/>
  </r>
  <r>
    <n v="0"/>
    <x v="0"/>
    <s v="Shipment 1 PAR-550-22 Main"/>
    <x v="0"/>
    <x v="0"/>
    <m/>
    <d v="2027-01-06T00:00:00"/>
    <s v="Structure"/>
    <s v="STR02"/>
    <s v="S2"/>
    <s v="SD-PAR-550-22SL-C5005"/>
    <s v="C5005"/>
    <s v="COLUMN"/>
    <n v="1"/>
    <n v="1036"/>
    <n v="1036"/>
    <s v="(11260x390x310)"/>
    <m/>
    <s v="SHIP LOOSE"/>
    <m/>
    <m/>
    <m/>
    <m/>
    <m/>
    <m/>
    <m/>
    <m/>
    <m/>
    <m/>
    <m/>
    <n v="1036"/>
    <n v="0"/>
    <m/>
    <n v="1"/>
    <n v="1036"/>
    <d v="2026-05-07T00:00:00"/>
    <n v="1"/>
    <n v="1036"/>
    <d v="2026-05-14T00:00:00"/>
    <n v="1"/>
    <n v="1036"/>
    <m/>
    <m/>
    <n v="0"/>
    <s v="M296-016"/>
    <d v="2026-06-03T00:00:00"/>
    <n v="1"/>
    <n v="1036"/>
    <d v="2026-06-07T00:00:00"/>
    <n v="1"/>
    <n v="1036"/>
    <s v="Truong An"/>
    <s v="M296-014"/>
  </r>
  <r>
    <n v="0"/>
    <x v="0"/>
    <s v="Shipment 1 PAR-550-22 Main"/>
    <x v="0"/>
    <x v="0"/>
    <m/>
    <d v="2027-01-06T00:00:00"/>
    <s v="Structure"/>
    <s v="STR02"/>
    <s v="S2"/>
    <s v="SD-PAR-550-22SL-C5006"/>
    <s v="C5006"/>
    <s v="COLUMN"/>
    <n v="1"/>
    <n v="328.90000000000003"/>
    <n v="328.90000000000003"/>
    <s v="(3270x340x340)"/>
    <m/>
    <s v="SHIP LOOSE"/>
    <m/>
    <m/>
    <m/>
    <m/>
    <m/>
    <m/>
    <m/>
    <m/>
    <m/>
    <m/>
    <m/>
    <n v="328.90000000000003"/>
    <n v="0"/>
    <m/>
    <n v="1"/>
    <n v="328.90000000000003"/>
    <d v="2026-05-16T00:00:00"/>
    <n v="1"/>
    <n v="328.90000000000003"/>
    <d v="2026-05-23T00:00:00"/>
    <n v="1"/>
    <n v="328.90000000000003"/>
    <m/>
    <m/>
    <n v="0"/>
    <s v="M296-016"/>
    <d v="2026-06-03T00:00:00"/>
    <n v="1"/>
    <n v="328.90000000000003"/>
    <d v="2026-06-07T00:00:00"/>
    <n v="1"/>
    <n v="328.90000000000003"/>
    <s v="Truong An"/>
    <s v="M296-014"/>
  </r>
  <r>
    <n v="0"/>
    <x v="0"/>
    <s v="Shipment 1 PAR-550-22 Main"/>
    <x v="0"/>
    <x v="0"/>
    <m/>
    <d v="2027-01-06T00:00:00"/>
    <s v="Structure"/>
    <s v="STR01"/>
    <s v="S2"/>
    <s v="SD-PAR-550-22-F006"/>
    <s v="F006"/>
    <s v="FRAME"/>
    <n v="1"/>
    <n v="174.79999999999998"/>
    <n v="174.79999999999998"/>
    <s v="(1740x424x880)"/>
    <m/>
    <m/>
    <m/>
    <m/>
    <m/>
    <m/>
    <m/>
    <m/>
    <m/>
    <m/>
    <m/>
    <m/>
    <m/>
    <n v="174.79999999999998"/>
    <n v="0"/>
    <m/>
    <n v="1"/>
    <n v="174.79999999999998"/>
    <d v="2026-05-21T00:00:00"/>
    <n v="1"/>
    <n v="174.79999999999998"/>
    <d v="2026-05-30T00:00:00"/>
    <n v="1"/>
    <n v="174.79999999999998"/>
    <m/>
    <m/>
    <n v="0"/>
    <s v="M296-022"/>
    <d v="2026-06-30T00:00:00"/>
    <n v="1"/>
    <n v="174.79999999999998"/>
    <d v="2026-07-05T00:00:00"/>
    <n v="1"/>
    <n v="174.79999999999998"/>
    <s v="PAC"/>
    <s v="M296-020"/>
  </r>
  <r>
    <n v="0"/>
    <x v="0"/>
    <s v="Shipment 1 PAR-550-22 Main"/>
    <x v="0"/>
    <x v="0"/>
    <m/>
    <d v="2027-01-06T00:00:00"/>
    <s v="Structure"/>
    <s v="STR01"/>
    <s v="S2"/>
    <s v="SD-PAR-550-22-F007"/>
    <s v="F007"/>
    <s v="FRAME"/>
    <n v="1"/>
    <n v="101.00000000000001"/>
    <n v="101.00000000000001"/>
    <s v="(1880x510x770)"/>
    <m/>
    <m/>
    <m/>
    <m/>
    <m/>
    <m/>
    <m/>
    <m/>
    <m/>
    <m/>
    <m/>
    <m/>
    <m/>
    <n v="101"/>
    <n v="0"/>
    <m/>
    <n v="1"/>
    <n v="101.00000000000001"/>
    <d v="2026-05-21T00:00:00"/>
    <n v="1"/>
    <n v="101.00000000000001"/>
    <d v="2026-05-30T00:00:00"/>
    <n v="1"/>
    <n v="101.00000000000001"/>
    <m/>
    <m/>
    <n v="0"/>
    <s v="M296-022"/>
    <d v="2026-06-30T00:00:00"/>
    <n v="1"/>
    <n v="101.00000000000001"/>
    <d v="2026-07-05T00:00:00"/>
    <n v="1"/>
    <n v="101.00000000000001"/>
    <s v="PAC"/>
    <s v="M296-020"/>
  </r>
  <r>
    <n v="0"/>
    <x v="0"/>
    <s v="Shipment 1 PAR-550-22 Main"/>
    <x v="0"/>
    <x v="0"/>
    <m/>
    <d v="2027-01-06T00:00:00"/>
    <s v="Structure"/>
    <s v="STR01"/>
    <s v="S2"/>
    <s v="SD-PAR-550-22-F010"/>
    <s v="F010"/>
    <s v="FRAME"/>
    <n v="1"/>
    <n v="105.10000000000002"/>
    <n v="105.10000000000002"/>
    <s v="(1880x160x1305)"/>
    <m/>
    <m/>
    <m/>
    <m/>
    <m/>
    <m/>
    <m/>
    <m/>
    <m/>
    <m/>
    <m/>
    <m/>
    <m/>
    <n v="105.10000000000004"/>
    <n v="0"/>
    <m/>
    <n v="1"/>
    <n v="105.10000000000002"/>
    <d v="2026-05-21T00:00:00"/>
    <n v="1"/>
    <n v="105.10000000000002"/>
    <d v="2026-05-30T00:00:00"/>
    <n v="1"/>
    <n v="105.10000000000002"/>
    <m/>
    <m/>
    <n v="0"/>
    <s v="M296-022"/>
    <d v="2026-06-30T00:00:00"/>
    <n v="1"/>
    <n v="105.10000000000002"/>
    <d v="2026-07-05T00:00:00"/>
    <n v="1"/>
    <n v="105.10000000000002"/>
    <s v="PAC"/>
    <s v="M296-020"/>
  </r>
  <r>
    <n v="0"/>
    <x v="0"/>
    <s v="Shipment 1 PAR-550-22 Main"/>
    <x v="0"/>
    <x v="0"/>
    <m/>
    <d v="2027-01-06T00:00:00"/>
    <s v="Structure"/>
    <s v="STR02"/>
    <s v="S5"/>
    <s v="SD-PAR-550-22-G001"/>
    <s v="G001"/>
    <s v="GIRDER"/>
    <n v="1"/>
    <n v="514.30000000000007"/>
    <n v="514.30000000000007"/>
    <s v="(3805x480x700)"/>
    <m/>
    <m/>
    <m/>
    <m/>
    <m/>
    <m/>
    <m/>
    <m/>
    <m/>
    <m/>
    <m/>
    <m/>
    <m/>
    <n v="514.30000000000007"/>
    <n v="0"/>
    <m/>
    <n v="1"/>
    <n v="514.30000000000007"/>
    <d v="2026-05-16T00:00:00"/>
    <n v="1"/>
    <n v="514.30000000000007"/>
    <d v="2026-05-22T00:00:00"/>
    <n v="1"/>
    <n v="514.30000000000007"/>
    <m/>
    <m/>
    <n v="0"/>
    <s v="M296-006"/>
    <d v="2026-05-22T00:00:00"/>
    <n v="1"/>
    <n v="514.30000000000007"/>
    <d v="2026-05-25T00:00:00"/>
    <n v="1"/>
    <n v="514.30000000000007"/>
    <s v="AMC GT-Galv"/>
    <s v="M296-005"/>
  </r>
  <r>
    <n v="0"/>
    <x v="0"/>
    <s v="Shipment 1 PAR-550-22 Main"/>
    <x v="0"/>
    <x v="0"/>
    <m/>
    <d v="2027-01-06T00:00:00"/>
    <s v="Structure"/>
    <s v="STR02"/>
    <s v="S5"/>
    <s v="SD-PAR-550-22-G002"/>
    <s v="G002"/>
    <s v="GIRDER"/>
    <n v="1"/>
    <n v="512.4"/>
    <n v="512.4"/>
    <s v="(3745x702x711)"/>
    <m/>
    <m/>
    <m/>
    <m/>
    <m/>
    <m/>
    <m/>
    <m/>
    <m/>
    <m/>
    <m/>
    <m/>
    <m/>
    <n v="512.4"/>
    <n v="0"/>
    <m/>
    <n v="1"/>
    <n v="512.4"/>
    <d v="2026-05-22T00:00:00"/>
    <n v="1"/>
    <n v="512.4"/>
    <d v="2026-05-22T00:00:00"/>
    <n v="1"/>
    <n v="512.4"/>
    <m/>
    <m/>
    <n v="0"/>
    <s v="M296-006"/>
    <d v="2026-05-22T00:00:00"/>
    <n v="1"/>
    <n v="512.4"/>
    <d v="2026-05-25T00:00:00"/>
    <n v="1"/>
    <n v="512.4"/>
    <s v="AMC GT-Galv"/>
    <s v="M296-005"/>
  </r>
  <r>
    <n v="0"/>
    <x v="0"/>
    <s v="Shipment 1 PAR-550-22 Main"/>
    <x v="0"/>
    <x v="0"/>
    <m/>
    <d v="2027-01-06T00:00:00"/>
    <s v="Structure"/>
    <s v="STR02"/>
    <s v="S2"/>
    <s v="SD-PAR-550-22-G006"/>
    <s v="G006"/>
    <s v="GIRDER"/>
    <n v="1"/>
    <n v="407.49999999999994"/>
    <n v="407.49999999999994"/>
    <s v="(2950x474x708)"/>
    <m/>
    <m/>
    <m/>
    <m/>
    <m/>
    <m/>
    <m/>
    <m/>
    <m/>
    <m/>
    <m/>
    <m/>
    <m/>
    <n v="407.5"/>
    <n v="0"/>
    <m/>
    <n v="1"/>
    <n v="407.49999999999994"/>
    <d v="2026-05-05T00:00:00"/>
    <n v="1"/>
    <n v="407.49999999999994"/>
    <d v="2026-05-13T00:00:00"/>
    <n v="1"/>
    <n v="407.49999999999994"/>
    <m/>
    <m/>
    <n v="0"/>
    <s v="M296-017"/>
    <d v="2026-06-03T00:00:00"/>
    <n v="1"/>
    <n v="407.49999999999994"/>
    <d v="2026-06-07T00:00:00"/>
    <n v="1"/>
    <n v="407.49999999999994"/>
    <s v="Truong An"/>
    <s v="M296-015"/>
  </r>
  <r>
    <n v="0"/>
    <x v="0"/>
    <s v="Shipment 1 PAR-550-22 Main"/>
    <x v="0"/>
    <x v="0"/>
    <m/>
    <d v="2027-01-06T00:00:00"/>
    <s v="Structure"/>
    <s v="STR02"/>
    <s v="S2"/>
    <s v="SD-PAR-550-22-G009"/>
    <s v="G009"/>
    <s v="GIRDER"/>
    <n v="1"/>
    <n v="761.80000000000007"/>
    <n v="761.80000000000007"/>
    <s v="(5720x464x396)"/>
    <m/>
    <m/>
    <m/>
    <m/>
    <m/>
    <m/>
    <m/>
    <m/>
    <m/>
    <m/>
    <m/>
    <m/>
    <m/>
    <n v="761.80000000000018"/>
    <n v="0"/>
    <m/>
    <n v="1"/>
    <n v="761.80000000000007"/>
    <d v="2026-05-16T00:00:00"/>
    <n v="1"/>
    <n v="761.80000000000007"/>
    <d v="2026-05-23T00:00:00"/>
    <n v="1"/>
    <n v="761.80000000000007"/>
    <m/>
    <m/>
    <n v="0"/>
    <s v="M296-017"/>
    <d v="2026-06-03T00:00:00"/>
    <n v="1"/>
    <n v="761.80000000000007"/>
    <d v="2026-06-07T00:00:00"/>
    <n v="1"/>
    <n v="761.80000000000007"/>
    <s v="Truong An"/>
    <s v="M296-015"/>
  </r>
  <r>
    <n v="0"/>
    <x v="0"/>
    <s v="Shipment 1 PAR-550-22 Main"/>
    <x v="0"/>
    <x v="0"/>
    <m/>
    <d v="2027-01-06T00:00:00"/>
    <s v="Structure"/>
    <s v="STR02"/>
    <s v="S5"/>
    <s v="SD-PAR-550-22-G012"/>
    <s v="G012(1/2)"/>
    <s v="GIRDER"/>
    <n v="1"/>
    <n v="241.15"/>
    <n v="241.15"/>
    <s v="(5720x170x306)"/>
    <m/>
    <m/>
    <m/>
    <m/>
    <m/>
    <m/>
    <m/>
    <m/>
    <m/>
    <m/>
    <m/>
    <m/>
    <m/>
    <n v="241.15000000000003"/>
    <n v="0"/>
    <m/>
    <n v="1"/>
    <n v="241.15"/>
    <d v="2026-05-09T00:00:00"/>
    <n v="1"/>
    <n v="241.15"/>
    <d v="2026-05-09T00:00:00"/>
    <n v="1"/>
    <n v="241.15"/>
    <m/>
    <m/>
    <n v="0"/>
    <s v="M296-001"/>
    <d v="2026-05-11T00:00:00"/>
    <n v="1"/>
    <n v="241.15"/>
    <d v="2026-05-25T00:00:00"/>
    <n v="1"/>
    <n v="241.15"/>
    <s v="AMC GT-Galv"/>
    <s v="M296-001"/>
  </r>
  <r>
    <n v="0"/>
    <x v="0"/>
    <s v="Shipment 1 PAR-550-22 Main"/>
    <x v="0"/>
    <x v="0"/>
    <m/>
    <d v="2027-01-06T00:00:00"/>
    <s v="Structure"/>
    <s v="STR02"/>
    <s v="S5"/>
    <s v="SD-PAR-550-22-G012"/>
    <s v="G012(2/2)"/>
    <s v="GIRDER"/>
    <n v="1"/>
    <n v="241.15"/>
    <n v="241.15"/>
    <s v="(5720x170x306)"/>
    <m/>
    <m/>
    <m/>
    <m/>
    <m/>
    <m/>
    <m/>
    <m/>
    <m/>
    <m/>
    <m/>
    <m/>
    <m/>
    <n v="241.15000000000003"/>
    <n v="0"/>
    <m/>
    <n v="1"/>
    <n v="241.15"/>
    <d v="2026-05-09T00:00:00"/>
    <n v="1"/>
    <n v="241.15"/>
    <d v="2026-05-09T00:00:00"/>
    <n v="1"/>
    <n v="241.15"/>
    <m/>
    <m/>
    <n v="0"/>
    <s v="M296-001"/>
    <d v="2026-05-11T00:00:00"/>
    <n v="1"/>
    <n v="241.15"/>
    <d v="2026-05-25T00:00:00"/>
    <n v="1"/>
    <n v="241.15"/>
    <s v="AMC GT-Galv"/>
    <s v="M296-001"/>
  </r>
  <r>
    <n v="0"/>
    <x v="0"/>
    <s v="Shipment 1 PAR-550-22 Main"/>
    <x v="0"/>
    <x v="0"/>
    <m/>
    <d v="2027-01-06T00:00:00"/>
    <s v="Structure"/>
    <s v="STR02"/>
    <s v="S5"/>
    <s v="SD-PAR-550-22-G013"/>
    <s v="G013"/>
    <s v="GIRDER"/>
    <n v="1"/>
    <n v="538.69999999999993"/>
    <n v="538.69999999999993"/>
    <s v="(5720x320x296)"/>
    <m/>
    <m/>
    <m/>
    <m/>
    <m/>
    <m/>
    <m/>
    <m/>
    <m/>
    <m/>
    <m/>
    <m/>
    <m/>
    <n v="538.69999999999993"/>
    <n v="0"/>
    <m/>
    <n v="1"/>
    <n v="538.69999999999993"/>
    <d v="2026-05-05T00:00:00"/>
    <n v="1"/>
    <n v="538.69999999999993"/>
    <d v="2026-05-13T00:00:00"/>
    <n v="1"/>
    <n v="538.69999999999993"/>
    <m/>
    <m/>
    <n v="0"/>
    <s v="M296-004"/>
    <d v="2026-05-19T00:00:00"/>
    <n v="1"/>
    <n v="538.69999999999993"/>
    <d v="2026-05-25T00:00:00"/>
    <n v="1"/>
    <n v="538.69999999999993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G014"/>
    <s v="G014"/>
    <s v="GIRDER"/>
    <n v="1"/>
    <n v="755.80000000000007"/>
    <n v="755.80000000000007"/>
    <s v="(5720x474x396)"/>
    <m/>
    <m/>
    <m/>
    <m/>
    <m/>
    <m/>
    <m/>
    <m/>
    <m/>
    <m/>
    <m/>
    <m/>
    <m/>
    <n v="755.80000000000007"/>
    <n v="0"/>
    <m/>
    <n v="1"/>
    <n v="755.80000000000007"/>
    <d v="2026-05-16T00:00:00"/>
    <n v="1"/>
    <n v="755.80000000000007"/>
    <d v="2026-05-23T00:00:00"/>
    <n v="1"/>
    <n v="755.80000000000007"/>
    <m/>
    <m/>
    <n v="0"/>
    <s v="M296-022"/>
    <d v="2026-06-30T00:00:00"/>
    <n v="1"/>
    <n v="755.80000000000007"/>
    <d v="2026-07-05T00:00:00"/>
    <n v="1"/>
    <n v="755.80000000000007"/>
    <s v="PAC"/>
    <s v="M296-020"/>
  </r>
  <r>
    <n v="0"/>
    <x v="0"/>
    <s v="Shipment 1 PAR-550-22 Main"/>
    <x v="0"/>
    <x v="0"/>
    <m/>
    <d v="2027-01-06T00:00:00"/>
    <s v="Structure"/>
    <s v="STR04"/>
    <s v="S5"/>
    <s v="SD-PAR-550-22-G041"/>
    <s v="G041"/>
    <s v="GIRDER"/>
    <n v="1"/>
    <n v="1844.6999999999998"/>
    <n v="1844.6999999999998"/>
    <s v="(5000x440x900)"/>
    <m/>
    <m/>
    <m/>
    <m/>
    <m/>
    <m/>
    <m/>
    <m/>
    <m/>
    <m/>
    <m/>
    <m/>
    <m/>
    <n v="1844.7"/>
    <n v="0"/>
    <m/>
    <n v="1"/>
    <n v="1844.6999999999998"/>
    <d v="2026-05-15T00:00:00"/>
    <n v="1"/>
    <n v="1844.6999999999998"/>
    <d v="2026-05-19T00:00:00"/>
    <n v="1"/>
    <n v="1844.6999999999998"/>
    <m/>
    <m/>
    <n v="0"/>
    <s v="M296-004"/>
    <d v="2026-05-19T00:00:00"/>
    <n v="1"/>
    <n v="1844.6999999999998"/>
    <d v="2026-05-25T00:00:00"/>
    <n v="1"/>
    <n v="1844.6999999999998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G046"/>
    <s v="G046"/>
    <s v="GIRDER"/>
    <n v="1"/>
    <n v="726.1"/>
    <n v="726.1"/>
    <s v="(5310x936x390)"/>
    <m/>
    <m/>
    <m/>
    <m/>
    <m/>
    <m/>
    <m/>
    <m/>
    <m/>
    <m/>
    <m/>
    <m/>
    <m/>
    <n v="726.1"/>
    <n v="0"/>
    <m/>
    <n v="1"/>
    <n v="726.1"/>
    <d v="2026-05-12T00:00:00"/>
    <n v="1"/>
    <n v="726.1"/>
    <d v="2026-05-15T00:00:00"/>
    <n v="1"/>
    <n v="726.1"/>
    <m/>
    <m/>
    <n v="0"/>
    <s v="M296-004"/>
    <d v="2026-05-19T00:00:00"/>
    <n v="1"/>
    <n v="726.1"/>
    <d v="2026-05-25T00:00:00"/>
    <n v="1"/>
    <n v="726.1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G048"/>
    <s v="G048"/>
    <s v="GIRDER"/>
    <n v="1"/>
    <n v="710.4"/>
    <n v="710.4"/>
    <s v="(5310x936x390)"/>
    <m/>
    <m/>
    <m/>
    <m/>
    <m/>
    <m/>
    <m/>
    <m/>
    <m/>
    <m/>
    <m/>
    <m/>
    <m/>
    <n v="710.4"/>
    <n v="0"/>
    <m/>
    <n v="1"/>
    <n v="710.4"/>
    <d v="2026-05-12T00:00:00"/>
    <n v="1"/>
    <n v="710.4"/>
    <d v="2026-05-18T00:00:00"/>
    <n v="1"/>
    <n v="710.4"/>
    <m/>
    <m/>
    <n v="0"/>
    <s v="M296-004"/>
    <d v="2026-05-19T00:00:00"/>
    <n v="1"/>
    <n v="710.4"/>
    <d v="2026-05-25T00:00:00"/>
    <n v="1"/>
    <n v="710.4"/>
    <s v="AMC GT-Galv"/>
    <s v="M296-003"/>
  </r>
  <r>
    <n v="0"/>
    <x v="0"/>
    <s v="Shipment 1 PAR-550-22 Main"/>
    <x v="0"/>
    <x v="0"/>
    <m/>
    <d v="2027-01-06T00:00:00"/>
    <s v="Structure"/>
    <s v="STR04"/>
    <s v="S2"/>
    <s v="SD-PAR-550-22-G049"/>
    <s v="G049"/>
    <s v="GIRDER"/>
    <n v="1"/>
    <n v="1883"/>
    <n v="1883"/>
    <s v="(5000x758x900)"/>
    <m/>
    <m/>
    <m/>
    <m/>
    <m/>
    <m/>
    <m/>
    <m/>
    <m/>
    <m/>
    <m/>
    <m/>
    <m/>
    <n v="1883"/>
    <n v="0"/>
    <m/>
    <n v="1"/>
    <n v="1883"/>
    <d v="2026-05-15T00:00:00"/>
    <n v="1"/>
    <n v="1883"/>
    <d v="2026-05-23T00:00:00"/>
    <n v="1"/>
    <n v="1883"/>
    <m/>
    <m/>
    <n v="0"/>
    <s v="M296-020"/>
    <d v="2026-06-17T00:00:00"/>
    <n v="1"/>
    <n v="1883"/>
    <d v="2026-06-19T00:00:00"/>
    <n v="1"/>
    <n v="1883"/>
    <s v="PAC"/>
    <s v="M296-018"/>
  </r>
  <r>
    <n v="0"/>
    <x v="0"/>
    <s v="Shipment 1 PAR-550-22 Main"/>
    <x v="0"/>
    <x v="0"/>
    <m/>
    <d v="2027-01-06T00:00:00"/>
    <s v="Structure"/>
    <s v="STR03"/>
    <s v="S5"/>
    <s v="SD-PAR-550-22-G050"/>
    <s v="G050(1/2)"/>
    <s v="GIRDER"/>
    <n v="1"/>
    <n v="1062.3000000000002"/>
    <n v="1062.3000000000002"/>
    <s v="(5000x618x690)"/>
    <m/>
    <m/>
    <m/>
    <m/>
    <m/>
    <m/>
    <m/>
    <m/>
    <m/>
    <m/>
    <m/>
    <m/>
    <m/>
    <n v="1062.3000000000002"/>
    <n v="0"/>
    <m/>
    <n v="1"/>
    <n v="1062.3000000000002"/>
    <d v="2026-05-06T00:00:00"/>
    <n v="1"/>
    <n v="1062.3000000000002"/>
    <d v="2026-05-13T00:00:00"/>
    <n v="1"/>
    <n v="1062.3000000000002"/>
    <m/>
    <m/>
    <n v="0"/>
    <s v="M296-004"/>
    <d v="2026-05-19T00:00:00"/>
    <n v="1"/>
    <n v="1062.3000000000002"/>
    <d v="2026-05-25T00:00:00"/>
    <n v="1"/>
    <n v="1062.3000000000002"/>
    <s v="AMC GT-Galv"/>
    <s v="M296-003"/>
  </r>
  <r>
    <n v="0"/>
    <x v="0"/>
    <s v="Shipment 1 PAR-550-22 Main"/>
    <x v="0"/>
    <x v="0"/>
    <m/>
    <d v="2027-01-06T00:00:00"/>
    <s v="Structure"/>
    <s v="STR03"/>
    <s v="S5"/>
    <s v="SD-PAR-550-22-G050"/>
    <s v="G050(2/2)"/>
    <s v="GIRDER"/>
    <n v="1"/>
    <n v="1062.3000000000002"/>
    <n v="1062.3000000000002"/>
    <s v="(5000x618x690)"/>
    <m/>
    <m/>
    <m/>
    <m/>
    <m/>
    <m/>
    <m/>
    <m/>
    <m/>
    <m/>
    <m/>
    <m/>
    <m/>
    <n v="1062.3000000000002"/>
    <n v="0"/>
    <m/>
    <n v="1"/>
    <n v="1062.3000000000002"/>
    <d v="2026-05-06T00:00:00"/>
    <n v="1"/>
    <n v="1062.3000000000002"/>
    <d v="2026-05-13T00:00:00"/>
    <n v="1"/>
    <n v="1062.3000000000002"/>
    <m/>
    <m/>
    <n v="0"/>
    <s v="M296-004"/>
    <d v="2026-05-19T00:00:00"/>
    <n v="1"/>
    <n v="1062.3000000000002"/>
    <d v="2026-05-25T00:00:00"/>
    <n v="1"/>
    <n v="1062.3000000000002"/>
    <s v="AMC GT-Galv"/>
    <s v="M296-003"/>
  </r>
  <r>
    <n v="0"/>
    <x v="0"/>
    <s v="Shipment 1 PAR-550-22 Main"/>
    <x v="0"/>
    <x v="0"/>
    <m/>
    <d v="2027-01-06T00:00:00"/>
    <s v="Structure"/>
    <s v="STR03"/>
    <s v="S5"/>
    <s v="SD-PAR-550-22-G051"/>
    <s v="G051"/>
    <s v="GIRDER"/>
    <n v="1"/>
    <n v="864.19999999999993"/>
    <n v="864.19999999999993"/>
    <s v="(5310x618x490)"/>
    <m/>
    <m/>
    <m/>
    <m/>
    <m/>
    <m/>
    <m/>
    <m/>
    <m/>
    <m/>
    <m/>
    <m/>
    <m/>
    <n v="864.19999999999993"/>
    <n v="0"/>
    <m/>
    <n v="1"/>
    <n v="864.19999999999993"/>
    <d v="2026-05-07T00:00:00"/>
    <n v="1"/>
    <n v="864.19999999999993"/>
    <d v="2026-05-14T00:00:00"/>
    <n v="1"/>
    <n v="864.19999999999993"/>
    <m/>
    <m/>
    <n v="0"/>
    <s v="M296-004"/>
    <d v="2026-05-19T00:00:00"/>
    <n v="1"/>
    <n v="864.19999999999993"/>
    <d v="2026-05-25T00:00:00"/>
    <n v="1"/>
    <n v="864.19999999999993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G052"/>
    <s v="G052"/>
    <s v="GIRDER"/>
    <n v="1"/>
    <n v="782.19999999999993"/>
    <n v="782.19999999999993"/>
    <s v="(5310x1050x825)"/>
    <m/>
    <m/>
    <m/>
    <m/>
    <m/>
    <m/>
    <m/>
    <m/>
    <m/>
    <m/>
    <m/>
    <m/>
    <m/>
    <n v="782.2"/>
    <n v="0"/>
    <m/>
    <n v="1"/>
    <n v="782.19999999999993"/>
    <d v="2026-05-15T00:00:00"/>
    <n v="1"/>
    <n v="782.19999999999993"/>
    <d v="2026-05-22T00:00:00"/>
    <n v="1"/>
    <n v="782.19999999999993"/>
    <m/>
    <m/>
    <n v="0"/>
    <s v="M296-006"/>
    <d v="2026-05-22T00:00:00"/>
    <n v="1"/>
    <n v="782.19999999999993"/>
    <d v="2026-05-25T00:00:00"/>
    <n v="1"/>
    <n v="782.19999999999993"/>
    <s v="AMC GT-Galv"/>
    <s v="M296-005"/>
  </r>
  <r>
    <n v="0"/>
    <x v="0"/>
    <s v="Shipment 1 PAR-550-22 Main"/>
    <x v="0"/>
    <x v="0"/>
    <m/>
    <d v="2027-01-06T00:00:00"/>
    <s v="Structure"/>
    <s v="STR03"/>
    <s v="S5"/>
    <s v="SD-PAR-550-22-G053"/>
    <s v="G053(1/2)"/>
    <s v="GIRDER"/>
    <n v="1"/>
    <n v="1126.3500000000001"/>
    <n v="1126.3500000000001"/>
    <s v="(5310x618x690)"/>
    <m/>
    <m/>
    <m/>
    <m/>
    <m/>
    <m/>
    <m/>
    <m/>
    <m/>
    <m/>
    <m/>
    <m/>
    <m/>
    <n v="1126.3500000000001"/>
    <n v="0"/>
    <m/>
    <n v="1"/>
    <n v="1126.3500000000001"/>
    <d v="2026-05-06T00:00:00"/>
    <n v="1"/>
    <n v="1126.3500000000001"/>
    <d v="2026-05-13T00:00:00"/>
    <n v="1"/>
    <n v="1126.3500000000001"/>
    <m/>
    <m/>
    <n v="0"/>
    <s v="M296-004"/>
    <d v="2026-05-19T00:00:00"/>
    <n v="1"/>
    <n v="1126.3500000000001"/>
    <d v="2026-05-25T00:00:00"/>
    <n v="1"/>
    <n v="1126.3500000000001"/>
    <s v="AMC GT-Galv"/>
    <s v="M296-003"/>
  </r>
  <r>
    <n v="0"/>
    <x v="0"/>
    <s v="Shipment 1 PAR-550-22 Main"/>
    <x v="0"/>
    <x v="0"/>
    <m/>
    <d v="2027-01-06T00:00:00"/>
    <s v="Structure"/>
    <s v="STR03"/>
    <s v="S5"/>
    <s v="SD-PAR-550-22-G053"/>
    <s v="G053(2/2)"/>
    <s v="GIRDER"/>
    <n v="1"/>
    <n v="1126.3500000000001"/>
    <n v="1126.3500000000001"/>
    <s v="(5310x618x690)"/>
    <m/>
    <m/>
    <m/>
    <m/>
    <m/>
    <m/>
    <m/>
    <m/>
    <m/>
    <m/>
    <m/>
    <m/>
    <m/>
    <n v="1126.3500000000001"/>
    <n v="0"/>
    <m/>
    <n v="1"/>
    <n v="1126.3500000000001"/>
    <d v="2026-05-06T00:00:00"/>
    <n v="1"/>
    <n v="1126.3500000000001"/>
    <d v="2026-05-13T00:00:00"/>
    <n v="1"/>
    <n v="1126.3500000000001"/>
    <m/>
    <m/>
    <n v="0"/>
    <s v="M296-004"/>
    <d v="2026-05-19T00:00:00"/>
    <n v="1"/>
    <n v="1126.3500000000001"/>
    <d v="2026-05-25T00:00:00"/>
    <n v="1"/>
    <n v="1126.3500000000001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G054"/>
    <s v="G054"/>
    <s v="GIRDER"/>
    <n v="1"/>
    <n v="728.4"/>
    <n v="728.4"/>
    <s v="(5310x936x390)"/>
    <m/>
    <m/>
    <m/>
    <m/>
    <m/>
    <m/>
    <m/>
    <m/>
    <m/>
    <m/>
    <m/>
    <m/>
    <m/>
    <n v="728.4"/>
    <n v="0"/>
    <m/>
    <n v="1"/>
    <n v="728.4"/>
    <d v="2026-05-12T00:00:00"/>
    <n v="1"/>
    <n v="728.4"/>
    <d v="2026-05-18T00:00:00"/>
    <n v="1"/>
    <n v="728.4"/>
    <m/>
    <m/>
    <n v="0"/>
    <s v="M296-004"/>
    <d v="2026-05-19T00:00:00"/>
    <n v="1"/>
    <n v="728.4"/>
    <d v="2026-05-25T00:00:00"/>
    <n v="1"/>
    <n v="728.4"/>
    <s v="AMC GT-Galv"/>
    <s v="M296-003"/>
  </r>
  <r>
    <n v="0"/>
    <x v="0"/>
    <s v="Shipment 1 PAR-550-22 Main"/>
    <x v="0"/>
    <x v="0"/>
    <m/>
    <d v="2027-01-06T00:00:00"/>
    <s v="Structure"/>
    <s v="STR02"/>
    <s v="S5"/>
    <s v="SD-PAR-550-22-G069"/>
    <s v="G069"/>
    <s v="GIRDER"/>
    <n v="1"/>
    <n v="403"/>
    <n v="403"/>
    <s v="(2965x528x396)"/>
    <m/>
    <m/>
    <m/>
    <m/>
    <m/>
    <m/>
    <m/>
    <m/>
    <m/>
    <m/>
    <m/>
    <m/>
    <m/>
    <n v="403.00000000000006"/>
    <n v="0"/>
    <m/>
    <n v="1"/>
    <n v="403"/>
    <d v="2026-05-08T00:00:00"/>
    <n v="1"/>
    <n v="403"/>
    <d v="2026-05-16T00:00:00"/>
    <n v="1"/>
    <n v="403"/>
    <m/>
    <m/>
    <n v="0"/>
    <s v="M296-004"/>
    <d v="2026-05-19T00:00:00"/>
    <n v="1"/>
    <n v="403"/>
    <d v="2026-05-25T00:00:00"/>
    <n v="1"/>
    <n v="403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G070"/>
    <s v="G070"/>
    <s v="GIRDER"/>
    <n v="1"/>
    <n v="850.80000000000007"/>
    <n v="850.80000000000007"/>
    <s v="(5720x468x446)"/>
    <m/>
    <m/>
    <m/>
    <m/>
    <m/>
    <m/>
    <m/>
    <m/>
    <m/>
    <m/>
    <m/>
    <m/>
    <m/>
    <n v="850.80000000000007"/>
    <n v="0"/>
    <m/>
    <n v="1"/>
    <n v="850.80000000000007"/>
    <d v="2026-05-16T00:00:00"/>
    <n v="1"/>
    <n v="850.80000000000007"/>
    <d v="2026-05-23T00:00:00"/>
    <n v="1"/>
    <n v="850.80000000000007"/>
    <m/>
    <m/>
    <n v="0"/>
    <s v="M296-021"/>
    <d v="2026-06-26T00:00:00"/>
    <n v="1"/>
    <n v="850.80000000000007"/>
    <d v="2026-06-30T00:00:00"/>
    <n v="1"/>
    <n v="850.80000000000007"/>
    <s v="PAC"/>
    <s v="M296-019"/>
  </r>
  <r>
    <n v="0"/>
    <x v="0"/>
    <s v="Shipment 1 PAR-550-22 Main"/>
    <x v="0"/>
    <x v="0"/>
    <m/>
    <d v="2027-01-06T00:00:00"/>
    <s v="Structure"/>
    <s v="STR02"/>
    <s v="S5"/>
    <s v="SD-PAR-550-22-G071"/>
    <s v="G071"/>
    <s v="GIRDER"/>
    <n v="1"/>
    <n v="586.19999999999993"/>
    <n v="586.19999999999993"/>
    <s v="(5900x320x691)"/>
    <m/>
    <m/>
    <m/>
    <m/>
    <m/>
    <m/>
    <m/>
    <m/>
    <m/>
    <m/>
    <m/>
    <m/>
    <m/>
    <n v="586.19999999999993"/>
    <n v="0"/>
    <m/>
    <n v="1"/>
    <n v="586.19999999999993"/>
    <d v="2026-05-16T00:00:00"/>
    <n v="1"/>
    <n v="586.19999999999993"/>
    <d v="2026-05-22T00:00:00"/>
    <n v="1"/>
    <n v="586.19999999999993"/>
    <m/>
    <m/>
    <n v="0"/>
    <s v="M296-006"/>
    <d v="2026-05-22T00:00:00"/>
    <n v="1"/>
    <n v="586.19999999999993"/>
    <d v="2026-05-25T00:00:00"/>
    <n v="1"/>
    <n v="586.19999999999993"/>
    <s v="AMC GT-Galv"/>
    <s v="M296-005"/>
  </r>
  <r>
    <n v="0"/>
    <x v="0"/>
    <s v="Shipment 1 PAR-550-22 Main"/>
    <x v="0"/>
    <x v="0"/>
    <m/>
    <d v="2027-01-06T00:00:00"/>
    <s v="Structure"/>
    <s v="STR02"/>
    <s v="S5"/>
    <s v="SD-PAR-550-22-G072"/>
    <s v="G072"/>
    <s v="GIRDER"/>
    <n v="1"/>
    <n v="610.90000000000009"/>
    <n v="610.90000000000009"/>
    <s v="(5720x320x957)"/>
    <m/>
    <m/>
    <m/>
    <m/>
    <m/>
    <m/>
    <m/>
    <m/>
    <m/>
    <m/>
    <m/>
    <m/>
    <m/>
    <n v="610.90000000000009"/>
    <n v="0"/>
    <m/>
    <n v="1"/>
    <n v="610.90000000000009"/>
    <d v="2026-05-10T00:00:00"/>
    <n v="1"/>
    <n v="610.90000000000009"/>
    <d v="2026-05-16T00:00:00"/>
    <n v="1"/>
    <n v="610.90000000000009"/>
    <m/>
    <m/>
    <n v="0"/>
    <s v="M296-004"/>
    <d v="2026-05-19T00:00:00"/>
    <n v="1"/>
    <n v="610.90000000000009"/>
    <d v="2026-05-25T00:00:00"/>
    <n v="1"/>
    <n v="610.90000000000009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G073"/>
    <s v="G073"/>
    <s v="GIRDER"/>
    <n v="1"/>
    <n v="916.4"/>
    <n v="916.4"/>
    <s v="(5900x468x835)"/>
    <m/>
    <m/>
    <m/>
    <m/>
    <m/>
    <m/>
    <m/>
    <m/>
    <m/>
    <m/>
    <m/>
    <m/>
    <m/>
    <n v="916.4"/>
    <n v="0"/>
    <m/>
    <n v="1"/>
    <n v="916.4"/>
    <d v="2026-05-16T00:00:00"/>
    <n v="1"/>
    <n v="916.4"/>
    <d v="2026-05-23T00:00:00"/>
    <n v="1"/>
    <n v="916.4"/>
    <m/>
    <m/>
    <n v="0"/>
    <s v="M296-020"/>
    <d v="2026-06-17T00:00:00"/>
    <n v="1"/>
    <n v="916.4"/>
    <d v="2026-06-19T00:00:00"/>
    <n v="1"/>
    <n v="916.4"/>
    <s v="PAC"/>
    <s v="M296-018"/>
  </r>
  <r>
    <n v="0"/>
    <x v="0"/>
    <s v="Shipment 1 PAR-550-22 Main"/>
    <x v="0"/>
    <x v="0"/>
    <m/>
    <d v="2027-01-06T00:00:00"/>
    <s v="Structure"/>
    <s v="STR04"/>
    <s v="S5"/>
    <s v="SD-PAR-550-22-G100"/>
    <s v="G100"/>
    <s v="GIRDER"/>
    <n v="1"/>
    <n v="1844.6999999999998"/>
    <n v="1844.6999999999998"/>
    <s v="(5000x440x900)"/>
    <m/>
    <m/>
    <m/>
    <m/>
    <m/>
    <m/>
    <m/>
    <m/>
    <m/>
    <m/>
    <m/>
    <m/>
    <m/>
    <n v="1844.7"/>
    <n v="0"/>
    <m/>
    <n v="1"/>
    <n v="1844.6999999999998"/>
    <d v="2026-05-09T00:00:00"/>
    <n v="1"/>
    <n v="1844.6999999999998"/>
    <d v="2026-05-16T00:00:00"/>
    <n v="1"/>
    <n v="1844.6999999999998"/>
    <m/>
    <m/>
    <n v="0"/>
    <s v="M296-004"/>
    <d v="2026-05-19T00:00:00"/>
    <n v="1"/>
    <n v="1844.6999999999998"/>
    <d v="2026-05-25T00:00:00"/>
    <n v="1"/>
    <n v="1844.6999999999998"/>
    <s v="AMC GT-Galv"/>
    <s v="M296-003"/>
  </r>
  <r>
    <n v="0"/>
    <x v="0"/>
    <s v="Shipment 1 PAR-550-22 Main"/>
    <x v="0"/>
    <x v="0"/>
    <m/>
    <d v="2027-01-06T00:00:00"/>
    <s v="Structure"/>
    <s v="STR02"/>
    <s v="S2"/>
    <s v="SD-PAR-550-22-G101"/>
    <s v="G101"/>
    <s v="GIRDER"/>
    <n v="1"/>
    <n v="766.59999999999991"/>
    <n v="766.59999999999991"/>
    <s v="(5310x300x1650)"/>
    <m/>
    <m/>
    <m/>
    <m/>
    <m/>
    <m/>
    <m/>
    <m/>
    <m/>
    <m/>
    <m/>
    <m/>
    <m/>
    <n v="766.59999999999991"/>
    <n v="0"/>
    <m/>
    <n v="1"/>
    <n v="766.59999999999991"/>
    <d v="2026-05-21T00:00:00"/>
    <n v="1"/>
    <n v="766.59999999999991"/>
    <d v="2026-05-30T00:00:00"/>
    <n v="1"/>
    <n v="766.59999999999991"/>
    <m/>
    <m/>
    <n v="0"/>
    <s v="M296-015"/>
    <d v="2026-06-02T00:00:00"/>
    <n v="1"/>
    <n v="766.59999999999991"/>
    <d v="2026-06-04T00:00:00"/>
    <n v="1"/>
    <n v="766.59999999999991"/>
    <s v="Truong An"/>
    <s v="M296-013"/>
  </r>
  <r>
    <n v="0"/>
    <x v="0"/>
    <s v="Shipment 1 PAR-550-22 Main"/>
    <x v="0"/>
    <x v="0"/>
    <m/>
    <d v="2027-01-06T00:00:00"/>
    <s v="Structure"/>
    <s v="STR02"/>
    <s v="S2"/>
    <s v="SD-PAR-550-22-G102"/>
    <s v="G102(1/2)"/>
    <s v="GIRDER"/>
    <n v="1"/>
    <n v="674.55"/>
    <n v="674.55"/>
    <s v="(5310x480x390)"/>
    <m/>
    <m/>
    <m/>
    <m/>
    <m/>
    <m/>
    <m/>
    <m/>
    <m/>
    <m/>
    <m/>
    <m/>
    <m/>
    <n v="674.55000000000007"/>
    <n v="0"/>
    <m/>
    <n v="1"/>
    <n v="674.55"/>
    <d v="2026-05-15T00:00:00"/>
    <n v="1"/>
    <n v="674.55"/>
    <d v="2026-05-22T00:00:00"/>
    <n v="1"/>
    <n v="674.55"/>
    <m/>
    <m/>
    <n v="0"/>
    <s v="M296-005"/>
    <d v="2026-05-22T00:00:00"/>
    <n v="1"/>
    <n v="674.55"/>
    <d v="2026-05-25T00:00:00"/>
    <n v="1"/>
    <n v="674.55"/>
    <s v="AMC GT-Galv"/>
    <s v="M296-004"/>
  </r>
  <r>
    <n v="0"/>
    <x v="0"/>
    <s v="Shipment 1 PAR-550-22 Main"/>
    <x v="0"/>
    <x v="0"/>
    <m/>
    <d v="2027-01-06T00:00:00"/>
    <s v="Structure"/>
    <s v="STR02"/>
    <s v="S2"/>
    <s v="SD-PAR-550-22-G102"/>
    <s v="G102(2/2)"/>
    <s v="GIRDER"/>
    <n v="1"/>
    <n v="674.55"/>
    <n v="674.55"/>
    <s v="(5310x480x390)"/>
    <m/>
    <m/>
    <m/>
    <m/>
    <m/>
    <m/>
    <m/>
    <m/>
    <m/>
    <m/>
    <m/>
    <m/>
    <m/>
    <n v="674.55000000000007"/>
    <n v="0"/>
    <m/>
    <n v="1"/>
    <n v="674.55"/>
    <d v="2026-05-15T00:00:00"/>
    <n v="1"/>
    <n v="674.55"/>
    <d v="2026-05-22T00:00:00"/>
    <n v="1"/>
    <n v="674.55"/>
    <m/>
    <m/>
    <n v="0"/>
    <s v="M296-005"/>
    <d v="2026-05-22T00:00:00"/>
    <n v="1"/>
    <n v="674.55"/>
    <d v="2026-05-25T00:00:00"/>
    <n v="1"/>
    <n v="674.55"/>
    <s v="AMC GT-Galv"/>
    <s v="M296-004"/>
  </r>
  <r>
    <n v="0"/>
    <x v="0"/>
    <s v="Shipment 1 PAR-550-22 Main"/>
    <x v="0"/>
    <x v="0"/>
    <m/>
    <d v="2027-01-06T00:00:00"/>
    <s v="Structure"/>
    <s v="STR04"/>
    <s v="S2"/>
    <s v="SD-PAR-550-22-G103"/>
    <s v="G103"/>
    <s v="GIRDER"/>
    <n v="1"/>
    <n v="1846.1"/>
    <n v="1846.1"/>
    <s v="(5000x530x900)"/>
    <m/>
    <m/>
    <m/>
    <m/>
    <m/>
    <m/>
    <m/>
    <m/>
    <m/>
    <m/>
    <m/>
    <m/>
    <m/>
    <n v="1846.1"/>
    <n v="0"/>
    <m/>
    <n v="1"/>
    <n v="1846.1"/>
    <d v="2026-05-15T00:00:00"/>
    <n v="1"/>
    <n v="1846.1"/>
    <d v="2026-05-20T00:00:00"/>
    <n v="1"/>
    <n v="1846.1"/>
    <m/>
    <m/>
    <n v="0"/>
    <s v="M296-014"/>
    <d v="2026-05-30T00:00:00"/>
    <n v="1"/>
    <n v="1846.1"/>
    <d v="2026-06-04T00:00:00"/>
    <n v="1"/>
    <n v="1846.1"/>
    <s v="Truong An"/>
    <s v="M296-012"/>
  </r>
  <r>
    <n v="0"/>
    <x v="0"/>
    <s v="Shipment 1 PAR-550-22 Main"/>
    <x v="0"/>
    <x v="0"/>
    <m/>
    <d v="2027-01-06T00:00:00"/>
    <s v="Structure"/>
    <s v="STR03"/>
    <s v="S2"/>
    <s v="SD-PAR-550-22-G104"/>
    <s v="G104"/>
    <s v="GIRDER"/>
    <n v="1"/>
    <n v="829.4"/>
    <n v="829.4"/>
    <s v="(5310x390x490)"/>
    <m/>
    <m/>
    <m/>
    <m/>
    <m/>
    <m/>
    <m/>
    <m/>
    <m/>
    <m/>
    <m/>
    <m/>
    <m/>
    <n v="829.40000000000009"/>
    <n v="0"/>
    <m/>
    <n v="1"/>
    <n v="829.4"/>
    <d v="2026-05-16T00:00:00"/>
    <n v="1"/>
    <n v="829.4"/>
    <d v="2026-05-23T00:00:00"/>
    <n v="1"/>
    <n v="829.4"/>
    <m/>
    <m/>
    <n v="0"/>
    <s v="M296-008"/>
    <d v="2026-05-23T00:00:00"/>
    <n v="1"/>
    <n v="829.4"/>
    <d v="2026-05-29T00:00:00"/>
    <n v="1"/>
    <n v="829.4"/>
    <s v="AMC GT-Galv"/>
    <s v="M296-007"/>
  </r>
  <r>
    <n v="0"/>
    <x v="0"/>
    <s v="Shipment 1 PAR-550-22 Main"/>
    <x v="0"/>
    <x v="0"/>
    <m/>
    <d v="2027-01-06T00:00:00"/>
    <s v="Structure"/>
    <s v="STR04"/>
    <s v="S2"/>
    <s v="SD-PAR-550-22-G105"/>
    <s v="G105"/>
    <s v="GIRDER"/>
    <n v="1"/>
    <n v="1883"/>
    <n v="1883"/>
    <s v="(5000x758x900)"/>
    <m/>
    <m/>
    <m/>
    <m/>
    <m/>
    <m/>
    <m/>
    <m/>
    <m/>
    <m/>
    <m/>
    <m/>
    <m/>
    <n v="1883"/>
    <n v="0"/>
    <m/>
    <n v="1"/>
    <n v="1883"/>
    <d v="2026-05-16T00:00:00"/>
    <n v="1"/>
    <n v="1883"/>
    <d v="2026-05-21T00:00:00"/>
    <n v="1"/>
    <n v="1883"/>
    <m/>
    <m/>
    <n v="0"/>
    <s v="M296-021"/>
    <d v="2026-06-26T00:00:00"/>
    <n v="1"/>
    <n v="1883"/>
    <d v="2026-06-30T00:00:00"/>
    <n v="1"/>
    <n v="1883"/>
    <s v="PAC"/>
    <s v="M296-019"/>
  </r>
  <r>
    <n v="0"/>
    <x v="0"/>
    <s v="Shipment 1 PAR-550-22 Main"/>
    <x v="0"/>
    <x v="0"/>
    <m/>
    <d v="2027-01-06T00:00:00"/>
    <s v="Structure"/>
    <s v="STR03"/>
    <s v="S2"/>
    <s v="SD-PAR-550-22-G106"/>
    <s v="G106"/>
    <s v="GIRDER"/>
    <n v="1"/>
    <n v="870.59999999999991"/>
    <n v="870.59999999999991"/>
    <s v="(5310x708x490)"/>
    <m/>
    <m/>
    <m/>
    <m/>
    <m/>
    <m/>
    <m/>
    <m/>
    <m/>
    <m/>
    <m/>
    <m/>
    <m/>
    <n v="870.59999999999991"/>
    <n v="0"/>
    <m/>
    <n v="1"/>
    <n v="870.59999999999991"/>
    <d v="2026-05-16T00:00:00"/>
    <n v="1"/>
    <n v="870.59999999999991"/>
    <d v="2026-05-23T00:00:00"/>
    <n v="1"/>
    <n v="870.59999999999991"/>
    <m/>
    <m/>
    <n v="0"/>
    <s v="M296-008"/>
    <d v="2026-05-23T00:00:00"/>
    <n v="1"/>
    <n v="870.59999999999991"/>
    <d v="2026-05-29T00:00:00"/>
    <n v="1"/>
    <n v="870.59999999999991"/>
    <s v="AMC GT-Galv"/>
    <s v="M296-007"/>
  </r>
  <r>
    <n v="0"/>
    <x v="0"/>
    <s v="Shipment 1 PAR-550-22 Main"/>
    <x v="0"/>
    <x v="0"/>
    <m/>
    <d v="2027-01-06T00:00:00"/>
    <s v="Structure"/>
    <s v="STR02"/>
    <s v="S2"/>
    <s v="SD-PAR-550-22-G107"/>
    <s v="G107"/>
    <s v="GIRDER"/>
    <n v="1"/>
    <n v="880.59999999999991"/>
    <n v="880.59999999999991"/>
    <s v="(5310x1900x1750)"/>
    <m/>
    <m/>
    <m/>
    <m/>
    <m/>
    <m/>
    <m/>
    <m/>
    <m/>
    <m/>
    <m/>
    <m/>
    <m/>
    <n v="880.59999999999991"/>
    <n v="0"/>
    <m/>
    <n v="1"/>
    <n v="880.59999999999991"/>
    <d v="2026-05-21T00:00:00"/>
    <n v="1"/>
    <n v="880.59999999999991"/>
    <d v="2026-05-28T00:00:00"/>
    <n v="1"/>
    <n v="880.59999999999991"/>
    <m/>
    <m/>
    <n v="0"/>
    <s v="M296-015"/>
    <d v="2026-06-02T00:00:00"/>
    <n v="1"/>
    <n v="880.59999999999991"/>
    <d v="2026-06-04T00:00:00"/>
    <n v="1"/>
    <n v="880.59999999999991"/>
    <s v="Truong An"/>
    <s v="M296-013"/>
  </r>
  <r>
    <n v="0"/>
    <x v="0"/>
    <s v="Shipment 1 PAR-550-22 Main"/>
    <x v="0"/>
    <x v="0"/>
    <m/>
    <d v="2027-01-06T00:00:00"/>
    <s v="Structure"/>
    <s v="STR02"/>
    <s v="S2"/>
    <s v="SD-PAR-550-22-G108"/>
    <s v="G108"/>
    <s v="GIRDER"/>
    <n v="1"/>
    <n v="715.7"/>
    <n v="715.7"/>
    <s v="(5310x708x593)"/>
    <m/>
    <m/>
    <m/>
    <m/>
    <m/>
    <m/>
    <m/>
    <m/>
    <m/>
    <m/>
    <m/>
    <m/>
    <m/>
    <n v="715.70000000000016"/>
    <n v="0"/>
    <m/>
    <n v="1"/>
    <n v="715.7"/>
    <d v="2026-05-16T00:00:00"/>
    <n v="1"/>
    <n v="715.7"/>
    <d v="2026-05-23T00:00:00"/>
    <n v="1"/>
    <n v="715.7"/>
    <m/>
    <m/>
    <n v="0"/>
    <s v="M296-013"/>
    <d v="2026-05-23T00:00:00"/>
    <n v="1"/>
    <n v="715.7"/>
    <d v="2026-05-29T00:00:00"/>
    <n v="1"/>
    <n v="715.7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-G123"/>
    <s v="G123"/>
    <s v="GIRDER"/>
    <n v="1"/>
    <n v="224.70000000000005"/>
    <n v="224.70000000000005"/>
    <s v="(2980x260x1347)"/>
    <m/>
    <m/>
    <m/>
    <m/>
    <m/>
    <m/>
    <m/>
    <m/>
    <m/>
    <m/>
    <m/>
    <m/>
    <m/>
    <n v="224.70000000000005"/>
    <n v="0"/>
    <m/>
    <n v="1"/>
    <n v="224.70000000000005"/>
    <d v="2026-05-16T00:00:00"/>
    <n v="1"/>
    <n v="224.70000000000005"/>
    <d v="2026-05-23T00:00:00"/>
    <n v="1"/>
    <n v="224.70000000000005"/>
    <m/>
    <m/>
    <n v="0"/>
    <s v="M296-022"/>
    <d v="2026-06-30T00:00:00"/>
    <n v="1"/>
    <n v="224.70000000000005"/>
    <d v="2026-07-05T00:00:00"/>
    <n v="1"/>
    <n v="224.70000000000005"/>
    <s v="PAC"/>
    <s v="M296-020"/>
  </r>
  <r>
    <n v="0"/>
    <x v="0"/>
    <s v="Shipment 1 PAR-550-22 Main"/>
    <x v="0"/>
    <x v="0"/>
    <m/>
    <d v="2027-01-06T00:00:00"/>
    <s v="Structure"/>
    <s v="STR02"/>
    <s v="S2"/>
    <s v="SD-PAR-550-22-G124"/>
    <s v="G124"/>
    <s v="GIRDER"/>
    <n v="1"/>
    <n v="511.40000000000003"/>
    <n v="511.40000000000003"/>
    <s v="(5670x320x296)"/>
    <m/>
    <m/>
    <m/>
    <m/>
    <m/>
    <m/>
    <m/>
    <m/>
    <m/>
    <m/>
    <m/>
    <m/>
    <m/>
    <n v="511.40000000000003"/>
    <n v="0"/>
    <m/>
    <n v="1"/>
    <n v="511.40000000000003"/>
    <d v="2026-05-16T00:00:00"/>
    <n v="1"/>
    <n v="511.40000000000003"/>
    <d v="2026-05-22T00:00:00"/>
    <n v="1"/>
    <n v="511.40000000000003"/>
    <m/>
    <m/>
    <n v="0"/>
    <s v="M296-005"/>
    <d v="2026-05-22T00:00:00"/>
    <n v="1"/>
    <n v="511.40000000000003"/>
    <d v="2026-05-25T00:00:00"/>
    <n v="1"/>
    <n v="511.40000000000003"/>
    <s v="AMC GT-Galv"/>
    <s v="M296-004"/>
  </r>
  <r>
    <n v="0"/>
    <x v="0"/>
    <s v="Shipment 1 PAR-550-22 Main"/>
    <x v="0"/>
    <x v="0"/>
    <m/>
    <d v="2027-01-06T00:00:00"/>
    <s v="Structure"/>
    <s v="STR02"/>
    <s v="S2"/>
    <s v="SD-PAR-550-22-G125"/>
    <s v="G125"/>
    <s v="GIRDER"/>
    <n v="1"/>
    <n v="765.7"/>
    <n v="765.7"/>
    <s v="(5720x474x396)"/>
    <m/>
    <m/>
    <m/>
    <m/>
    <m/>
    <m/>
    <m/>
    <m/>
    <m/>
    <m/>
    <m/>
    <m/>
    <m/>
    <n v="765.70000000000016"/>
    <n v="0"/>
    <m/>
    <n v="0.89473684210526316"/>
    <n v="685.1"/>
    <d v="2026-05-21T00:00:00"/>
    <n v="1"/>
    <n v="765.7"/>
    <d v="2026-05-23T00:00:00"/>
    <n v="1"/>
    <n v="765.7"/>
    <m/>
    <m/>
    <n v="0"/>
    <s v="M296-008"/>
    <d v="2026-05-23T00:00:00"/>
    <n v="1"/>
    <n v="765.7"/>
    <d v="2026-05-29T00:00:00"/>
    <n v="1"/>
    <n v="765.7"/>
    <s v="AMC GT-Galv"/>
    <s v="M296-007"/>
  </r>
  <r>
    <n v="0"/>
    <x v="0"/>
    <s v="Shipment 1 PAR-550-22 Main"/>
    <x v="0"/>
    <x v="0"/>
    <m/>
    <d v="2027-01-06T00:00:00"/>
    <s v="Structure"/>
    <s v="STR02"/>
    <s v="S2"/>
    <s v="SD-PAR-550-22-G126"/>
    <s v="G126"/>
    <s v="GIRDER"/>
    <n v="1"/>
    <n v="515.79999999999995"/>
    <n v="515.79999999999995"/>
    <s v="(5720x320x296)"/>
    <m/>
    <m/>
    <m/>
    <m/>
    <m/>
    <m/>
    <m/>
    <m/>
    <m/>
    <m/>
    <m/>
    <m/>
    <m/>
    <n v="515.79999999999995"/>
    <n v="0"/>
    <m/>
    <n v="1"/>
    <n v="515.79999999999995"/>
    <d v="2026-05-21T00:00:00"/>
    <n v="1"/>
    <n v="515.79999999999995"/>
    <d v="2026-05-22T00:00:00"/>
    <n v="1"/>
    <n v="515.79999999999995"/>
    <m/>
    <m/>
    <n v="0"/>
    <s v="M296-005"/>
    <d v="2026-05-22T00:00:00"/>
    <n v="1"/>
    <n v="515.79999999999995"/>
    <d v="2026-05-25T00:00:00"/>
    <n v="1"/>
    <n v="515.79999999999995"/>
    <s v="AMC GT-Galv"/>
    <s v="M296-004"/>
  </r>
  <r>
    <n v="0"/>
    <x v="0"/>
    <s v="Shipment 1 PAR-550-22 Main"/>
    <x v="0"/>
    <x v="0"/>
    <m/>
    <d v="2027-01-06T00:00:00"/>
    <s v="Structure"/>
    <s v="STR02"/>
    <s v="S2"/>
    <s v="SD-PAR-550-22-G127"/>
    <s v="G127"/>
    <s v="GIRDER"/>
    <n v="1"/>
    <n v="515.79999999999995"/>
    <n v="515.79999999999995"/>
    <s v="(5720x320x296)"/>
    <m/>
    <m/>
    <m/>
    <m/>
    <m/>
    <m/>
    <m/>
    <m/>
    <m/>
    <m/>
    <m/>
    <m/>
    <m/>
    <n v="515.79999999999995"/>
    <n v="0"/>
    <m/>
    <n v="1"/>
    <n v="515.79999999999995"/>
    <d v="2026-05-15T00:00:00"/>
    <n v="1"/>
    <n v="515.79999999999995"/>
    <d v="2026-05-22T00:00:00"/>
    <n v="1"/>
    <n v="515.79999999999995"/>
    <m/>
    <m/>
    <n v="0"/>
    <s v="M296-005"/>
    <d v="2026-05-22T00:00:00"/>
    <n v="1"/>
    <n v="515.79999999999995"/>
    <d v="2026-05-25T00:00:00"/>
    <n v="1"/>
    <n v="515.79999999999995"/>
    <s v="AMC GT-Galv"/>
    <s v="M296-004"/>
  </r>
  <r>
    <n v="0"/>
    <x v="0"/>
    <s v="Shipment 1 PAR-550-22 Main"/>
    <x v="0"/>
    <x v="0"/>
    <m/>
    <d v="2027-01-06T00:00:00"/>
    <s v="Structure"/>
    <s v="STR02"/>
    <s v="S2"/>
    <s v="SD-PAR-550-22-G128"/>
    <s v="G128"/>
    <s v="GIRDER"/>
    <n v="1"/>
    <n v="753.1"/>
    <n v="753.1"/>
    <s v="(5720x468x396)"/>
    <m/>
    <m/>
    <m/>
    <m/>
    <m/>
    <m/>
    <m/>
    <m/>
    <m/>
    <m/>
    <m/>
    <m/>
    <m/>
    <n v="753.09999999999991"/>
    <n v="0"/>
    <m/>
    <n v="1"/>
    <n v="753.1"/>
    <d v="2026-05-21T00:00:00"/>
    <n v="1"/>
    <n v="753.1"/>
    <d v="2026-05-23T00:00:00"/>
    <n v="1"/>
    <n v="753.1"/>
    <m/>
    <m/>
    <n v="0"/>
    <s v="M296-008"/>
    <d v="2026-05-23T00:00:00"/>
    <n v="1"/>
    <n v="753.1"/>
    <d v="2026-05-29T00:00:00"/>
    <n v="1"/>
    <n v="753.1"/>
    <s v="AMC GT-Galv"/>
    <s v="M296-007"/>
  </r>
  <r>
    <n v="0"/>
    <x v="0"/>
    <s v="Shipment 1 PAR-550-22 Main"/>
    <x v="0"/>
    <x v="0"/>
    <m/>
    <d v="2027-01-06T00:00:00"/>
    <s v="Structure"/>
    <s v="STR01"/>
    <s v="S2"/>
    <s v="SD-PAR-550-22-G151"/>
    <s v="G151"/>
    <s v="GIRDER"/>
    <n v="1"/>
    <n v="351.5"/>
    <n v="351.5"/>
    <s v="(5720x240x236)"/>
    <m/>
    <m/>
    <m/>
    <m/>
    <m/>
    <m/>
    <m/>
    <m/>
    <m/>
    <m/>
    <m/>
    <m/>
    <m/>
    <n v="351.5"/>
    <n v="0"/>
    <m/>
    <n v="1"/>
    <n v="351.5"/>
    <d v="2026-05-18T00:00:00"/>
    <n v="1"/>
    <n v="351.5"/>
    <d v="2026-05-20T00:00:00"/>
    <n v="1"/>
    <n v="351.5"/>
    <m/>
    <m/>
    <n v="0"/>
    <s v="M296-018"/>
    <d v="2026-06-09T00:00:00"/>
    <n v="1"/>
    <n v="351.5"/>
    <d v="2026-06-11T00:00:00"/>
    <n v="1"/>
    <n v="351.5"/>
    <s v="Truong An"/>
    <s v="M296-016"/>
  </r>
  <r>
    <n v="0"/>
    <x v="0"/>
    <s v="Shipment 1 PAR-550-22 Main"/>
    <x v="0"/>
    <x v="0"/>
    <m/>
    <d v="2027-01-06T00:00:00"/>
    <s v="Structure"/>
    <s v="STR02"/>
    <s v="S2"/>
    <s v="SD-PAR-550-22-G162"/>
    <s v="G162"/>
    <s v="GIRDER"/>
    <n v="1"/>
    <n v="567.6"/>
    <n v="567.6"/>
    <s v="(3885x534x811)"/>
    <m/>
    <m/>
    <m/>
    <m/>
    <m/>
    <m/>
    <m/>
    <m/>
    <m/>
    <m/>
    <m/>
    <m/>
    <m/>
    <n v="567.6"/>
    <n v="0"/>
    <m/>
    <n v="1"/>
    <n v="567.6"/>
    <d v="2026-05-19T00:00:00"/>
    <n v="1"/>
    <n v="567.6"/>
    <d v="2026-05-20T00:00:00"/>
    <n v="1"/>
    <n v="567.6"/>
    <m/>
    <m/>
    <n v="0"/>
    <s v="M296-013"/>
    <d v="2026-05-26T00:00:00"/>
    <n v="1"/>
    <n v="567.6"/>
    <d v="2026-05-29T00:00:00"/>
    <n v="1"/>
    <n v="567.6"/>
    <s v="AMC GT-Galv"/>
    <s v="M296-009"/>
  </r>
  <r>
    <n v="0"/>
    <x v="0"/>
    <s v="Shipment 1 PAR-550-22 Main"/>
    <x v="0"/>
    <x v="0"/>
    <m/>
    <d v="2027-01-06T00:00:00"/>
    <s v="Structure"/>
    <s v="STR02"/>
    <s v="S2"/>
    <s v="SD-PAR-550-22-G163"/>
    <s v="G163"/>
    <s v="GIRDER"/>
    <n v="1"/>
    <n v="558.40000000000009"/>
    <n v="558.40000000000009"/>
    <s v="(3885x480x811)"/>
    <m/>
    <m/>
    <m/>
    <m/>
    <m/>
    <m/>
    <m/>
    <m/>
    <m/>
    <m/>
    <m/>
    <m/>
    <m/>
    <n v="558.40000000000009"/>
    <n v="0"/>
    <m/>
    <n v="1"/>
    <n v="558.40000000000009"/>
    <d v="2026-05-19T00:00:00"/>
    <n v="1"/>
    <n v="558.40000000000009"/>
    <d v="2026-05-20T00:00:00"/>
    <n v="1"/>
    <n v="558.40000000000009"/>
    <m/>
    <m/>
    <n v="0"/>
    <s v="M296-008"/>
    <d v="2026-05-23T00:00:00"/>
    <n v="1"/>
    <n v="558.40000000000009"/>
    <d v="2026-05-29T00:00:00"/>
    <n v="1"/>
    <n v="558.40000000000009"/>
    <s v="AMC GT-Galv"/>
    <s v="M296-007"/>
  </r>
  <r>
    <n v="0"/>
    <x v="0"/>
    <s v="Shipment 1 PAR-550-22 Main"/>
    <x v="0"/>
    <x v="0"/>
    <m/>
    <d v="2027-01-06T00:00:00"/>
    <s v="Structure"/>
    <s v="STR02"/>
    <s v="S2"/>
    <s v="SD-PAR-550-22-G164"/>
    <s v="G164"/>
    <s v="GIRDER"/>
    <n v="1"/>
    <n v="582.80000000000007"/>
    <n v="582.80000000000007"/>
    <s v="(3885x754x811)"/>
    <m/>
    <m/>
    <m/>
    <m/>
    <m/>
    <m/>
    <m/>
    <m/>
    <m/>
    <m/>
    <m/>
    <m/>
    <m/>
    <n v="582.80000000000007"/>
    <n v="0"/>
    <m/>
    <n v="1"/>
    <n v="582.80000000000007"/>
    <d v="2026-05-19T00:00:00"/>
    <n v="1"/>
    <n v="582.80000000000007"/>
    <d v="2026-05-20T00:00:00"/>
    <n v="1"/>
    <n v="582.80000000000007"/>
    <m/>
    <m/>
    <n v="0"/>
    <s v="M296-008"/>
    <d v="2026-05-23T00:00:00"/>
    <n v="1"/>
    <n v="582.80000000000007"/>
    <d v="2026-05-29T00:00:00"/>
    <n v="1"/>
    <n v="582.80000000000007"/>
    <s v="AMC GT-Galv"/>
    <s v="M296-007"/>
  </r>
  <r>
    <n v="0"/>
    <x v="0"/>
    <s v="Shipment 1 PAR-550-22 Main"/>
    <x v="0"/>
    <x v="0"/>
    <m/>
    <d v="2027-01-06T00:00:00"/>
    <s v="Structure"/>
    <s v="STR01"/>
    <s v="S2"/>
    <s v="SD-PAR-550-22-G172"/>
    <s v="G172"/>
    <s v="GIRDER"/>
    <n v="1"/>
    <n v="49.599999999999994"/>
    <n v="49.599999999999994"/>
    <s v="(1886x340x200)"/>
    <m/>
    <m/>
    <m/>
    <m/>
    <m/>
    <m/>
    <m/>
    <m/>
    <m/>
    <m/>
    <m/>
    <m/>
    <m/>
    <n v="49.6"/>
    <n v="0"/>
    <m/>
    <n v="1"/>
    <n v="49.599999999999994"/>
    <d v="2026-05-18T00:00:00"/>
    <n v="1"/>
    <n v="49.599999999999994"/>
    <d v="2026-05-20T00:00:00"/>
    <n v="1"/>
    <n v="49.599999999999994"/>
    <m/>
    <m/>
    <n v="0"/>
    <s v="M296-022"/>
    <d v="2026-06-30T00:00:00"/>
    <n v="1"/>
    <n v="49.599999999999994"/>
    <d v="2026-07-05T00:00:00"/>
    <n v="1"/>
    <n v="49.599999999999994"/>
    <s v="PAC"/>
    <s v="M296-020"/>
  </r>
  <r>
    <n v="0"/>
    <x v="0"/>
    <s v="Shipment 1 PAR-550-22 Main"/>
    <x v="0"/>
    <x v="0"/>
    <m/>
    <d v="2027-01-06T00:00:00"/>
    <s v="Structure"/>
    <s v="STR01"/>
    <s v="S2"/>
    <s v="SD-PAR-550-22-G173"/>
    <s v="G173"/>
    <s v="GIRDER"/>
    <n v="1"/>
    <n v="45"/>
    <n v="45"/>
    <s v="(1886x264x200)"/>
    <m/>
    <m/>
    <m/>
    <m/>
    <m/>
    <m/>
    <m/>
    <m/>
    <m/>
    <m/>
    <m/>
    <m/>
    <m/>
    <n v="45"/>
    <n v="0"/>
    <m/>
    <n v="1"/>
    <n v="45"/>
    <d v="2026-05-18T00:00:00"/>
    <n v="1"/>
    <n v="45"/>
    <d v="2026-05-20T00:00:00"/>
    <n v="1"/>
    <n v="45"/>
    <m/>
    <m/>
    <n v="0"/>
    <s v="M296-022"/>
    <d v="2026-06-30T00:00:00"/>
    <n v="1"/>
    <n v="45"/>
    <d v="2026-07-05T00:00:00"/>
    <n v="1"/>
    <n v="45"/>
    <s v="PAC"/>
    <s v="M296-020"/>
  </r>
  <r>
    <n v="0"/>
    <x v="0"/>
    <s v="Shipment 1 PAR-550-22 Main"/>
    <x v="0"/>
    <x v="0"/>
    <m/>
    <d v="2027-01-06T00:00:00"/>
    <s v="Structure"/>
    <s v="STR01"/>
    <s v="S2"/>
    <s v="SD-PAR-550-22-G184"/>
    <s v="G184"/>
    <s v="GIRDER"/>
    <n v="1"/>
    <n v="351.7"/>
    <n v="351.7"/>
    <s v="(5720x240x236)"/>
    <m/>
    <m/>
    <m/>
    <m/>
    <m/>
    <m/>
    <m/>
    <m/>
    <m/>
    <m/>
    <m/>
    <m/>
    <m/>
    <n v="351.7"/>
    <n v="0"/>
    <m/>
    <n v="1"/>
    <n v="351.7"/>
    <d v="2026-05-18T00:00:00"/>
    <n v="1"/>
    <n v="351.7"/>
    <d v="2026-05-20T00:00:00"/>
    <n v="1"/>
    <n v="351.7"/>
    <m/>
    <m/>
    <n v="0"/>
    <s v="M296-008"/>
    <d v="2026-05-23T00:00:00"/>
    <n v="1"/>
    <n v="351.7"/>
    <d v="2026-05-29T00:00:00"/>
    <n v="1"/>
    <n v="351.7"/>
    <s v="AMC GT-Galv"/>
    <s v="M296-007"/>
  </r>
  <r>
    <n v="0"/>
    <x v="0"/>
    <s v="Shipment 1 PAR-550-22 Main"/>
    <x v="0"/>
    <x v="0"/>
    <m/>
    <d v="2027-01-06T00:00:00"/>
    <s v="Structure"/>
    <s v="STR01"/>
    <s v="S2"/>
    <s v="SD-PAR-550-22-G199"/>
    <s v="G199"/>
    <s v="GIRDER"/>
    <n v="1"/>
    <n v="225.20000000000005"/>
    <n v="225.20000000000005"/>
    <s v="(2980x260x1357)"/>
    <m/>
    <m/>
    <m/>
    <m/>
    <m/>
    <m/>
    <m/>
    <m/>
    <m/>
    <m/>
    <m/>
    <m/>
    <m/>
    <n v="225.20000000000007"/>
    <n v="0"/>
    <m/>
    <n v="1"/>
    <n v="225.20000000000005"/>
    <d v="2026-05-18T00:00:00"/>
    <n v="1"/>
    <n v="225.20000000000005"/>
    <d v="2026-05-20T00:00:00"/>
    <n v="1"/>
    <n v="225.20000000000005"/>
    <m/>
    <m/>
    <n v="0"/>
    <s v="M296-008"/>
    <d v="2026-05-23T00:00:00"/>
    <n v="1"/>
    <n v="225.20000000000005"/>
    <d v="2026-05-29T00:00:00"/>
    <n v="1"/>
    <n v="225.20000000000005"/>
    <s v="AMC GT-Galv"/>
    <s v="M296-007"/>
  </r>
  <r>
    <n v="0"/>
    <x v="0"/>
    <s v="Shipment 1 PAR-550-22 Main"/>
    <x v="0"/>
    <x v="0"/>
    <m/>
    <d v="2027-01-06T00:00:00"/>
    <s v="Structure"/>
    <s v="STR02"/>
    <s v="S2"/>
    <s v="SD-PAR-550-22-G200"/>
    <s v="G200"/>
    <s v="GIRDER"/>
    <n v="1"/>
    <n v="766.59999999999991"/>
    <n v="766.59999999999991"/>
    <s v="(5310x300x1650)"/>
    <m/>
    <m/>
    <m/>
    <m/>
    <m/>
    <m/>
    <m/>
    <m/>
    <m/>
    <m/>
    <m/>
    <m/>
    <m/>
    <n v="766.59999999999991"/>
    <n v="0"/>
    <m/>
    <n v="1"/>
    <n v="766.59999999999991"/>
    <d v="2026-05-21T00:00:00"/>
    <n v="1"/>
    <n v="766.59999999999991"/>
    <d v="2026-05-28T00:00:00"/>
    <n v="1"/>
    <n v="766.59999999999991"/>
    <m/>
    <m/>
    <n v="0"/>
    <s v="M296-015"/>
    <d v="2026-06-02T00:00:00"/>
    <n v="1"/>
    <n v="766.59999999999991"/>
    <d v="2026-06-04T00:00:00"/>
    <n v="1"/>
    <n v="766.59999999999991"/>
    <s v="Truong An"/>
    <s v="M296-013"/>
  </r>
  <r>
    <n v="0"/>
    <x v="0"/>
    <s v="Shipment 1 PAR-550-22 Main"/>
    <x v="0"/>
    <x v="0"/>
    <m/>
    <d v="2027-01-06T00:00:00"/>
    <s v="Structure"/>
    <s v="STR02"/>
    <s v="S2"/>
    <s v="SD-PAR-550-22SL-G5001"/>
    <s v="G5001(1/2)"/>
    <s v="GIRDER"/>
    <n v="1"/>
    <n v="556.29999999999995"/>
    <n v="556.29999999999995"/>
    <s v="(5710x300x480)"/>
    <m/>
    <s v="SHIP LOOSE"/>
    <m/>
    <m/>
    <m/>
    <m/>
    <m/>
    <m/>
    <m/>
    <m/>
    <m/>
    <m/>
    <m/>
    <n v="556.29999999999995"/>
    <n v="0"/>
    <m/>
    <n v="1"/>
    <n v="556.29999999999995"/>
    <d v="2026-05-18T00:00:00"/>
    <n v="1"/>
    <n v="556.29999999999995"/>
    <d v="2026-05-20T00:00:00"/>
    <n v="1"/>
    <n v="556.29999999999995"/>
    <m/>
    <m/>
    <n v="0"/>
    <s v="M296-009"/>
    <d v="2026-05-23T00:00:00"/>
    <n v="1"/>
    <n v="556.29999999999995"/>
    <d v="2026-05-25T00:00:00"/>
    <n v="1"/>
    <n v="556.29999999999995"/>
    <s v="AMC GT-Galv"/>
    <s v="M296-008"/>
  </r>
  <r>
    <n v="0"/>
    <x v="0"/>
    <s v="Shipment 1 PAR-550-22 Main"/>
    <x v="0"/>
    <x v="0"/>
    <m/>
    <d v="2027-01-06T00:00:00"/>
    <s v="Structure"/>
    <s v="STR02"/>
    <s v="S2"/>
    <s v="SD-PAR-550-22SL-G5001"/>
    <s v="G5001(2/2)"/>
    <s v="GIRDER"/>
    <n v="1"/>
    <n v="556.29999999999995"/>
    <n v="556.29999999999995"/>
    <s v="(5710x300x480)"/>
    <m/>
    <s v="SHIP LOOSE"/>
    <m/>
    <m/>
    <m/>
    <m/>
    <m/>
    <m/>
    <m/>
    <m/>
    <m/>
    <m/>
    <m/>
    <n v="556.29999999999995"/>
    <n v="0"/>
    <m/>
    <n v="1"/>
    <n v="556.29999999999995"/>
    <d v="2026-05-18T00:00:00"/>
    <n v="1"/>
    <n v="556.29999999999995"/>
    <d v="2026-05-20T00:00:00"/>
    <n v="1"/>
    <n v="556.29999999999995"/>
    <m/>
    <m/>
    <n v="0"/>
    <s v="M296-009"/>
    <d v="2026-05-23T00:00:00"/>
    <n v="1"/>
    <n v="556.29999999999995"/>
    <d v="2026-05-25T00:00:00"/>
    <n v="1"/>
    <n v="556.29999999999995"/>
    <s v="AMC GT-Galv"/>
    <s v="M296-008"/>
  </r>
  <r>
    <n v="0"/>
    <x v="0"/>
    <s v="Shipment 1 PAR-550-22 Main"/>
    <x v="0"/>
    <x v="0"/>
    <m/>
    <d v="2027-01-06T00:00:00"/>
    <s v="Structure"/>
    <s v="STR02"/>
    <s v="S2"/>
    <s v="SD-PAR-550-22SL-G5002"/>
    <s v="G5002(1/3)"/>
    <s v="GIRDER"/>
    <n v="1"/>
    <n v="264.03333333333336"/>
    <n v="264.03333333333336"/>
    <s v="(5710x170x460)"/>
    <m/>
    <s v="SHIP LOOSE"/>
    <m/>
    <m/>
    <m/>
    <m/>
    <m/>
    <m/>
    <m/>
    <m/>
    <m/>
    <m/>
    <m/>
    <n v="264.03333333333336"/>
    <n v="0"/>
    <m/>
    <n v="1"/>
    <n v="264.03333333333336"/>
    <d v="2026-05-18T00:00:00"/>
    <n v="1"/>
    <n v="264.03333333333336"/>
    <d v="2026-05-20T00:00:00"/>
    <n v="1"/>
    <n v="264.03333333333336"/>
    <m/>
    <m/>
    <n v="0"/>
    <s v="M296-009"/>
    <d v="2026-05-23T00:00:00"/>
    <n v="1"/>
    <n v="264.03333333333336"/>
    <d v="2026-05-25T00:00:00"/>
    <n v="1"/>
    <n v="264.03333333333336"/>
    <s v="AMC GT-Galv"/>
    <s v="M296-008"/>
  </r>
  <r>
    <n v="0"/>
    <x v="0"/>
    <s v="Shipment 1 PAR-550-22 Main"/>
    <x v="0"/>
    <x v="0"/>
    <m/>
    <d v="2027-01-06T00:00:00"/>
    <s v="Structure"/>
    <s v="STR02"/>
    <s v="S2"/>
    <s v="SD-PAR-550-22SL-G5002"/>
    <s v="G5002(2/3)"/>
    <s v="GIRDER"/>
    <n v="1"/>
    <n v="264.03333333333336"/>
    <n v="264.03333333333336"/>
    <s v="(5710x170x460)"/>
    <m/>
    <s v="SHIP LOOSE"/>
    <m/>
    <m/>
    <m/>
    <m/>
    <m/>
    <m/>
    <m/>
    <m/>
    <m/>
    <m/>
    <m/>
    <n v="264.03333333333336"/>
    <n v="0"/>
    <m/>
    <n v="1"/>
    <n v="264.03333333333336"/>
    <d v="2026-05-18T00:00:00"/>
    <n v="1"/>
    <n v="264.03333333333336"/>
    <d v="2026-05-20T00:00:00"/>
    <n v="1"/>
    <n v="264.03333333333336"/>
    <m/>
    <m/>
    <n v="0"/>
    <s v="M296-009"/>
    <d v="2026-05-23T00:00:00"/>
    <n v="1"/>
    <n v="264.03333333333336"/>
    <d v="2026-05-25T00:00:00"/>
    <n v="1"/>
    <n v="264.03333333333336"/>
    <s v="AMC GT-Galv"/>
    <s v="M296-008"/>
  </r>
  <r>
    <n v="0"/>
    <x v="0"/>
    <s v="Shipment 1 PAR-550-22 Main"/>
    <x v="0"/>
    <x v="0"/>
    <m/>
    <d v="2027-01-06T00:00:00"/>
    <s v="Structure"/>
    <s v="STR02"/>
    <s v="S2"/>
    <s v="SD-PAR-550-22SL-G5002"/>
    <s v="G5002(3/3)"/>
    <s v="GIRDER"/>
    <n v="1"/>
    <n v="264.03333333333336"/>
    <n v="264.03333333333336"/>
    <s v="(5710x170x460)"/>
    <m/>
    <s v="SHIP LOOSE"/>
    <m/>
    <m/>
    <m/>
    <m/>
    <m/>
    <m/>
    <m/>
    <m/>
    <m/>
    <m/>
    <m/>
    <n v="264.03333333333336"/>
    <n v="0"/>
    <m/>
    <n v="1"/>
    <n v="264.03333333333336"/>
    <d v="2026-05-18T00:00:00"/>
    <n v="1"/>
    <n v="264.03333333333336"/>
    <d v="2026-05-23T00:00:00"/>
    <n v="1"/>
    <n v="264.03333333333336"/>
    <m/>
    <m/>
    <n v="0"/>
    <s v="M296-009"/>
    <d v="2026-05-23T00:00:00"/>
    <n v="1"/>
    <n v="264.03333333333336"/>
    <d v="2026-05-25T00:00:00"/>
    <n v="1"/>
    <n v="264.03333333333336"/>
    <s v="AMC GT-Galv"/>
    <s v="M296-008"/>
  </r>
  <r>
    <n v="0"/>
    <x v="0"/>
    <s v="Shipment 1 PAR-550-22 Main"/>
    <x v="0"/>
    <x v="0"/>
    <m/>
    <d v="2027-01-06T00:00:00"/>
    <s v="Structure"/>
    <s v="STR01"/>
    <s v="S2"/>
    <s v="SD-PAR-550-22-H006"/>
    <s v="H006(1/2)"/>
    <s v="HBRACE"/>
    <n v="1"/>
    <n v="108.4"/>
    <n v="108.4"/>
    <s v="(3270x180x200)"/>
    <m/>
    <m/>
    <m/>
    <m/>
    <m/>
    <m/>
    <m/>
    <m/>
    <m/>
    <m/>
    <m/>
    <m/>
    <m/>
    <n v="108.4"/>
    <n v="0"/>
    <m/>
    <n v="1"/>
    <n v="108.4"/>
    <d v="2026-05-21T00:00:00"/>
    <n v="1"/>
    <n v="108.4"/>
    <d v="2026-05-26T00:00:00"/>
    <n v="1"/>
    <n v="108.4"/>
    <m/>
    <m/>
    <n v="0"/>
    <s v="M296-013"/>
    <d v="2026-05-26T00:00:00"/>
    <n v="1"/>
    <n v="108.4"/>
    <d v="2026-05-29T00:00:00"/>
    <n v="1"/>
    <n v="108.4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-H006"/>
    <s v="H006(2/2)"/>
    <s v="HBRACE"/>
    <n v="1"/>
    <n v="108.4"/>
    <n v="108.4"/>
    <s v="(3270x180x200)"/>
    <m/>
    <m/>
    <m/>
    <m/>
    <m/>
    <m/>
    <m/>
    <m/>
    <m/>
    <m/>
    <m/>
    <m/>
    <m/>
    <n v="108.4"/>
    <n v="0"/>
    <m/>
    <n v="1"/>
    <n v="108.4"/>
    <d v="2026-05-21T00:00:00"/>
    <n v="1"/>
    <n v="108.4"/>
    <d v="2026-05-26T00:00:00"/>
    <n v="1"/>
    <n v="108.4"/>
    <m/>
    <m/>
    <n v="0"/>
    <s v="M296-013"/>
    <d v="2026-05-26T00:00:00"/>
    <n v="1"/>
    <n v="108.4"/>
    <d v="2026-05-29T00:00:00"/>
    <n v="1"/>
    <n v="108.4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-H016"/>
    <s v="H016(1/2)"/>
    <s v="HBRACE"/>
    <n v="1"/>
    <n v="105.75"/>
    <n v="105.75"/>
    <s v="(3190x180x200)"/>
    <m/>
    <m/>
    <m/>
    <m/>
    <m/>
    <m/>
    <m/>
    <m/>
    <m/>
    <m/>
    <m/>
    <m/>
    <m/>
    <n v="105.75000000000001"/>
    <n v="0"/>
    <m/>
    <n v="1"/>
    <n v="105.75"/>
    <d v="2026-05-21T00:00:00"/>
    <n v="1"/>
    <n v="105.75"/>
    <d v="2026-05-26T00:00:00"/>
    <n v="1"/>
    <n v="105.75"/>
    <m/>
    <m/>
    <n v="0"/>
    <s v="M296-013"/>
    <d v="2026-05-26T00:00:00"/>
    <n v="1"/>
    <n v="105.75"/>
    <d v="2026-05-29T00:00:00"/>
    <n v="1"/>
    <n v="105.75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-H016"/>
    <s v="H016(2/2)"/>
    <s v="HBRACE"/>
    <n v="1"/>
    <n v="105.75"/>
    <n v="105.75"/>
    <s v="(3190x180x200)"/>
    <m/>
    <m/>
    <m/>
    <m/>
    <m/>
    <m/>
    <m/>
    <m/>
    <m/>
    <m/>
    <m/>
    <m/>
    <m/>
    <n v="105.75000000000001"/>
    <n v="0"/>
    <m/>
    <n v="1"/>
    <n v="105.75"/>
    <d v="2026-05-21T00:00:00"/>
    <n v="1"/>
    <n v="105.75"/>
    <d v="2026-05-26T00:00:00"/>
    <n v="1"/>
    <n v="105.75"/>
    <m/>
    <m/>
    <n v="0"/>
    <s v="M296-013"/>
    <d v="2026-05-26T00:00:00"/>
    <n v="1"/>
    <n v="105.75"/>
    <d v="2026-05-29T00:00:00"/>
    <n v="1"/>
    <n v="105.75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SL-J5001"/>
    <s v="J5001"/>
    <s v="JOIST"/>
    <n v="1"/>
    <n v="40.9"/>
    <n v="40.9"/>
    <s v="(1830x100x200)"/>
    <m/>
    <s v="SHIP LOOSE"/>
    <m/>
    <m/>
    <m/>
    <m/>
    <m/>
    <m/>
    <m/>
    <m/>
    <m/>
    <m/>
    <m/>
    <n v="40.900000000000006"/>
    <n v="0"/>
    <m/>
    <n v="1"/>
    <n v="40.9"/>
    <d v="2026-05-21T00:00:00"/>
    <n v="1"/>
    <n v="40.9"/>
    <d v="2026-05-26T00:00:00"/>
    <n v="1"/>
    <n v="40.9"/>
    <m/>
    <m/>
    <n v="0"/>
    <s v="M296-012"/>
    <d v="2026-05-26T00:00:00"/>
    <n v="1"/>
    <n v="40.9"/>
    <d v="2026-05-29T00:00:00"/>
    <n v="1"/>
    <n v="40.9"/>
    <s v="AMC GT-Galv"/>
    <s v="M296-009"/>
  </r>
  <r>
    <n v="0"/>
    <x v="0"/>
    <s v="Shipment 1 PAR-550-22 Main"/>
    <x v="0"/>
    <x v="0"/>
    <m/>
    <d v="2027-01-06T00:00:00"/>
    <s v="Structure"/>
    <s v="STR01"/>
    <s v="S2"/>
    <s v="SD-PAR-550-22SL-J5002"/>
    <s v="J5002"/>
    <s v="JOIST"/>
    <n v="1"/>
    <n v="39.299999999999997"/>
    <n v="39.299999999999997"/>
    <s v="(1755x100x200)"/>
    <m/>
    <s v="SHIP LOOSE"/>
    <m/>
    <m/>
    <m/>
    <m/>
    <m/>
    <m/>
    <m/>
    <m/>
    <m/>
    <m/>
    <m/>
    <n v="39.299999999999997"/>
    <n v="0"/>
    <m/>
    <n v="1"/>
    <n v="39.299999999999997"/>
    <d v="2026-05-21T00:00:00"/>
    <n v="1"/>
    <n v="39.299999999999997"/>
    <d v="2026-05-26T00:00:00"/>
    <n v="1"/>
    <n v="39.299999999999997"/>
    <m/>
    <m/>
    <n v="0"/>
    <s v="M296-012"/>
    <d v="2026-05-26T00:00:00"/>
    <n v="1"/>
    <n v="39.299999999999997"/>
    <d v="2026-05-29T00:00:00"/>
    <n v="1"/>
    <n v="39.299999999999997"/>
    <s v="AMC GT-Galv"/>
    <s v="M296-009"/>
  </r>
  <r>
    <n v="0"/>
    <x v="0"/>
    <s v="Shipment 1 PAR-550-22 Main"/>
    <x v="0"/>
    <x v="0"/>
    <m/>
    <d v="2027-01-06T00:00:00"/>
    <s v="Structure"/>
    <s v="STR02"/>
    <s v="S2"/>
    <s v="SD-PAR-550-22-P008"/>
    <s v="P008"/>
    <s v="POST"/>
    <n v="1"/>
    <n v="872.1"/>
    <n v="872.1"/>
    <s v="(8700x405x485)"/>
    <m/>
    <m/>
    <m/>
    <m/>
    <m/>
    <m/>
    <m/>
    <m/>
    <m/>
    <m/>
    <m/>
    <m/>
    <m/>
    <n v="872.10000000000014"/>
    <n v="0"/>
    <m/>
    <n v="1"/>
    <n v="872.1"/>
    <d v="2026-05-19T00:00:00"/>
    <n v="1"/>
    <n v="872.1"/>
    <d v="2026-05-26T00:00:00"/>
    <n v="1"/>
    <n v="872.1"/>
    <m/>
    <m/>
    <n v="0"/>
    <s v="M296-014"/>
    <d v="2026-05-30T00:00:00"/>
    <n v="1"/>
    <n v="872.1"/>
    <d v="2026-06-04T00:00:00"/>
    <n v="1"/>
    <n v="872.1"/>
    <s v="Truong An"/>
    <s v="M296-012"/>
  </r>
  <r>
    <n v="0"/>
    <x v="0"/>
    <s v="Shipment 1 PAR-550-22 Main"/>
    <x v="0"/>
    <x v="0"/>
    <m/>
    <d v="2027-01-06T00:00:00"/>
    <s v="Structure"/>
    <s v="STR02"/>
    <s v="S2"/>
    <s v="SD-PAR-550-22-P009"/>
    <s v="P009"/>
    <s v="POST"/>
    <n v="1"/>
    <n v="883"/>
    <n v="883"/>
    <s v="(8700x470x485)"/>
    <m/>
    <m/>
    <m/>
    <m/>
    <m/>
    <m/>
    <m/>
    <m/>
    <m/>
    <m/>
    <m/>
    <m/>
    <m/>
    <n v="883"/>
    <n v="0"/>
    <m/>
    <n v="1"/>
    <n v="883"/>
    <d v="2026-05-20T00:00:00"/>
    <n v="1"/>
    <n v="883"/>
    <d v="2026-05-28T00:00:00"/>
    <n v="1"/>
    <n v="883"/>
    <m/>
    <m/>
    <n v="0"/>
    <s v="M296-014"/>
    <d v="2026-05-30T00:00:00"/>
    <n v="1"/>
    <n v="883"/>
    <d v="2026-06-04T00:00:00"/>
    <n v="1"/>
    <n v="883"/>
    <s v="Truong An"/>
    <s v="M296-012"/>
  </r>
  <r>
    <n v="0"/>
    <x v="0"/>
    <s v="Shipment 1 PAR-550-22 Main"/>
    <x v="0"/>
    <x v="0"/>
    <m/>
    <d v="2027-01-06T00:00:00"/>
    <s v="Structure"/>
    <s v="STR02"/>
    <s v="S2"/>
    <s v="SD-PAR-550-22-P010"/>
    <s v="P010"/>
    <s v="POST"/>
    <n v="1"/>
    <n v="886.69999999999993"/>
    <n v="886.69999999999993"/>
    <s v="(8700x470x485)"/>
    <m/>
    <m/>
    <m/>
    <m/>
    <m/>
    <m/>
    <m/>
    <m/>
    <m/>
    <m/>
    <m/>
    <m/>
    <m/>
    <n v="886.69999999999993"/>
    <n v="0"/>
    <m/>
    <n v="1"/>
    <n v="886.69999999999993"/>
    <d v="2026-05-20T00:00:00"/>
    <n v="1"/>
    <n v="886.69999999999993"/>
    <d v="2026-05-28T00:00:00"/>
    <n v="1"/>
    <n v="886.69999999999993"/>
    <m/>
    <m/>
    <n v="0"/>
    <s v="M296-018"/>
    <d v="2026-06-09T00:00:00"/>
    <n v="1"/>
    <n v="886.69999999999993"/>
    <d v="2026-06-11T00:00:00"/>
    <n v="1"/>
    <n v="886.69999999999993"/>
    <s v="Truong An"/>
    <s v="M296-016"/>
  </r>
  <r>
    <n v="0"/>
    <x v="0"/>
    <s v="Shipment 1 PAR-550-22 Main"/>
    <x v="0"/>
    <x v="0"/>
    <m/>
    <d v="2027-01-06T00:00:00"/>
    <s v="Structure"/>
    <s v="STR02"/>
    <s v="S2"/>
    <s v="SD-PAR-550-22-P015"/>
    <s v="P015"/>
    <s v="POST"/>
    <n v="1"/>
    <n v="872.1"/>
    <n v="872.1"/>
    <s v="(8700x405x485)"/>
    <m/>
    <m/>
    <m/>
    <m/>
    <m/>
    <m/>
    <m/>
    <m/>
    <m/>
    <m/>
    <m/>
    <m/>
    <m/>
    <n v="872.10000000000014"/>
    <n v="0"/>
    <m/>
    <n v="1"/>
    <n v="872.1"/>
    <d v="2026-05-14T00:00:00"/>
    <n v="1"/>
    <n v="872.1"/>
    <d v="2026-05-19T00:00:00"/>
    <n v="1"/>
    <n v="872.1"/>
    <m/>
    <m/>
    <n v="0"/>
    <s v="M296-018"/>
    <d v="2026-06-09T00:00:00"/>
    <n v="1"/>
    <n v="872.1"/>
    <d v="2026-06-11T00:00:00"/>
    <n v="1"/>
    <n v="872.1"/>
    <s v="Truong An"/>
    <s v="M296-016"/>
  </r>
  <r>
    <n v="0"/>
    <x v="0"/>
    <s v="Shipment 1 PAR-550-22 Main"/>
    <x v="0"/>
    <x v="0"/>
    <m/>
    <d v="2027-01-06T00:00:00"/>
    <s v="Structure"/>
    <s v="STR02"/>
    <s v="S2"/>
    <s v="SD-PAR-550-22-P016"/>
    <s v="P016"/>
    <s v="POST"/>
    <n v="1"/>
    <n v="883"/>
    <n v="883"/>
    <s v="(8700x470x485)"/>
    <m/>
    <m/>
    <m/>
    <m/>
    <m/>
    <m/>
    <m/>
    <m/>
    <m/>
    <m/>
    <m/>
    <m/>
    <m/>
    <n v="883"/>
    <n v="0"/>
    <m/>
    <n v="1"/>
    <n v="883"/>
    <d v="2026-05-14T00:00:00"/>
    <n v="1"/>
    <n v="883"/>
    <d v="2026-05-19T00:00:00"/>
    <n v="1"/>
    <n v="883"/>
    <m/>
    <m/>
    <n v="0"/>
    <s v="M296-018"/>
    <d v="2026-06-09T00:00:00"/>
    <n v="1"/>
    <n v="883"/>
    <d v="2026-06-11T00:00:00"/>
    <n v="1"/>
    <n v="883"/>
    <s v="Truong An"/>
    <s v="M296-016"/>
  </r>
  <r>
    <n v="0"/>
    <x v="0"/>
    <s v="Shipment 1 PAR-550-22 Main"/>
    <x v="0"/>
    <x v="0"/>
    <m/>
    <d v="2027-01-06T00:00:00"/>
    <s v="Structure"/>
    <s v="STR02"/>
    <s v="S2"/>
    <s v="SD-PAR-550-22-P017"/>
    <s v="P017"/>
    <s v="POST"/>
    <n v="1"/>
    <n v="885.9"/>
    <n v="885.9"/>
    <s v="(8700x470x485)"/>
    <m/>
    <m/>
    <m/>
    <m/>
    <m/>
    <m/>
    <m/>
    <m/>
    <m/>
    <m/>
    <m/>
    <m/>
    <m/>
    <n v="885.9"/>
    <n v="0"/>
    <m/>
    <n v="1"/>
    <n v="885.9"/>
    <d v="2026-05-14T00:00:00"/>
    <n v="1"/>
    <n v="885.9"/>
    <d v="2026-05-19T00:00:00"/>
    <n v="1"/>
    <n v="885.9"/>
    <m/>
    <m/>
    <n v="0"/>
    <s v="M296-018"/>
    <d v="2026-06-09T00:00:00"/>
    <n v="1"/>
    <n v="885.9"/>
    <d v="2026-06-11T00:00:00"/>
    <n v="1"/>
    <n v="885.9"/>
    <s v="Truong An"/>
    <s v="M296-016"/>
  </r>
  <r>
    <n v="1"/>
    <x v="0"/>
    <s v="Shipment 1 PAR-550-22 Main"/>
    <x v="0"/>
    <x v="0"/>
    <m/>
    <d v="2027-01-06T00:00:00"/>
    <s v="Structure"/>
    <s v="STR01"/>
    <s v="S2"/>
    <s v="SD-PAR-550-22SL-S5001"/>
    <s v="S5001"/>
    <s v="STAIR"/>
    <n v="1"/>
    <n v="195"/>
    <n v="195"/>
    <s v="(6197x345x1675)"/>
    <m/>
    <s v="SHIP LOOSE"/>
    <m/>
    <m/>
    <m/>
    <m/>
    <m/>
    <m/>
    <m/>
    <m/>
    <m/>
    <m/>
    <m/>
    <n v="195"/>
    <n v="0"/>
    <m/>
    <n v="1"/>
    <n v="195"/>
    <d v="2026-05-23T00:00:00"/>
    <n v="1"/>
    <n v="195"/>
    <d v="2026-05-25T00:00:00"/>
    <n v="1"/>
    <n v="195"/>
    <m/>
    <m/>
    <n v="0"/>
    <s v="M296-024"/>
    <d v="2026-07-20T00:00:00"/>
    <n v="1"/>
    <n v="195"/>
    <m/>
    <m/>
    <n v="0"/>
    <s v="PAC"/>
    <m/>
  </r>
  <r>
    <n v="1"/>
    <x v="0"/>
    <s v="Shipment 1 PAR-550-22 Main"/>
    <x v="0"/>
    <x v="0"/>
    <m/>
    <d v="2027-01-06T00:00:00"/>
    <s v="Structure"/>
    <s v="STR01"/>
    <s v="S2"/>
    <s v="SD-PAR-550-22SL-S5002"/>
    <s v="S5002(1/2)"/>
    <s v="STAIR"/>
    <n v="1"/>
    <n v="196.95"/>
    <n v="196.95"/>
    <s v="(6257x345x1720)"/>
    <m/>
    <s v="SHIP LOOSE"/>
    <m/>
    <m/>
    <m/>
    <m/>
    <m/>
    <m/>
    <m/>
    <m/>
    <m/>
    <m/>
    <m/>
    <n v="196.95"/>
    <n v="0"/>
    <m/>
    <n v="1"/>
    <n v="196.95"/>
    <d v="2026-05-23T00:00:00"/>
    <n v="1"/>
    <n v="196.95"/>
    <d v="2026-05-25T00:00:00"/>
    <n v="1"/>
    <n v="196.95"/>
    <m/>
    <m/>
    <n v="0"/>
    <s v="M296-023"/>
    <d v="2026-07-04T00:00:00"/>
    <n v="1"/>
    <n v="196.95"/>
    <d v="2026-07-06T00:00:00"/>
    <n v="1"/>
    <n v="196.95"/>
    <s v="PAC"/>
    <s v="M296-021"/>
  </r>
  <r>
    <n v="1"/>
    <x v="0"/>
    <s v="Shipment 1 PAR-550-22 Main"/>
    <x v="0"/>
    <x v="0"/>
    <m/>
    <d v="2027-01-06T00:00:00"/>
    <s v="Structure"/>
    <s v="STR01"/>
    <s v="S2"/>
    <s v="SD-PAR-550-22SL-S5002"/>
    <s v="S5002(2/2)"/>
    <s v="STAIR"/>
    <n v="1"/>
    <n v="196.95"/>
    <n v="196.95"/>
    <s v="(6257x345x1720)"/>
    <m/>
    <s v="SHIP LOOSE"/>
    <m/>
    <m/>
    <m/>
    <m/>
    <m/>
    <m/>
    <m/>
    <m/>
    <m/>
    <m/>
    <m/>
    <n v="196.95"/>
    <n v="0"/>
    <m/>
    <n v="1"/>
    <n v="196.95"/>
    <d v="2026-05-23T00:00:00"/>
    <n v="1"/>
    <n v="196.95"/>
    <d v="2026-05-25T00:00:00"/>
    <n v="1"/>
    <n v="196.95"/>
    <m/>
    <m/>
    <n v="0"/>
    <s v="M296-023"/>
    <d v="2026-07-04T00:00:00"/>
    <n v="1"/>
    <n v="196.95"/>
    <d v="2026-07-06T00:00:00"/>
    <n v="1"/>
    <n v="196.95"/>
    <s v="PAC"/>
    <s v="M296-021"/>
  </r>
  <r>
    <n v="2"/>
    <x v="0"/>
    <s v="Shipment 1 PAR-550-22 Main"/>
    <x v="0"/>
    <x v="0"/>
    <m/>
    <d v="2027-01-06T00:00:00"/>
    <s v="Structure"/>
    <s v="STR01"/>
    <s v="S2"/>
    <s v="SD-PAR-550-22SL-S5003"/>
    <s v="S5003"/>
    <s v="STAIR"/>
    <n v="1"/>
    <n v="197.20000000000002"/>
    <n v="197.20000000000002"/>
    <s v="(6257x345x1720)"/>
    <m/>
    <s v="SHIP LOOSE"/>
    <m/>
    <m/>
    <m/>
    <m/>
    <m/>
    <m/>
    <m/>
    <m/>
    <m/>
    <m/>
    <m/>
    <n v="197.20000000000002"/>
    <n v="0"/>
    <m/>
    <n v="1"/>
    <n v="197.20000000000002"/>
    <d v="2026-05-23T00:00:00"/>
    <n v="1"/>
    <n v="197.20000000000002"/>
    <d v="2026-05-25T00:00:00"/>
    <n v="1"/>
    <n v="197.20000000000002"/>
    <m/>
    <m/>
    <n v="0"/>
    <s v="M296-024"/>
    <d v="2026-07-20T00:00:00"/>
    <n v="1"/>
    <n v="197.20000000000002"/>
    <m/>
    <m/>
    <n v="0"/>
    <s v="PAC"/>
    <m/>
  </r>
  <r>
    <n v="3"/>
    <x v="0"/>
    <s v="Shipment 1 PAR-550-22 Main"/>
    <x v="0"/>
    <x v="0"/>
    <m/>
    <d v="2027-01-06T00:00:00"/>
    <s v="Structure"/>
    <s v="STR01"/>
    <s v="S2"/>
    <s v="SD-PAR-550-22SL-S5004"/>
    <s v="S5004"/>
    <s v="STAIR"/>
    <n v="1"/>
    <n v="195.39999999999998"/>
    <n v="195.39999999999998"/>
    <s v="(5797x345x2325)"/>
    <m/>
    <s v="SHIP LOOSE"/>
    <m/>
    <m/>
    <m/>
    <m/>
    <m/>
    <m/>
    <m/>
    <m/>
    <m/>
    <m/>
    <m/>
    <n v="195.39999999999998"/>
    <n v="0"/>
    <m/>
    <n v="1"/>
    <n v="195.39999999999998"/>
    <d v="2026-05-23T00:00:00"/>
    <n v="1"/>
    <n v="195.39999999999998"/>
    <d v="2026-05-25T00:00:00"/>
    <n v="1"/>
    <n v="195.39999999999998"/>
    <m/>
    <m/>
    <n v="0"/>
    <s v="M296-024"/>
    <d v="2026-07-20T00:00:00"/>
    <n v="1"/>
    <n v="195.39999999999998"/>
    <m/>
    <m/>
    <n v="0"/>
    <s v="PAC"/>
    <m/>
  </r>
  <r>
    <n v="3"/>
    <x v="0"/>
    <s v="Shipment 1 PAR-550-22 Main"/>
    <x v="0"/>
    <x v="0"/>
    <m/>
    <d v="2027-01-06T00:00:00"/>
    <s v="Structure"/>
    <s v="STR01"/>
    <s v="S2"/>
    <s v="SD-PAR-550-22SL-S5005"/>
    <s v="S5005"/>
    <s v="STAIR"/>
    <n v="1"/>
    <n v="189.3"/>
    <n v="189.3"/>
    <s v="(6197x345x1675)"/>
    <m/>
    <s v="SHIP LOOSE"/>
    <m/>
    <m/>
    <m/>
    <m/>
    <m/>
    <m/>
    <m/>
    <m/>
    <m/>
    <m/>
    <m/>
    <n v="189.3"/>
    <n v="0"/>
    <m/>
    <n v="1"/>
    <n v="189.3"/>
    <d v="2026-05-23T00:00:00"/>
    <n v="1"/>
    <n v="189.3"/>
    <d v="2026-05-25T00:00:00"/>
    <n v="1"/>
    <n v="189.3"/>
    <m/>
    <m/>
    <n v="0"/>
    <s v="M296-023"/>
    <d v="2026-07-04T00:00:00"/>
    <n v="1"/>
    <n v="189.3"/>
    <d v="2026-07-06T00:00:00"/>
    <n v="1"/>
    <n v="189.3"/>
    <s v="PAC"/>
    <s v="M296-021"/>
  </r>
  <r>
    <n v="3"/>
    <x v="0"/>
    <s v="Shipment 1 PAR-550-22 Main"/>
    <x v="0"/>
    <x v="0"/>
    <m/>
    <d v="2027-01-06T00:00:00"/>
    <s v="Structure"/>
    <s v="STR01"/>
    <s v="S2"/>
    <s v="SD-PAR-550-22SL-S5006"/>
    <s v="S5006(1/2)"/>
    <s v="STAIR"/>
    <n v="1"/>
    <n v="191.24999999999997"/>
    <n v="191.24999999999997"/>
    <s v="(6257x345x1720)"/>
    <m/>
    <s v="SHIP LOOSE"/>
    <m/>
    <m/>
    <m/>
    <m/>
    <m/>
    <m/>
    <m/>
    <m/>
    <m/>
    <m/>
    <m/>
    <n v="191.24999999999997"/>
    <n v="0"/>
    <m/>
    <n v="1"/>
    <n v="191.24999999999997"/>
    <d v="2026-05-23T00:00:00"/>
    <n v="1"/>
    <n v="191.24999999999997"/>
    <d v="2026-05-25T00:00:00"/>
    <n v="1"/>
    <n v="191.24999999999997"/>
    <m/>
    <m/>
    <n v="0"/>
    <s v="M296-023"/>
    <d v="2026-07-04T00:00:00"/>
    <n v="1"/>
    <n v="191.24999999999997"/>
    <d v="2026-07-06T00:00:00"/>
    <n v="1"/>
    <n v="191.24999999999997"/>
    <s v="PAC"/>
    <s v="M296-021"/>
  </r>
  <r>
    <n v="3"/>
    <x v="0"/>
    <s v="Shipment 1 PAR-550-22 Main"/>
    <x v="0"/>
    <x v="0"/>
    <m/>
    <d v="2027-01-06T00:00:00"/>
    <s v="Structure"/>
    <s v="STR01"/>
    <s v="S2"/>
    <s v="SD-PAR-550-22SL-S5006"/>
    <s v="S5006(2/2)"/>
    <s v="STAIR"/>
    <n v="1"/>
    <n v="191.24999999999997"/>
    <n v="191.24999999999997"/>
    <s v="(6257x345x1720)"/>
    <m/>
    <s v="SHIP LOOSE"/>
    <m/>
    <m/>
    <m/>
    <m/>
    <m/>
    <m/>
    <m/>
    <m/>
    <m/>
    <m/>
    <m/>
    <n v="191.24999999999997"/>
    <n v="0"/>
    <m/>
    <n v="1"/>
    <n v="191.24999999999997"/>
    <d v="2026-05-23T00:00:00"/>
    <n v="1"/>
    <n v="191.24999999999997"/>
    <d v="2026-05-25T00:00:00"/>
    <n v="1"/>
    <n v="191.24999999999997"/>
    <m/>
    <m/>
    <n v="0"/>
    <s v="M296-023"/>
    <d v="2026-07-04T00:00:00"/>
    <n v="1"/>
    <n v="191.24999999999997"/>
    <d v="2026-07-06T00:00:00"/>
    <n v="1"/>
    <n v="191.24999999999997"/>
    <s v="PAC"/>
    <s v="M296-021"/>
  </r>
  <r>
    <n v="3"/>
    <x v="0"/>
    <s v="Shipment 1 PAR-550-22 Main"/>
    <x v="0"/>
    <x v="0"/>
    <m/>
    <d v="2027-01-06T00:00:00"/>
    <s v="Structure"/>
    <s v="STR01"/>
    <s v="S2"/>
    <s v="SD-PAR-550-22SL-S5007"/>
    <s v="S5007"/>
    <s v="STAIR"/>
    <n v="1"/>
    <n v="191.49999999999997"/>
    <n v="191.49999999999997"/>
    <s v="(6257x345x1720)"/>
    <m/>
    <s v="SHIP LOOSE"/>
    <m/>
    <m/>
    <m/>
    <m/>
    <m/>
    <m/>
    <m/>
    <m/>
    <m/>
    <m/>
    <m/>
    <n v="191.49999999999997"/>
    <n v="0"/>
    <m/>
    <n v="1"/>
    <n v="191.49999999999997"/>
    <d v="2026-05-23T00:00:00"/>
    <n v="1"/>
    <n v="191.49999999999997"/>
    <d v="2026-05-25T00:00:00"/>
    <n v="1"/>
    <n v="191.49999999999997"/>
    <m/>
    <m/>
    <n v="0"/>
    <s v="M296-023"/>
    <d v="2026-07-04T00:00:00"/>
    <n v="1"/>
    <n v="191.49999999999997"/>
    <d v="2026-07-06T00:00:00"/>
    <n v="1"/>
    <n v="191.49999999999997"/>
    <s v="PAC"/>
    <s v="M296-021"/>
  </r>
  <r>
    <n v="4"/>
    <x v="0"/>
    <s v="Shipment 1 PAR-550-22 Main"/>
    <x v="0"/>
    <x v="0"/>
    <m/>
    <d v="2027-01-06T00:00:00"/>
    <s v="Structure"/>
    <s v="STR01"/>
    <s v="S2"/>
    <s v="SD-PAR-550-22SL-S5008"/>
    <s v="S5008"/>
    <s v="STAIR"/>
    <n v="1"/>
    <n v="187.8"/>
    <n v="187.8"/>
    <s v="(5797x345x2325)"/>
    <m/>
    <s v="SHIP LOOSE"/>
    <m/>
    <m/>
    <m/>
    <m/>
    <m/>
    <m/>
    <m/>
    <m/>
    <m/>
    <m/>
    <m/>
    <n v="187.8"/>
    <n v="0"/>
    <m/>
    <n v="1"/>
    <n v="187.8"/>
    <d v="2026-05-23T00:00:00"/>
    <n v="1"/>
    <n v="187.8"/>
    <d v="2026-05-25T00:00:00"/>
    <n v="1"/>
    <n v="187.8"/>
    <m/>
    <m/>
    <n v="0"/>
    <s v="M296-024"/>
    <d v="2026-07-20T00:00:00"/>
    <n v="1"/>
    <n v="187.8"/>
    <m/>
    <m/>
    <n v="0"/>
    <s v="PAC"/>
    <m/>
  </r>
  <r>
    <n v="5"/>
    <x v="0"/>
    <s v="Shipment 1 PAR-550-22 Main"/>
    <x v="0"/>
    <x v="0"/>
    <m/>
    <d v="2027-01-06T00:00:00"/>
    <s v="Structure"/>
    <s v="STR01"/>
    <s v="S2"/>
    <s v="SD-PAR-550-22SL-S5009"/>
    <s v="S5009"/>
    <s v="STAIR"/>
    <n v="1"/>
    <n v="189.3"/>
    <n v="189.3"/>
    <s v="(6197x345x1675)"/>
    <m/>
    <s v="SHIP LOOSE"/>
    <m/>
    <m/>
    <m/>
    <m/>
    <m/>
    <m/>
    <m/>
    <m/>
    <m/>
    <m/>
    <m/>
    <n v="189.3"/>
    <n v="0"/>
    <m/>
    <n v="1"/>
    <n v="189.3"/>
    <d v="2026-05-23T00:00:00"/>
    <n v="1"/>
    <n v="189.3"/>
    <d v="2026-05-25T00:00:00"/>
    <n v="1"/>
    <n v="189.3"/>
    <m/>
    <m/>
    <n v="0"/>
    <s v="M296-024"/>
    <d v="2026-07-20T00:00:00"/>
    <n v="1"/>
    <n v="189.3"/>
    <m/>
    <m/>
    <n v="0"/>
    <s v="PAC"/>
    <m/>
  </r>
  <r>
    <n v="5"/>
    <x v="0"/>
    <s v="Shipment 1 PAR-550-22 Main"/>
    <x v="0"/>
    <x v="0"/>
    <m/>
    <d v="2027-01-06T00:00:00"/>
    <s v="Structure"/>
    <s v="STR01"/>
    <s v="S2"/>
    <s v="SD-PAR-550-22SL-S5010"/>
    <s v="S5010(1/2)"/>
    <s v="STAIR"/>
    <n v="1"/>
    <n v="191.24999999999997"/>
    <n v="191.24999999999997"/>
    <s v="(6257x345x1720)"/>
    <m/>
    <s v="SHIP LOOSE"/>
    <m/>
    <m/>
    <m/>
    <m/>
    <m/>
    <m/>
    <m/>
    <m/>
    <m/>
    <m/>
    <m/>
    <n v="191.24999999999997"/>
    <n v="0"/>
    <m/>
    <n v="1"/>
    <n v="191.24999999999997"/>
    <d v="2026-05-23T00:00:00"/>
    <n v="1"/>
    <n v="191.24999999999997"/>
    <d v="2026-05-25T00:00:00"/>
    <n v="1"/>
    <n v="191.24999999999997"/>
    <m/>
    <m/>
    <n v="0"/>
    <s v="M296-023"/>
    <d v="2026-07-04T00:00:00"/>
    <n v="1"/>
    <n v="191.24999999999997"/>
    <d v="2026-07-06T00:00:00"/>
    <n v="1"/>
    <n v="191.24999999999997"/>
    <s v="PAC"/>
    <s v="M296-021"/>
  </r>
  <r>
    <n v="5"/>
    <x v="0"/>
    <s v="Shipment 1 PAR-550-22 Main"/>
    <x v="0"/>
    <x v="0"/>
    <m/>
    <d v="2027-01-06T00:00:00"/>
    <s v="Structure"/>
    <s v="STR01"/>
    <s v="S2"/>
    <s v="SD-PAR-550-22SL-S5010"/>
    <s v="S5010(2/2)"/>
    <s v="STAIR"/>
    <n v="1"/>
    <n v="191.24999999999997"/>
    <n v="191.24999999999997"/>
    <s v="(6257x345x1720)"/>
    <m/>
    <s v="SHIP LOOSE"/>
    <m/>
    <m/>
    <m/>
    <m/>
    <m/>
    <m/>
    <m/>
    <m/>
    <m/>
    <m/>
    <m/>
    <n v="191.24999999999997"/>
    <n v="0"/>
    <m/>
    <n v="1"/>
    <n v="191.24999999999997"/>
    <d v="2026-05-23T00:00:00"/>
    <n v="1"/>
    <n v="191.24999999999997"/>
    <d v="2026-05-25T00:00:00"/>
    <n v="1"/>
    <n v="191.24999999999997"/>
    <m/>
    <m/>
    <n v="0"/>
    <s v="M296-023"/>
    <d v="2026-07-04T00:00:00"/>
    <n v="1"/>
    <n v="191.24999999999997"/>
    <d v="2026-07-06T00:00:00"/>
    <n v="1"/>
    <n v="191.24999999999997"/>
    <s v="PAC"/>
    <s v="M296-021"/>
  </r>
  <r>
    <n v="5"/>
    <x v="0"/>
    <s v="Shipment 1 PAR-550-22 Main"/>
    <x v="0"/>
    <x v="0"/>
    <m/>
    <d v="2027-01-06T00:00:00"/>
    <s v="Structure"/>
    <s v="STR01"/>
    <s v="S2"/>
    <s v="SD-PAR-550-22SL-S5011"/>
    <s v="S5011"/>
    <s v="STAIR"/>
    <n v="1"/>
    <n v="191.2"/>
    <n v="191.2"/>
    <s v="(6197x345x1675)"/>
    <m/>
    <s v="SHIP LOOSE"/>
    <m/>
    <m/>
    <m/>
    <m/>
    <m/>
    <m/>
    <m/>
    <m/>
    <m/>
    <m/>
    <m/>
    <n v="191.2"/>
    <n v="0"/>
    <m/>
    <n v="1"/>
    <n v="191.2"/>
    <d v="2026-05-23T00:00:00"/>
    <n v="1"/>
    <n v="191.2"/>
    <d v="2026-05-25T00:00:00"/>
    <n v="1"/>
    <n v="191.2"/>
    <m/>
    <m/>
    <n v="0"/>
    <s v="M296-023"/>
    <d v="2026-07-04T00:00:00"/>
    <n v="1"/>
    <n v="191.2"/>
    <d v="2026-07-06T00:00:00"/>
    <n v="1"/>
    <n v="191.2"/>
    <s v="PAC"/>
    <s v="M296-021"/>
  </r>
  <r>
    <n v="6"/>
    <x v="0"/>
    <s v="Shipment 1 PAR-550-22 Main"/>
    <x v="0"/>
    <x v="0"/>
    <m/>
    <d v="2027-01-06T00:00:00"/>
    <s v="Structure"/>
    <s v="STR01"/>
    <s v="S2"/>
    <s v="SD-PAR-550-22SL-S5012"/>
    <s v="S5012"/>
    <s v="STAIR"/>
    <n v="1"/>
    <n v="146.80000000000001"/>
    <n v="146.80000000000001"/>
    <s v="(4961x345x985)"/>
    <m/>
    <s v="SHIP LOOSE"/>
    <m/>
    <m/>
    <m/>
    <m/>
    <m/>
    <m/>
    <m/>
    <m/>
    <m/>
    <m/>
    <m/>
    <n v="146.80000000000001"/>
    <n v="0"/>
    <m/>
    <n v="1"/>
    <n v="146.80000000000001"/>
    <d v="2026-05-26T00:00:00"/>
    <n v="1"/>
    <n v="146.80000000000001"/>
    <d v="2026-05-30T00:00:00"/>
    <n v="1"/>
    <n v="146.80000000000001"/>
    <m/>
    <m/>
    <n v="0"/>
    <s v="M296-024"/>
    <d v="2026-07-20T00:00:00"/>
    <n v="1"/>
    <n v="146.80000000000001"/>
    <m/>
    <m/>
    <n v="0"/>
    <s v="PAC"/>
    <m/>
  </r>
  <r>
    <n v="7"/>
    <x v="0"/>
    <s v="Shipment 1 PAR-550-22 Main"/>
    <x v="0"/>
    <x v="0"/>
    <m/>
    <d v="2027-01-06T00:00:00"/>
    <s v="Structure"/>
    <s v="STR01"/>
    <s v="S2"/>
    <s v="SD-PAR-550-22SL-S5013"/>
    <s v="S5013"/>
    <s v="STAIR"/>
    <n v="1"/>
    <n v="190.1"/>
    <n v="190.1"/>
    <s v="(5912x345x2174)"/>
    <m/>
    <s v="SHIP LOOSE"/>
    <m/>
    <m/>
    <m/>
    <m/>
    <m/>
    <m/>
    <m/>
    <m/>
    <m/>
    <m/>
    <m/>
    <n v="190.1"/>
    <n v="0"/>
    <m/>
    <n v="1"/>
    <n v="190.1"/>
    <d v="2026-05-26T00:00:00"/>
    <n v="1"/>
    <n v="190.1"/>
    <d v="2026-05-30T00:00:00"/>
    <n v="1"/>
    <n v="190.1"/>
    <m/>
    <m/>
    <n v="0"/>
    <s v="M296-024"/>
    <d v="2026-07-20T00:00:00"/>
    <n v="1"/>
    <n v="190.1"/>
    <m/>
    <m/>
    <n v="0"/>
    <s v="PAC"/>
    <m/>
  </r>
  <r>
    <n v="7"/>
    <x v="0"/>
    <s v="Shipment 1 PAR-550-22 Main"/>
    <x v="0"/>
    <x v="0"/>
    <m/>
    <d v="2027-01-06T00:00:00"/>
    <s v="Structure"/>
    <s v="STR01"/>
    <s v="S2"/>
    <s v="SD-PAR-550-22SL-S5014"/>
    <s v="S5014"/>
    <s v="STAIR"/>
    <n v="1"/>
    <n v="195"/>
    <n v="195"/>
    <s v="(6197x345x1675)"/>
    <m/>
    <s v="SHIP LOOSE"/>
    <m/>
    <m/>
    <m/>
    <m/>
    <m/>
    <m/>
    <m/>
    <m/>
    <m/>
    <m/>
    <m/>
    <n v="195"/>
    <n v="0"/>
    <m/>
    <n v="1"/>
    <n v="195"/>
    <d v="2026-05-26T00:00:00"/>
    <n v="1"/>
    <n v="195"/>
    <d v="2026-05-30T00:00:00"/>
    <n v="1"/>
    <n v="195"/>
    <m/>
    <m/>
    <n v="0"/>
    <s v="M296-023"/>
    <d v="2026-07-04T00:00:00"/>
    <n v="1"/>
    <n v="195"/>
    <d v="2026-07-06T00:00:00"/>
    <n v="1"/>
    <n v="195"/>
    <s v="PAC"/>
    <s v="M296-021"/>
  </r>
  <r>
    <n v="7"/>
    <x v="0"/>
    <s v="Shipment 1 PAR-550-22 Main"/>
    <x v="0"/>
    <x v="0"/>
    <m/>
    <d v="2027-01-06T00:00:00"/>
    <s v="Structure"/>
    <s v="STR01"/>
    <s v="S2"/>
    <s v="SD-PAR-550-22SL-S5015"/>
    <s v="S5015(1/2)"/>
    <s v="STAIR"/>
    <n v="1"/>
    <n v="196.95"/>
    <n v="196.95"/>
    <s v="(6257x345x1720)"/>
    <m/>
    <s v="SHIP LOOSE"/>
    <m/>
    <m/>
    <m/>
    <m/>
    <m/>
    <m/>
    <m/>
    <m/>
    <m/>
    <m/>
    <m/>
    <n v="196.95"/>
    <n v="0"/>
    <m/>
    <n v="1"/>
    <n v="196.95"/>
    <d v="2026-05-26T00:00:00"/>
    <n v="1"/>
    <n v="196.95"/>
    <d v="2026-05-30T00:00:00"/>
    <n v="1"/>
    <n v="196.95"/>
    <m/>
    <m/>
    <n v="0"/>
    <s v="M296-023"/>
    <d v="2026-07-04T00:00:00"/>
    <n v="1"/>
    <n v="196.95"/>
    <d v="2026-07-06T00:00:00"/>
    <n v="1"/>
    <n v="196.95"/>
    <s v="PAC"/>
    <s v="M296-021"/>
  </r>
  <r>
    <n v="7"/>
    <x v="0"/>
    <s v="Shipment 1 PAR-550-22 Main"/>
    <x v="0"/>
    <x v="0"/>
    <m/>
    <d v="2027-01-06T00:00:00"/>
    <s v="Structure"/>
    <s v="STR01"/>
    <s v="S2"/>
    <s v="SD-PAR-550-22SL-S5015"/>
    <s v="S5015(2/2)"/>
    <s v="STAIR"/>
    <n v="1"/>
    <n v="196.95"/>
    <n v="196.95"/>
    <s v="(6257x345x1720)"/>
    <m/>
    <s v="SHIP LOOSE"/>
    <m/>
    <m/>
    <m/>
    <m/>
    <m/>
    <m/>
    <m/>
    <m/>
    <m/>
    <m/>
    <m/>
    <n v="196.95"/>
    <n v="0"/>
    <m/>
    <n v="1"/>
    <n v="196.95"/>
    <d v="2026-05-26T00:00:00"/>
    <n v="1"/>
    <n v="196.95"/>
    <d v="2026-05-30T00:00:00"/>
    <n v="1"/>
    <n v="196.95"/>
    <m/>
    <m/>
    <n v="0"/>
    <s v="M296-023"/>
    <d v="2026-07-04T00:00:00"/>
    <n v="1"/>
    <n v="196.95"/>
    <d v="2026-07-06T00:00:00"/>
    <n v="1"/>
    <n v="196.95"/>
    <s v="PAC"/>
    <s v="M296-021"/>
  </r>
  <r>
    <n v="7"/>
    <x v="0"/>
    <s v="Shipment 1 PAR-550-22 Main"/>
    <x v="0"/>
    <x v="0"/>
    <m/>
    <d v="2027-01-06T00:00:00"/>
    <s v="Structure"/>
    <s v="STR01"/>
    <s v="S2"/>
    <s v="SD-PAR-550-22SL-S5016"/>
    <s v="S5016"/>
    <s v="STAIR"/>
    <n v="1"/>
    <n v="195"/>
    <n v="195"/>
    <s v="(6197x345x1675)"/>
    <m/>
    <s v="SHIP LOOSE"/>
    <m/>
    <m/>
    <m/>
    <m/>
    <m/>
    <m/>
    <m/>
    <m/>
    <m/>
    <m/>
    <m/>
    <n v="195"/>
    <n v="0"/>
    <m/>
    <n v="1"/>
    <n v="195"/>
    <d v="2026-05-26T00:00:00"/>
    <n v="1"/>
    <n v="195"/>
    <d v="2026-05-30T00:00:00"/>
    <n v="1"/>
    <n v="195"/>
    <m/>
    <m/>
    <n v="0"/>
    <s v="M296-023"/>
    <d v="2026-07-04T00:00:00"/>
    <n v="1"/>
    <n v="195"/>
    <d v="2026-07-06T00:00:00"/>
    <n v="1"/>
    <n v="195"/>
    <s v="PAC"/>
    <s v="M296-021"/>
  </r>
  <r>
    <n v="8"/>
    <x v="0"/>
    <s v="Shipment 1 PAR-550-22 Main"/>
    <x v="0"/>
    <x v="0"/>
    <m/>
    <d v="2027-01-06T00:00:00"/>
    <s v="Structure"/>
    <s v="STR01"/>
    <s v="S2"/>
    <s v="SD-PAR-550-22SL-S5017"/>
    <s v="S5017"/>
    <s v="STAIR"/>
    <n v="1"/>
    <n v="148.70000000000002"/>
    <n v="148.70000000000002"/>
    <s v="(4961x345x985)"/>
    <m/>
    <s v="SHIP LOOSE"/>
    <m/>
    <m/>
    <m/>
    <m/>
    <m/>
    <m/>
    <m/>
    <m/>
    <m/>
    <m/>
    <m/>
    <n v="148.70000000000002"/>
    <n v="0"/>
    <m/>
    <n v="1"/>
    <n v="148.70000000000002"/>
    <d v="2026-05-26T00:00:00"/>
    <n v="1"/>
    <n v="148.70000000000002"/>
    <d v="2026-06-01T00:00:00"/>
    <n v="1"/>
    <n v="148.70000000000002"/>
    <m/>
    <m/>
    <n v="0"/>
    <s v="M296-024"/>
    <d v="2026-07-20T00:00:00"/>
    <n v="1"/>
    <n v="148.70000000000002"/>
    <m/>
    <m/>
    <n v="0"/>
    <s v="PAC"/>
    <m/>
  </r>
  <r>
    <n v="9"/>
    <x v="0"/>
    <s v="Shipment 1 PAR-550-22 Main"/>
    <x v="0"/>
    <x v="0"/>
    <m/>
    <d v="2027-01-06T00:00:00"/>
    <s v="Structure"/>
    <s v="STR01"/>
    <s v="S2"/>
    <s v="SD-PAR-550-22SL-S5018"/>
    <s v="S5018"/>
    <s v="STAIR"/>
    <n v="1"/>
    <n v="195.8"/>
    <n v="195.8"/>
    <s v="(5912x345x2174)"/>
    <m/>
    <s v="SHIP LOOSE"/>
    <m/>
    <m/>
    <m/>
    <m/>
    <m/>
    <m/>
    <m/>
    <m/>
    <m/>
    <m/>
    <m/>
    <n v="195.80000000000004"/>
    <n v="0"/>
    <m/>
    <n v="1"/>
    <n v="195.8"/>
    <d v="2026-05-26T00:00:00"/>
    <n v="1"/>
    <n v="195.8"/>
    <d v="2026-06-01T00:00:00"/>
    <n v="1"/>
    <n v="195.8"/>
    <m/>
    <m/>
    <n v="0"/>
    <s v="M296-024"/>
    <d v="2026-07-20T00:00:00"/>
    <n v="1"/>
    <n v="195.8"/>
    <m/>
    <m/>
    <n v="0"/>
    <s v="PAC"/>
    <m/>
  </r>
  <r>
    <n v="9"/>
    <x v="0"/>
    <s v="Shipment 1 PAR-550-22 Main"/>
    <x v="0"/>
    <x v="0"/>
    <m/>
    <d v="2027-01-06T00:00:00"/>
    <s v="Structure"/>
    <s v="STR01"/>
    <s v="S2"/>
    <s v="SD-PAR-550-22-V004"/>
    <s v="V004"/>
    <s v="VBRACE"/>
    <n v="1"/>
    <n v="121.8"/>
    <n v="121.8"/>
    <s v="(3673x180x200)"/>
    <m/>
    <m/>
    <m/>
    <m/>
    <m/>
    <m/>
    <m/>
    <m/>
    <m/>
    <m/>
    <m/>
    <m/>
    <m/>
    <n v="121.80000000000001"/>
    <n v="0"/>
    <m/>
    <n v="1"/>
    <n v="121.8"/>
    <d v="2026-05-21T00:00:00"/>
    <n v="1"/>
    <n v="121.8"/>
    <d v="2026-05-21T00:00:00"/>
    <n v="1"/>
    <n v="121.8"/>
    <m/>
    <m/>
    <n v="0"/>
    <s v="M296-013"/>
    <d v="2026-05-26T00:00:00"/>
    <n v="1"/>
    <n v="121.8"/>
    <d v="2026-05-29T00:00:00"/>
    <n v="1"/>
    <n v="121.8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25"/>
    <s v="V025"/>
    <s v="VBRACE"/>
    <n v="1"/>
    <n v="138.4"/>
    <n v="138.4"/>
    <s v="(4175x180x200)"/>
    <m/>
    <m/>
    <m/>
    <m/>
    <m/>
    <m/>
    <m/>
    <m/>
    <m/>
    <m/>
    <m/>
    <m/>
    <m/>
    <n v="138.4"/>
    <n v="0"/>
    <m/>
    <n v="1"/>
    <n v="138.4"/>
    <d v="2026-05-21T00:00:00"/>
    <n v="1"/>
    <n v="138.4"/>
    <d v="2026-05-21T00:00:00"/>
    <n v="1"/>
    <n v="138.4"/>
    <m/>
    <m/>
    <n v="0"/>
    <s v="M296-018"/>
    <d v="2026-06-09T00:00:00"/>
    <n v="1"/>
    <n v="138.4"/>
    <d v="2026-06-11T00:00:00"/>
    <n v="1"/>
    <n v="138.4"/>
    <s v="Truong An"/>
    <s v="M296-016"/>
  </r>
  <r>
    <n v="9"/>
    <x v="0"/>
    <s v="Shipment 1 PAR-550-22 Main"/>
    <x v="0"/>
    <x v="0"/>
    <m/>
    <d v="2027-01-06T00:00:00"/>
    <s v="Structure"/>
    <s v="STR01"/>
    <s v="S2"/>
    <s v="SD-PAR-550-22-V037"/>
    <s v="V037"/>
    <s v="VBRACE"/>
    <n v="1"/>
    <n v="14.6"/>
    <n v="14.6"/>
    <s v="(951x120x120)"/>
    <m/>
    <m/>
    <m/>
    <m/>
    <m/>
    <m/>
    <m/>
    <m/>
    <m/>
    <m/>
    <m/>
    <m/>
    <m/>
    <n v="14.600000000000001"/>
    <n v="0"/>
    <m/>
    <n v="1"/>
    <n v="14.6"/>
    <d v="2026-05-21T00:00:00"/>
    <n v="1"/>
    <n v="14.6"/>
    <d v="2026-05-21T00:00:00"/>
    <n v="1"/>
    <n v="14.6"/>
    <m/>
    <m/>
    <n v="0"/>
    <s v="M296-013"/>
    <d v="2026-05-26T00:00:00"/>
    <n v="1"/>
    <n v="14.6"/>
    <d v="2026-05-29T00:00:00"/>
    <n v="1"/>
    <n v="14.6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38"/>
    <s v="V038"/>
    <s v="VBRACE"/>
    <n v="1"/>
    <n v="14.6"/>
    <n v="14.6"/>
    <s v="(951x120x120)"/>
    <m/>
    <m/>
    <m/>
    <m/>
    <m/>
    <m/>
    <m/>
    <m/>
    <m/>
    <m/>
    <m/>
    <m/>
    <m/>
    <n v="14.600000000000001"/>
    <n v="0"/>
    <m/>
    <n v="1"/>
    <n v="14.6"/>
    <d v="2026-05-21T00:00:00"/>
    <n v="1"/>
    <n v="14.6"/>
    <d v="2026-05-21T00:00:00"/>
    <n v="1"/>
    <n v="14.6"/>
    <m/>
    <m/>
    <n v="0"/>
    <s v="M296-013"/>
    <d v="2026-05-26T00:00:00"/>
    <n v="1"/>
    <n v="14.6"/>
    <d v="2026-05-29T00:00:00"/>
    <n v="1"/>
    <n v="14.6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42"/>
    <s v="V042(1/2)"/>
    <s v="VBRACE"/>
    <n v="1"/>
    <n v="209.95"/>
    <n v="209.95"/>
    <s v="(2973x240x230)"/>
    <m/>
    <m/>
    <m/>
    <m/>
    <m/>
    <m/>
    <m/>
    <m/>
    <m/>
    <m/>
    <m/>
    <m/>
    <m/>
    <n v="209.95"/>
    <n v="0"/>
    <m/>
    <n v="1"/>
    <n v="209.95"/>
    <d v="2026-05-20T00:00:00"/>
    <n v="1"/>
    <n v="209.95"/>
    <d v="2026-05-21T00:00:00"/>
    <n v="1"/>
    <n v="209.95"/>
    <m/>
    <m/>
    <n v="0"/>
    <s v="M296-008"/>
    <d v="2026-05-23T00:00:00"/>
    <n v="1"/>
    <n v="209.95"/>
    <d v="2026-05-29T00:00:00"/>
    <n v="1"/>
    <n v="209.95"/>
    <s v="AMC GT-Galv"/>
    <s v="M296-007"/>
  </r>
  <r>
    <n v="9"/>
    <x v="0"/>
    <s v="Shipment 1 PAR-550-22 Main"/>
    <x v="0"/>
    <x v="0"/>
    <m/>
    <d v="2027-01-06T00:00:00"/>
    <s v="Structure"/>
    <s v="STR01"/>
    <s v="S2"/>
    <s v="SD-PAR-550-22-V042"/>
    <s v="V042(2/2)"/>
    <s v="VBRACE"/>
    <n v="1"/>
    <n v="209.95"/>
    <n v="209.95"/>
    <s v="(2973x240x230)"/>
    <m/>
    <m/>
    <m/>
    <m/>
    <m/>
    <m/>
    <m/>
    <m/>
    <m/>
    <m/>
    <m/>
    <m/>
    <m/>
    <n v="209.95"/>
    <n v="0"/>
    <m/>
    <n v="1"/>
    <n v="209.95"/>
    <d v="2026-05-20T00:00:00"/>
    <n v="1"/>
    <n v="209.95"/>
    <d v="2026-05-21T00:00:00"/>
    <n v="1"/>
    <n v="209.95"/>
    <m/>
    <m/>
    <n v="0"/>
    <s v="M296-008"/>
    <d v="2026-05-23T00:00:00"/>
    <n v="1"/>
    <n v="209.95"/>
    <d v="2026-05-29T00:00:00"/>
    <n v="1"/>
    <n v="209.95"/>
    <s v="AMC GT-Galv"/>
    <s v="M296-007"/>
  </r>
  <r>
    <n v="9"/>
    <x v="0"/>
    <s v="Shipment 1 PAR-550-22 Main"/>
    <x v="0"/>
    <x v="0"/>
    <m/>
    <d v="2027-01-06T00:00:00"/>
    <s v="Structure"/>
    <s v="STR01"/>
    <s v="S2"/>
    <s v="SD-PAR-550-22-V043"/>
    <s v="V043(1/2)"/>
    <s v="VBRACE"/>
    <n v="1"/>
    <n v="234.75"/>
    <n v="234.75"/>
    <s v="(3383x240x230)"/>
    <m/>
    <m/>
    <m/>
    <m/>
    <m/>
    <m/>
    <m/>
    <m/>
    <m/>
    <m/>
    <m/>
    <m/>
    <m/>
    <n v="234.75"/>
    <n v="0"/>
    <m/>
    <n v="1"/>
    <n v="234.75"/>
    <d v="2026-05-20T00:00:00"/>
    <n v="1"/>
    <n v="234.75"/>
    <d v="2026-05-21T00:00:00"/>
    <n v="1"/>
    <n v="234.75"/>
    <m/>
    <m/>
    <n v="0"/>
    <s v="M296-008"/>
    <d v="2026-05-23T00:00:00"/>
    <n v="1"/>
    <n v="234.75"/>
    <d v="2026-05-29T00:00:00"/>
    <n v="1"/>
    <n v="234.75"/>
    <s v="AMC GT-Galv"/>
    <s v="M296-007"/>
  </r>
  <r>
    <n v="9"/>
    <x v="0"/>
    <s v="Shipment 1 PAR-550-22 Main"/>
    <x v="0"/>
    <x v="0"/>
    <m/>
    <d v="2027-01-06T00:00:00"/>
    <s v="Structure"/>
    <s v="STR01"/>
    <s v="S2"/>
    <s v="SD-PAR-550-22-V043"/>
    <s v="V043(2/2)"/>
    <s v="VBRACE"/>
    <n v="1"/>
    <n v="234.75"/>
    <n v="234.75"/>
    <s v="(3383x240x230)"/>
    <m/>
    <m/>
    <m/>
    <m/>
    <m/>
    <m/>
    <m/>
    <m/>
    <m/>
    <m/>
    <m/>
    <m/>
    <m/>
    <n v="234.75"/>
    <n v="0"/>
    <m/>
    <n v="1"/>
    <n v="234.75"/>
    <d v="2026-05-20T00:00:00"/>
    <n v="1"/>
    <n v="234.75"/>
    <d v="2026-05-21T00:00:00"/>
    <n v="1"/>
    <n v="234.75"/>
    <m/>
    <m/>
    <n v="0"/>
    <s v="M296-008"/>
    <d v="2026-05-23T00:00:00"/>
    <n v="1"/>
    <n v="234.75"/>
    <d v="2026-05-29T00:00:00"/>
    <n v="1"/>
    <n v="234.75"/>
    <s v="AMC GT-Galv"/>
    <s v="M296-007"/>
  </r>
  <r>
    <n v="9"/>
    <x v="0"/>
    <s v="Shipment 1 PAR-550-22 Main"/>
    <x v="0"/>
    <x v="0"/>
    <m/>
    <d v="2027-01-06T00:00:00"/>
    <s v="Structure"/>
    <s v="STR01"/>
    <s v="S2"/>
    <s v="SD-PAR-550-22-V053"/>
    <s v="V053"/>
    <s v="VBRACE"/>
    <n v="1"/>
    <n v="16.600000000000001"/>
    <n v="16.600000000000001"/>
    <s v="(1079x120x120)"/>
    <m/>
    <m/>
    <m/>
    <m/>
    <m/>
    <m/>
    <m/>
    <m/>
    <m/>
    <m/>
    <m/>
    <m/>
    <m/>
    <n v="16.600000000000001"/>
    <n v="0"/>
    <m/>
    <n v="1"/>
    <n v="16.600000000000001"/>
    <d v="2026-05-21T00:00:00"/>
    <n v="1"/>
    <n v="16.600000000000001"/>
    <d v="2026-05-21T00:00:00"/>
    <n v="1"/>
    <n v="16.600000000000001"/>
    <m/>
    <m/>
    <n v="0"/>
    <s v="M296-013"/>
    <d v="2026-05-26T00:00:00"/>
    <n v="1"/>
    <n v="16.600000000000001"/>
    <d v="2026-05-29T00:00:00"/>
    <n v="1"/>
    <n v="16.600000000000001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57"/>
    <s v="V057(1/2)"/>
    <s v="VBRACE"/>
    <n v="1"/>
    <n v="147.5"/>
    <n v="147.5"/>
    <s v="(4449x180x200)"/>
    <m/>
    <m/>
    <m/>
    <m/>
    <m/>
    <m/>
    <m/>
    <m/>
    <m/>
    <m/>
    <m/>
    <m/>
    <m/>
    <n v="147.5"/>
    <n v="0"/>
    <m/>
    <n v="1"/>
    <n v="147.5"/>
    <d v="2026-05-21T00:00:00"/>
    <n v="1"/>
    <n v="147.5"/>
    <d v="2026-05-21T00:00:00"/>
    <n v="1"/>
    <n v="147.5"/>
    <m/>
    <m/>
    <n v="0"/>
    <s v="M296-013"/>
    <d v="2026-05-26T00:00:00"/>
    <n v="1"/>
    <n v="147.5"/>
    <d v="2026-05-29T00:00:00"/>
    <n v="1"/>
    <n v="147.5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57"/>
    <s v="V057(2/2)"/>
    <s v="VBRACE"/>
    <n v="1"/>
    <n v="147.5"/>
    <n v="147.5"/>
    <s v="(4449x180x200)"/>
    <m/>
    <m/>
    <m/>
    <m/>
    <m/>
    <m/>
    <m/>
    <m/>
    <m/>
    <m/>
    <m/>
    <m/>
    <m/>
    <n v="147.5"/>
    <n v="0"/>
    <m/>
    <n v="1"/>
    <n v="147.5"/>
    <d v="2026-05-21T00:00:00"/>
    <n v="1"/>
    <n v="147.5"/>
    <d v="2026-05-21T00:00:00"/>
    <n v="1"/>
    <n v="147.5"/>
    <m/>
    <m/>
    <n v="0"/>
    <s v="M296-013"/>
    <d v="2026-05-26T00:00:00"/>
    <n v="1"/>
    <n v="147.5"/>
    <d v="2026-05-29T00:00:00"/>
    <n v="1"/>
    <n v="147.5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67"/>
    <s v="V067"/>
    <s v="VBRACE"/>
    <n v="1"/>
    <n v="13.7"/>
    <n v="13.7"/>
    <s v="(892x120x120)"/>
    <m/>
    <m/>
    <m/>
    <m/>
    <m/>
    <m/>
    <m/>
    <m/>
    <m/>
    <m/>
    <m/>
    <m/>
    <m/>
    <n v="13.7"/>
    <n v="0"/>
    <m/>
    <n v="1"/>
    <n v="13.7"/>
    <d v="2026-05-21T00:00:00"/>
    <n v="1"/>
    <n v="13.7"/>
    <d v="2026-05-21T00:00:00"/>
    <n v="1"/>
    <n v="13.7"/>
    <m/>
    <m/>
    <n v="0"/>
    <s v="M296-013"/>
    <d v="2026-05-26T00:00:00"/>
    <n v="1"/>
    <n v="13.7"/>
    <d v="2026-05-29T00:00:00"/>
    <n v="1"/>
    <n v="13.7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68"/>
    <s v="V068"/>
    <s v="VBRACE"/>
    <n v="1"/>
    <n v="12.5"/>
    <n v="12.5"/>
    <s v="(813x120x120)"/>
    <m/>
    <m/>
    <m/>
    <m/>
    <m/>
    <m/>
    <m/>
    <m/>
    <m/>
    <m/>
    <m/>
    <m/>
    <m/>
    <n v="12.5"/>
    <n v="0"/>
    <m/>
    <n v="1"/>
    <n v="12.5"/>
    <d v="2026-05-21T00:00:00"/>
    <n v="1"/>
    <n v="12.5"/>
    <d v="2026-05-21T00:00:00"/>
    <n v="1"/>
    <n v="12.5"/>
    <m/>
    <m/>
    <n v="0"/>
    <s v="M296-013"/>
    <d v="2026-05-26T00:00:00"/>
    <n v="1"/>
    <n v="12.5"/>
    <d v="2026-05-29T00:00:00"/>
    <n v="1"/>
    <n v="12.5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85"/>
    <s v="V085"/>
    <s v="VBRACE"/>
    <n v="1"/>
    <n v="56.1"/>
    <n v="56.1"/>
    <s v="(2659x150x150)"/>
    <m/>
    <m/>
    <m/>
    <m/>
    <m/>
    <m/>
    <m/>
    <m/>
    <m/>
    <m/>
    <m/>
    <m/>
    <m/>
    <n v="56.1"/>
    <n v="0"/>
    <m/>
    <n v="1"/>
    <n v="56.1"/>
    <d v="2026-05-21T00:00:00"/>
    <n v="1"/>
    <n v="56.1"/>
    <d v="2026-05-26T00:00:00"/>
    <n v="1"/>
    <n v="56.1"/>
    <m/>
    <m/>
    <n v="0"/>
    <s v="M296-013"/>
    <d v="2026-05-26T00:00:00"/>
    <n v="1"/>
    <n v="56.1"/>
    <d v="2026-05-29T00:00:00"/>
    <n v="1"/>
    <n v="56.1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-V086"/>
    <s v="V086"/>
    <s v="VBRACE"/>
    <n v="1"/>
    <n v="55"/>
    <n v="55"/>
    <s v="(2609x150x150)"/>
    <m/>
    <m/>
    <m/>
    <m/>
    <m/>
    <m/>
    <m/>
    <m/>
    <m/>
    <m/>
    <m/>
    <m/>
    <m/>
    <n v="55"/>
    <n v="0"/>
    <m/>
    <n v="1"/>
    <n v="55"/>
    <d v="2026-05-21T00:00:00"/>
    <n v="1"/>
    <n v="55"/>
    <d v="2026-05-26T00:00:00"/>
    <n v="1"/>
    <n v="55"/>
    <m/>
    <m/>
    <n v="0"/>
    <s v="M296-013"/>
    <d v="2026-05-26T00:00:00"/>
    <n v="1"/>
    <n v="55"/>
    <d v="2026-05-29T00:00:00"/>
    <n v="1"/>
    <n v="55"/>
    <s v="AMC GT-Galv"/>
    <s v="M296-009"/>
  </r>
  <r>
    <n v="9"/>
    <x v="0"/>
    <s v="Shipment 1 PAR-550-22 Main"/>
    <x v="0"/>
    <x v="0"/>
    <m/>
    <d v="2027-01-06T00:00:00"/>
    <s v="Structure"/>
    <s v="STR01"/>
    <s v="S2"/>
    <s v="SD-PAR-550-22SL-V5001"/>
    <s v="V5001"/>
    <s v="VBRACE"/>
    <n v="1"/>
    <n v="111.9"/>
    <n v="111.9"/>
    <s v="(3377x180x200)"/>
    <m/>
    <s v="SHIP LOOSE"/>
    <m/>
    <m/>
    <m/>
    <m/>
    <m/>
    <m/>
    <m/>
    <m/>
    <m/>
    <m/>
    <m/>
    <n v="111.9"/>
    <n v="0"/>
    <m/>
    <n v="1"/>
    <n v="111.9"/>
    <d v="2026-05-21T00:00:00"/>
    <n v="1"/>
    <n v="111.9"/>
    <d v="2026-05-26T00:00:00"/>
    <n v="1"/>
    <n v="111.9"/>
    <m/>
    <m/>
    <n v="0"/>
    <s v="M296-012"/>
    <d v="2026-05-26T00:00:00"/>
    <n v="1"/>
    <n v="111.9"/>
    <d v="2026-05-29T00:00:00"/>
    <n v="1"/>
    <n v="111.9"/>
    <s v="AMC GT-Galv"/>
    <s v="M296-009"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258"/>
  <sheetViews>
    <sheetView tabSelected="1" zoomScale="70" zoomScaleNormal="70" workbookViewId="0">
      <pane xSplit="18" ySplit="3" topLeftCell="AM187" activePane="bottomRight" state="frozen"/>
      <selection pane="topRight" activeCell="S1" sqref="S1"/>
      <selection pane="bottomLeft" activeCell="A4" sqref="A4"/>
      <selection pane="bottomRight" activeCell="BA187" sqref="AW187:BA208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2.625" bestFit="1" customWidth="1"/>
    <col min="59" max="59" width="17.125" bestFit="1" customWidth="1"/>
    <col min="60" max="60" width="14.375" bestFit="1" customWidth="1"/>
    <col min="64" max="64" width="14.625" bestFit="1" customWidth="1"/>
    <col min="65" max="65" width="17.125" bestFit="1" customWidth="1"/>
    <col min="66" max="66" width="14.375" bestFit="1" customWidth="1"/>
  </cols>
  <sheetData>
    <row r="1" spans="1:60" ht="25.5" customHeight="1" thickTop="1" x14ac:dyDescent="0.25">
      <c r="A1" s="1" t="str">
        <f>"DỰ ÁN:"&amp;B4</f>
        <v>DỰ ÁN:M296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46233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SUBTOTAL(9,AK4:AK258)</f>
        <v>9</v>
      </c>
      <c r="AL2" s="68">
        <f>SUBTOTAL(9,AL4:AL258)</f>
        <v>1646.1</v>
      </c>
      <c r="AM2" s="15"/>
      <c r="AN2" s="67">
        <f>SUBTOTAL(9,AN4:AN258)</f>
        <v>9</v>
      </c>
      <c r="AO2" s="68">
        <f>SUBTOTAL(9,AO4:AO258)</f>
        <v>1646.1</v>
      </c>
      <c r="AP2" s="15"/>
      <c r="AQ2" s="67">
        <f>SUBTOTAL(9,AQ4:AQ258)</f>
        <v>0</v>
      </c>
      <c r="AR2" s="68">
        <f>SUBTOTAL(9,AR4:AR258)</f>
        <v>0</v>
      </c>
      <c r="AS2" s="16" t="str">
        <f>SUBSTITUTE(A1,"DỰ ÁN:","")&amp;"-"</f>
        <v>M296-</v>
      </c>
      <c r="AT2" s="17"/>
      <c r="AU2" s="67">
        <f>SUBTOTAL(9,AU4:AU258)</f>
        <v>9</v>
      </c>
      <c r="AV2" s="68">
        <f>SUBTOTAL(9,AV4:AV258)</f>
        <v>1646.1</v>
      </c>
      <c r="AW2" s="16"/>
      <c r="AX2" s="67">
        <f>SUBTOTAL(9,AX4:AX258)</f>
        <v>9</v>
      </c>
      <c r="AY2" s="67">
        <f>SUBTOTAL(9,AY4:AY258)</f>
        <v>1646.1</v>
      </c>
      <c r="AZ2" s="17"/>
      <c r="BA2" s="18" t="str">
        <f>SUBSTITUTE(A1,"DỰ ÁN:","")&amp;"-"</f>
        <v>M296-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hidden="1" x14ac:dyDescent="0.25">
      <c r="A4" s="24">
        <f>IF(B4="","",SUBTOTAL(3,$B$4:B4))</f>
        <v>0</v>
      </c>
      <c r="B4" s="25" t="s">
        <v>569</v>
      </c>
      <c r="C4" s="25" t="str">
        <f>D4&amp;" "&amp;E4</f>
        <v>Shipment 1 PAR-550-22 Main</v>
      </c>
      <c r="D4" s="25" t="s">
        <v>570</v>
      </c>
      <c r="E4" s="25" t="s">
        <v>571</v>
      </c>
      <c r="F4" s="25"/>
      <c r="G4" s="65">
        <v>46393</v>
      </c>
      <c r="H4" s="25" t="s">
        <v>572</v>
      </c>
      <c r="I4" s="25" t="s">
        <v>575</v>
      </c>
      <c r="J4" s="26" t="s">
        <v>622</v>
      </c>
      <c r="K4" s="27" t="s">
        <v>69</v>
      </c>
      <c r="L4" s="28" t="s">
        <v>70</v>
      </c>
      <c r="M4" s="28" t="s">
        <v>71</v>
      </c>
      <c r="N4" s="25">
        <v>1</v>
      </c>
      <c r="O4" s="29">
        <v>259.2</v>
      </c>
      <c r="P4" s="29">
        <v>259.2</v>
      </c>
      <c r="Q4" s="25" t="s">
        <v>443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259.2</v>
      </c>
      <c r="AF4" s="32">
        <f>+P4-AE4</f>
        <v>0</v>
      </c>
      <c r="AG4" s="30"/>
      <c r="AH4" s="33">
        <v>1</v>
      </c>
      <c r="AI4" s="34">
        <f>+AH4*P4</f>
        <v>259.2</v>
      </c>
      <c r="AJ4" s="35">
        <v>46156</v>
      </c>
      <c r="AK4" s="30">
        <v>1</v>
      </c>
      <c r="AL4" s="36">
        <f>IFERROR(AK4*$P4/$N4,0)</f>
        <v>259.2</v>
      </c>
      <c r="AM4" s="35">
        <v>46162</v>
      </c>
      <c r="AN4" s="30">
        <v>1</v>
      </c>
      <c r="AO4" s="36">
        <f>IFERROR(AN4*$P4/$N4,0)</f>
        <v>259.2</v>
      </c>
      <c r="AP4" s="35"/>
      <c r="AQ4" s="30"/>
      <c r="AR4" s="36">
        <f>IFERROR(AQ4*$P4/$N4,0)</f>
        <v>0</v>
      </c>
      <c r="AS4" s="27" t="s">
        <v>613</v>
      </c>
      <c r="AT4" s="37">
        <v>46176</v>
      </c>
      <c r="AU4" s="30">
        <v>1</v>
      </c>
      <c r="AV4" s="36">
        <f>IFERROR(AU4*$P4/$N4,0)</f>
        <v>259.2</v>
      </c>
      <c r="AW4" s="35">
        <v>46180</v>
      </c>
      <c r="AX4" s="30">
        <v>1</v>
      </c>
      <c r="AY4" s="32">
        <f>IFERROR(AX4*$P4/$N4,0)</f>
        <v>259.2</v>
      </c>
      <c r="AZ4" s="30" t="s">
        <v>611</v>
      </c>
      <c r="BA4" s="63" t="s">
        <v>610</v>
      </c>
      <c r="BB4" s="71" t="e">
        <f>SUMIFS([1]Form!$F$8:$F$21,[1]Form!$J$8:$J$21,K4)</f>
        <v>#VALUE!</v>
      </c>
      <c r="BC4" s="71"/>
      <c r="BD4" s="71"/>
      <c r="BF4" s="59" t="s">
        <v>569</v>
      </c>
      <c r="BG4" s="72">
        <v>143162.60000000003</v>
      </c>
      <c r="BH4" s="70">
        <v>143162.60000000003</v>
      </c>
    </row>
    <row r="5" spans="1:60" hidden="1" x14ac:dyDescent="0.25">
      <c r="A5" s="24">
        <f>IF(B5="","",SUBTOTAL(3,$B$4:B5))</f>
        <v>0</v>
      </c>
      <c r="B5" s="25" t="s">
        <v>569</v>
      </c>
      <c r="C5" s="25" t="str">
        <f t="shared" ref="C5:C258" si="0">D5&amp;" "&amp;E5</f>
        <v>Shipment 1 PAR-550-22 Main</v>
      </c>
      <c r="D5" s="25" t="s">
        <v>570</v>
      </c>
      <c r="E5" s="25" t="s">
        <v>571</v>
      </c>
      <c r="F5" s="25"/>
      <c r="G5" s="65">
        <v>46393</v>
      </c>
      <c r="H5" s="25" t="s">
        <v>572</v>
      </c>
      <c r="I5" s="25" t="s">
        <v>575</v>
      </c>
      <c r="J5" s="26" t="s">
        <v>623</v>
      </c>
      <c r="K5" s="27" t="s">
        <v>72</v>
      </c>
      <c r="L5" s="28" t="s">
        <v>73</v>
      </c>
      <c r="M5" s="28" t="s">
        <v>71</v>
      </c>
      <c r="N5" s="25">
        <v>1</v>
      </c>
      <c r="O5" s="29">
        <v>331.6</v>
      </c>
      <c r="P5" s="29">
        <v>331.6</v>
      </c>
      <c r="Q5" s="25" t="s">
        <v>444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258" si="1">+AL5*0.5+AO5*0.4+AV5*0.1</f>
        <v>331.60000000000008</v>
      </c>
      <c r="AF5" s="32">
        <f t="shared" ref="AF5:AF258" si="2">+P5-AE5</f>
        <v>0</v>
      </c>
      <c r="AG5" s="30"/>
      <c r="AH5" s="33">
        <v>1</v>
      </c>
      <c r="AI5" s="34">
        <f t="shared" ref="AI5:AI258" si="3">+AH5*P5</f>
        <v>331.6</v>
      </c>
      <c r="AJ5" s="35">
        <v>46151</v>
      </c>
      <c r="AK5" s="30">
        <v>1</v>
      </c>
      <c r="AL5" s="36">
        <f t="shared" ref="AL5:AL258" si="4">IFERROR(AK5*$P5/$N5,0)</f>
        <v>331.6</v>
      </c>
      <c r="AM5" s="35">
        <v>46153</v>
      </c>
      <c r="AN5" s="30">
        <v>1</v>
      </c>
      <c r="AO5" s="36">
        <f t="shared" ref="AO5:AO258" si="5">IFERROR(AN5*$P5/$N5,0)</f>
        <v>331.6</v>
      </c>
      <c r="AP5" s="35"/>
      <c r="AQ5" s="30"/>
      <c r="AR5" s="36">
        <f t="shared" ref="AR5:AR258" si="6">IFERROR(AQ5*$P5/$N5,0)</f>
        <v>0</v>
      </c>
      <c r="AS5" s="27" t="s">
        <v>573</v>
      </c>
      <c r="AT5" s="37">
        <v>46153</v>
      </c>
      <c r="AU5" s="30">
        <v>1</v>
      </c>
      <c r="AV5" s="36">
        <f t="shared" ref="AV5:AV258" si="7">IFERROR(AU5*$P5/$N5,0)</f>
        <v>331.6</v>
      </c>
      <c r="AW5" s="35">
        <v>46167</v>
      </c>
      <c r="AX5" s="30">
        <v>1</v>
      </c>
      <c r="AY5" s="32">
        <f t="shared" ref="AY5:AY258" si="8">IFERROR(AX5*$P5/$N5,0)</f>
        <v>331.6</v>
      </c>
      <c r="AZ5" s="30" t="s">
        <v>580</v>
      </c>
      <c r="BA5" s="63" t="s">
        <v>573</v>
      </c>
      <c r="BB5" s="71" t="e">
        <f>SUMIFS([1]Form!$F$8:$F$21,[1]Form!$J$8:$J$21,K5)</f>
        <v>#VALUE!</v>
      </c>
      <c r="BC5" s="71"/>
      <c r="BD5" s="71"/>
      <c r="BF5" s="60" t="s">
        <v>570</v>
      </c>
      <c r="BG5" s="72">
        <v>143162.60000000003</v>
      </c>
      <c r="BH5" s="70">
        <v>143162.60000000003</v>
      </c>
    </row>
    <row r="6" spans="1:60" hidden="1" x14ac:dyDescent="0.25">
      <c r="A6" s="24">
        <f>IF(B6="","",SUBTOTAL(3,$B$4:B6))</f>
        <v>0</v>
      </c>
      <c r="B6" s="25" t="s">
        <v>569</v>
      </c>
      <c r="C6" s="25" t="str">
        <f t="shared" si="0"/>
        <v>Shipment 1 PAR-550-22 Main</v>
      </c>
      <c r="D6" s="25" t="s">
        <v>570</v>
      </c>
      <c r="E6" s="25" t="s">
        <v>571</v>
      </c>
      <c r="F6" s="25"/>
      <c r="G6" s="65">
        <v>46393</v>
      </c>
      <c r="H6" s="25" t="s">
        <v>572</v>
      </c>
      <c r="I6" s="25" t="s">
        <v>575</v>
      </c>
      <c r="J6" s="26" t="s">
        <v>622</v>
      </c>
      <c r="K6" s="27" t="s">
        <v>74</v>
      </c>
      <c r="L6" s="28" t="s">
        <v>75</v>
      </c>
      <c r="M6" s="28" t="s">
        <v>71</v>
      </c>
      <c r="N6" s="25">
        <v>1</v>
      </c>
      <c r="O6" s="29">
        <v>257.10000000000002</v>
      </c>
      <c r="P6" s="29">
        <v>257.10000000000002</v>
      </c>
      <c r="Q6" s="25" t="s">
        <v>445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257.10000000000002</v>
      </c>
      <c r="AF6" s="32">
        <f t="shared" si="2"/>
        <v>0</v>
      </c>
      <c r="AG6" s="30"/>
      <c r="AH6" s="33">
        <v>1</v>
      </c>
      <c r="AI6" s="34">
        <f t="shared" si="3"/>
        <v>257.10000000000002</v>
      </c>
      <c r="AJ6" s="35">
        <v>46156</v>
      </c>
      <c r="AK6" s="30">
        <v>1</v>
      </c>
      <c r="AL6" s="36">
        <f t="shared" si="4"/>
        <v>257.10000000000002</v>
      </c>
      <c r="AM6" s="35">
        <v>46162</v>
      </c>
      <c r="AN6" s="30">
        <v>1</v>
      </c>
      <c r="AO6" s="36">
        <f t="shared" si="5"/>
        <v>257.10000000000002</v>
      </c>
      <c r="AP6" s="35"/>
      <c r="AQ6" s="30"/>
      <c r="AR6" s="36">
        <f t="shared" si="6"/>
        <v>0</v>
      </c>
      <c r="AS6" s="27" t="s">
        <v>613</v>
      </c>
      <c r="AT6" s="37">
        <v>46176</v>
      </c>
      <c r="AU6" s="30">
        <v>1</v>
      </c>
      <c r="AV6" s="36">
        <f t="shared" si="7"/>
        <v>257.10000000000002</v>
      </c>
      <c r="AW6" s="35">
        <v>46180</v>
      </c>
      <c r="AX6" s="30">
        <v>1</v>
      </c>
      <c r="AY6" s="32">
        <f t="shared" si="8"/>
        <v>257.10000000000002</v>
      </c>
      <c r="AZ6" s="30" t="s">
        <v>611</v>
      </c>
      <c r="BA6" s="63" t="s">
        <v>610</v>
      </c>
      <c r="BB6" s="71" t="e">
        <f>SUMIFS([1]Form!$F$8:$F$21,[1]Form!$J$8:$J$21,K6)</f>
        <v>#VALUE!</v>
      </c>
      <c r="BC6" s="71"/>
      <c r="BD6" s="71"/>
      <c r="BF6" s="61" t="s">
        <v>571</v>
      </c>
      <c r="BG6" s="72">
        <v>143162.60000000003</v>
      </c>
      <c r="BH6" s="70">
        <v>143162.60000000003</v>
      </c>
    </row>
    <row r="7" spans="1:60" hidden="1" x14ac:dyDescent="0.25">
      <c r="A7" s="24">
        <f>IF(B7="","",SUBTOTAL(3,$B$4:B7))</f>
        <v>0</v>
      </c>
      <c r="B7" s="25" t="s">
        <v>569</v>
      </c>
      <c r="C7" s="25" t="str">
        <f t="shared" si="0"/>
        <v>Shipment 1 PAR-550-22 Main</v>
      </c>
      <c r="D7" s="25" t="s">
        <v>570</v>
      </c>
      <c r="E7" s="25" t="s">
        <v>571</v>
      </c>
      <c r="F7" s="25"/>
      <c r="G7" s="65">
        <v>46393</v>
      </c>
      <c r="H7" s="25" t="s">
        <v>572</v>
      </c>
      <c r="I7" s="25" t="s">
        <v>575</v>
      </c>
      <c r="J7" s="26" t="s">
        <v>622</v>
      </c>
      <c r="K7" s="27" t="s">
        <v>76</v>
      </c>
      <c r="L7" s="28" t="s">
        <v>77</v>
      </c>
      <c r="M7" s="28" t="s">
        <v>71</v>
      </c>
      <c r="N7" s="25">
        <v>1</v>
      </c>
      <c r="O7" s="29">
        <v>256.2</v>
      </c>
      <c r="P7" s="29">
        <v>256.2</v>
      </c>
      <c r="Q7" s="25" t="s">
        <v>446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256.2</v>
      </c>
      <c r="AF7" s="32">
        <f t="shared" si="2"/>
        <v>0</v>
      </c>
      <c r="AG7" s="30"/>
      <c r="AH7" s="33">
        <v>1</v>
      </c>
      <c r="AI7" s="34">
        <f t="shared" si="3"/>
        <v>256.2</v>
      </c>
      <c r="AJ7" s="35">
        <v>46156</v>
      </c>
      <c r="AK7" s="30">
        <v>1</v>
      </c>
      <c r="AL7" s="36">
        <f t="shared" si="4"/>
        <v>256.2</v>
      </c>
      <c r="AM7" s="35">
        <v>46162</v>
      </c>
      <c r="AN7" s="30">
        <v>1</v>
      </c>
      <c r="AO7" s="36">
        <f t="shared" si="5"/>
        <v>256.2</v>
      </c>
      <c r="AP7" s="35"/>
      <c r="AQ7" s="30"/>
      <c r="AR7" s="36">
        <f t="shared" si="6"/>
        <v>0</v>
      </c>
      <c r="AS7" s="27" t="s">
        <v>613</v>
      </c>
      <c r="AT7" s="37">
        <v>46176</v>
      </c>
      <c r="AU7" s="30">
        <v>1</v>
      </c>
      <c r="AV7" s="36">
        <f t="shared" si="7"/>
        <v>256.2</v>
      </c>
      <c r="AW7" s="35">
        <v>46180</v>
      </c>
      <c r="AX7" s="30">
        <v>1</v>
      </c>
      <c r="AY7" s="32">
        <f t="shared" si="8"/>
        <v>256.2</v>
      </c>
      <c r="AZ7" s="30" t="s">
        <v>611</v>
      </c>
      <c r="BA7" s="63" t="s">
        <v>610</v>
      </c>
      <c r="BB7" s="71" t="e">
        <f>SUMIFS([1]Form!$F$8:$F$21,[1]Form!$J$8:$J$21,K7)</f>
        <v>#VALUE!</v>
      </c>
      <c r="BC7" s="71"/>
      <c r="BD7" s="71"/>
      <c r="BF7" s="59" t="s">
        <v>50</v>
      </c>
      <c r="BG7" s="72">
        <v>143162.60000000003</v>
      </c>
      <c r="BH7" s="70">
        <v>143162.60000000003</v>
      </c>
    </row>
    <row r="8" spans="1:60" hidden="1" x14ac:dyDescent="0.25">
      <c r="A8" s="24">
        <f>IF(B8="","",SUBTOTAL(3,$B$4:B8))</f>
        <v>0</v>
      </c>
      <c r="B8" s="25" t="s">
        <v>569</v>
      </c>
      <c r="C8" s="25" t="str">
        <f t="shared" si="0"/>
        <v>Shipment 1 PAR-550-22 Main</v>
      </c>
      <c r="D8" s="25" t="s">
        <v>570</v>
      </c>
      <c r="E8" s="25" t="s">
        <v>571</v>
      </c>
      <c r="F8" s="25"/>
      <c r="G8" s="65">
        <v>46393</v>
      </c>
      <c r="H8" s="25" t="s">
        <v>572</v>
      </c>
      <c r="I8" s="25" t="s">
        <v>575</v>
      </c>
      <c r="J8" s="26" t="s">
        <v>623</v>
      </c>
      <c r="K8" s="27" t="s">
        <v>78</v>
      </c>
      <c r="L8" s="28" t="s">
        <v>79</v>
      </c>
      <c r="M8" s="28" t="s">
        <v>71</v>
      </c>
      <c r="N8" s="25">
        <v>1</v>
      </c>
      <c r="O8" s="29">
        <v>514.79999999999995</v>
      </c>
      <c r="P8" s="29">
        <v>514.79999999999995</v>
      </c>
      <c r="Q8" s="25" t="s">
        <v>447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514.79999999999995</v>
      </c>
      <c r="AF8" s="32">
        <f t="shared" si="2"/>
        <v>0</v>
      </c>
      <c r="AG8" s="30"/>
      <c r="AH8" s="33">
        <v>1</v>
      </c>
      <c r="AI8" s="34">
        <f t="shared" si="3"/>
        <v>514.79999999999995</v>
      </c>
      <c r="AJ8" s="35">
        <v>46151</v>
      </c>
      <c r="AK8" s="30">
        <v>1</v>
      </c>
      <c r="AL8" s="36">
        <f t="shared" si="4"/>
        <v>514.79999999999995</v>
      </c>
      <c r="AM8" s="35">
        <v>46153</v>
      </c>
      <c r="AN8" s="30">
        <v>1</v>
      </c>
      <c r="AO8" s="36">
        <f t="shared" si="5"/>
        <v>514.79999999999995</v>
      </c>
      <c r="AP8" s="35"/>
      <c r="AQ8" s="30"/>
      <c r="AR8" s="36">
        <f t="shared" si="6"/>
        <v>0</v>
      </c>
      <c r="AS8" s="27" t="s">
        <v>573</v>
      </c>
      <c r="AT8" s="37">
        <v>46153</v>
      </c>
      <c r="AU8" s="30">
        <v>1</v>
      </c>
      <c r="AV8" s="36">
        <f t="shared" si="7"/>
        <v>514.79999999999995</v>
      </c>
      <c r="AW8" s="35">
        <v>46167</v>
      </c>
      <c r="AX8" s="30">
        <v>1</v>
      </c>
      <c r="AY8" s="32">
        <f t="shared" ref="AY8:AY16" si="9">IFERROR(AX8*$P8/$N8,0)</f>
        <v>514.79999999999995</v>
      </c>
      <c r="AZ8" s="30" t="s">
        <v>580</v>
      </c>
      <c r="BA8" s="63" t="s">
        <v>573</v>
      </c>
      <c r="BB8" s="71" t="e">
        <f>SUMIFS([1]Form!$F$8:$F$21,[1]Form!$J$8:$J$21,K8)</f>
        <v>#VALUE!</v>
      </c>
      <c r="BC8" s="71"/>
      <c r="BD8" s="71"/>
    </row>
    <row r="9" spans="1:60" hidden="1" x14ac:dyDescent="0.25">
      <c r="A9" s="24">
        <f>IF(B9="","",SUBTOTAL(3,$B$4:B9))</f>
        <v>0</v>
      </c>
      <c r="B9" s="25" t="s">
        <v>569</v>
      </c>
      <c r="C9" s="25" t="str">
        <f t="shared" si="0"/>
        <v>Shipment 1 PAR-550-22 Main</v>
      </c>
      <c r="D9" s="25" t="s">
        <v>570</v>
      </c>
      <c r="E9" s="25" t="s">
        <v>571</v>
      </c>
      <c r="F9" s="25"/>
      <c r="G9" s="65">
        <v>46393</v>
      </c>
      <c r="H9" s="25" t="s">
        <v>572</v>
      </c>
      <c r="I9" s="25" t="s">
        <v>576</v>
      </c>
      <c r="J9" s="26" t="s">
        <v>623</v>
      </c>
      <c r="K9" s="27" t="s">
        <v>80</v>
      </c>
      <c r="L9" s="28" t="s">
        <v>81</v>
      </c>
      <c r="M9" s="28" t="s">
        <v>71</v>
      </c>
      <c r="N9" s="25">
        <v>1</v>
      </c>
      <c r="O9" s="29">
        <v>61.637500000000003</v>
      </c>
      <c r="P9" s="29">
        <v>61.637500000000003</v>
      </c>
      <c r="Q9" s="25" t="s">
        <v>448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61.637500000000003</v>
      </c>
      <c r="AF9" s="32">
        <f t="shared" si="2"/>
        <v>0</v>
      </c>
      <c r="AG9" s="30"/>
      <c r="AH9" s="33">
        <v>1</v>
      </c>
      <c r="AI9" s="34">
        <f t="shared" si="3"/>
        <v>61.637500000000003</v>
      </c>
      <c r="AJ9" s="35">
        <v>46151</v>
      </c>
      <c r="AK9" s="30">
        <v>1</v>
      </c>
      <c r="AL9" s="36">
        <f t="shared" si="4"/>
        <v>61.637500000000003</v>
      </c>
      <c r="AM9" s="35">
        <v>46151</v>
      </c>
      <c r="AN9" s="30">
        <v>1</v>
      </c>
      <c r="AO9" s="36">
        <f t="shared" si="5"/>
        <v>61.637500000000003</v>
      </c>
      <c r="AP9" s="35"/>
      <c r="AQ9" s="30"/>
      <c r="AR9" s="36">
        <f t="shared" si="6"/>
        <v>0</v>
      </c>
      <c r="AS9" s="27" t="s">
        <v>573</v>
      </c>
      <c r="AT9" s="37">
        <v>46153</v>
      </c>
      <c r="AU9" s="30">
        <v>1</v>
      </c>
      <c r="AV9" s="36">
        <f t="shared" si="7"/>
        <v>61.637500000000003</v>
      </c>
      <c r="AW9" s="35">
        <v>46167</v>
      </c>
      <c r="AX9" s="30">
        <v>1</v>
      </c>
      <c r="AY9" s="32">
        <f t="shared" si="9"/>
        <v>61.637500000000003</v>
      </c>
      <c r="AZ9" s="30" t="s">
        <v>580</v>
      </c>
      <c r="BA9" s="63" t="s">
        <v>573</v>
      </c>
      <c r="BB9" s="71" t="e">
        <f>SUMIFS([1]Form!$F$8:$F$21,[1]Form!$J$8:$J$21,K9)</f>
        <v>#VALUE!</v>
      </c>
      <c r="BC9" s="71"/>
      <c r="BD9" s="71"/>
    </row>
    <row r="10" spans="1:60" hidden="1" x14ac:dyDescent="0.25">
      <c r="A10" s="24">
        <f>IF(B10="","",SUBTOTAL(3,$B$4:B10))</f>
        <v>0</v>
      </c>
      <c r="B10" s="25" t="s">
        <v>569</v>
      </c>
      <c r="C10" s="25" t="str">
        <f t="shared" si="0"/>
        <v>Shipment 1 PAR-550-22 Main</v>
      </c>
      <c r="D10" s="25" t="s">
        <v>570</v>
      </c>
      <c r="E10" s="25" t="s">
        <v>571</v>
      </c>
      <c r="F10" s="25"/>
      <c r="G10" s="65">
        <v>46393</v>
      </c>
      <c r="H10" s="25" t="s">
        <v>572</v>
      </c>
      <c r="I10" s="25" t="s">
        <v>576</v>
      </c>
      <c r="J10" s="26" t="s">
        <v>623</v>
      </c>
      <c r="K10" s="27" t="s">
        <v>80</v>
      </c>
      <c r="L10" s="28" t="s">
        <v>82</v>
      </c>
      <c r="M10" s="28" t="s">
        <v>71</v>
      </c>
      <c r="N10" s="25">
        <v>1</v>
      </c>
      <c r="O10" s="29">
        <v>61.637500000000003</v>
      </c>
      <c r="P10" s="29">
        <v>61.637500000000003</v>
      </c>
      <c r="Q10" s="25" t="s">
        <v>448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61.637500000000003</v>
      </c>
      <c r="AF10" s="32">
        <f t="shared" si="2"/>
        <v>0</v>
      </c>
      <c r="AG10" s="30"/>
      <c r="AH10" s="33">
        <v>1</v>
      </c>
      <c r="AI10" s="34">
        <f t="shared" si="3"/>
        <v>61.637500000000003</v>
      </c>
      <c r="AJ10" s="35">
        <v>46151</v>
      </c>
      <c r="AK10" s="30">
        <v>1</v>
      </c>
      <c r="AL10" s="36">
        <f t="shared" si="4"/>
        <v>61.637500000000003</v>
      </c>
      <c r="AM10" s="35">
        <v>46151</v>
      </c>
      <c r="AN10" s="30">
        <v>1</v>
      </c>
      <c r="AO10" s="36">
        <f t="shared" si="5"/>
        <v>61.637500000000003</v>
      </c>
      <c r="AP10" s="35"/>
      <c r="AQ10" s="30"/>
      <c r="AR10" s="36">
        <f t="shared" si="6"/>
        <v>0</v>
      </c>
      <c r="AS10" s="27" t="s">
        <v>573</v>
      </c>
      <c r="AT10" s="37">
        <v>46153</v>
      </c>
      <c r="AU10" s="30">
        <v>1</v>
      </c>
      <c r="AV10" s="36">
        <f t="shared" si="7"/>
        <v>61.637500000000003</v>
      </c>
      <c r="AW10" s="35">
        <v>46167</v>
      </c>
      <c r="AX10" s="30">
        <v>1</v>
      </c>
      <c r="AY10" s="32">
        <f t="shared" si="9"/>
        <v>61.637500000000003</v>
      </c>
      <c r="AZ10" s="30" t="s">
        <v>580</v>
      </c>
      <c r="BA10" s="63" t="s">
        <v>573</v>
      </c>
      <c r="BB10" s="71" t="e">
        <f>SUMIFS([1]Form!$F$8:$F$21,[1]Form!$J$8:$J$21,K10)</f>
        <v>#VALUE!</v>
      </c>
      <c r="BC10" s="71"/>
      <c r="BD10" s="71"/>
    </row>
    <row r="11" spans="1:60" hidden="1" x14ac:dyDescent="0.25">
      <c r="A11" s="24">
        <f>IF(B11="","",SUBTOTAL(3,$B$4:B11))</f>
        <v>0</v>
      </c>
      <c r="B11" s="25" t="s">
        <v>569</v>
      </c>
      <c r="C11" s="25" t="str">
        <f t="shared" si="0"/>
        <v>Shipment 1 PAR-550-22 Main</v>
      </c>
      <c r="D11" s="25" t="s">
        <v>570</v>
      </c>
      <c r="E11" s="25" t="s">
        <v>571</v>
      </c>
      <c r="F11" s="25"/>
      <c r="G11" s="65">
        <v>46393</v>
      </c>
      <c r="H11" s="25" t="s">
        <v>572</v>
      </c>
      <c r="I11" s="25" t="s">
        <v>576</v>
      </c>
      <c r="J11" s="26" t="s">
        <v>623</v>
      </c>
      <c r="K11" s="27" t="s">
        <v>80</v>
      </c>
      <c r="L11" s="28" t="s">
        <v>83</v>
      </c>
      <c r="M11" s="28" t="s">
        <v>71</v>
      </c>
      <c r="N11" s="25">
        <v>1</v>
      </c>
      <c r="O11" s="29">
        <v>61.637500000000003</v>
      </c>
      <c r="P11" s="29">
        <v>61.637500000000003</v>
      </c>
      <c r="Q11" s="25" t="s">
        <v>448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61.637500000000003</v>
      </c>
      <c r="AF11" s="32">
        <f t="shared" si="2"/>
        <v>0</v>
      </c>
      <c r="AG11" s="30"/>
      <c r="AH11" s="33">
        <v>1</v>
      </c>
      <c r="AI11" s="34">
        <f t="shared" si="3"/>
        <v>61.637500000000003</v>
      </c>
      <c r="AJ11" s="35">
        <v>46151</v>
      </c>
      <c r="AK11" s="30">
        <v>1</v>
      </c>
      <c r="AL11" s="36">
        <f t="shared" si="4"/>
        <v>61.637500000000003</v>
      </c>
      <c r="AM11" s="35">
        <v>46151</v>
      </c>
      <c r="AN11" s="30">
        <v>1</v>
      </c>
      <c r="AO11" s="36">
        <f t="shared" si="5"/>
        <v>61.637500000000003</v>
      </c>
      <c r="AP11" s="35"/>
      <c r="AQ11" s="30"/>
      <c r="AR11" s="36">
        <f t="shared" si="6"/>
        <v>0</v>
      </c>
      <c r="AS11" s="27" t="s">
        <v>573</v>
      </c>
      <c r="AT11" s="37">
        <v>46153</v>
      </c>
      <c r="AU11" s="30">
        <v>1</v>
      </c>
      <c r="AV11" s="36">
        <f t="shared" si="7"/>
        <v>61.637500000000003</v>
      </c>
      <c r="AW11" s="35">
        <v>46167</v>
      </c>
      <c r="AX11" s="30">
        <v>1</v>
      </c>
      <c r="AY11" s="32">
        <f t="shared" si="9"/>
        <v>61.637500000000003</v>
      </c>
      <c r="AZ11" s="30" t="s">
        <v>580</v>
      </c>
      <c r="BA11" s="63" t="s">
        <v>573</v>
      </c>
      <c r="BB11" s="71" t="e">
        <f>SUMIFS([1]Form!$F$8:$F$21,[1]Form!$J$8:$J$21,K11)</f>
        <v>#VALUE!</v>
      </c>
      <c r="BC11" s="71"/>
      <c r="BD11" s="71"/>
    </row>
    <row r="12" spans="1:60" hidden="1" x14ac:dyDescent="0.25">
      <c r="A12" s="24">
        <f>IF(B12="","",SUBTOTAL(3,$B$4:B12))</f>
        <v>0</v>
      </c>
      <c r="B12" s="25" t="s">
        <v>569</v>
      </c>
      <c r="C12" s="25" t="str">
        <f t="shared" si="0"/>
        <v>Shipment 1 PAR-550-22 Main</v>
      </c>
      <c r="D12" s="25" t="s">
        <v>570</v>
      </c>
      <c r="E12" s="25" t="s">
        <v>571</v>
      </c>
      <c r="F12" s="25"/>
      <c r="G12" s="65">
        <v>46393</v>
      </c>
      <c r="H12" s="25" t="s">
        <v>572</v>
      </c>
      <c r="I12" s="25" t="s">
        <v>576</v>
      </c>
      <c r="J12" s="26" t="s">
        <v>623</v>
      </c>
      <c r="K12" s="27" t="s">
        <v>80</v>
      </c>
      <c r="L12" s="28" t="s">
        <v>84</v>
      </c>
      <c r="M12" s="28" t="s">
        <v>71</v>
      </c>
      <c r="N12" s="25">
        <v>1</v>
      </c>
      <c r="O12" s="29">
        <v>61.637500000000003</v>
      </c>
      <c r="P12" s="29">
        <v>61.637500000000003</v>
      </c>
      <c r="Q12" s="25" t="s">
        <v>448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61.637500000000003</v>
      </c>
      <c r="AF12" s="32">
        <f t="shared" si="2"/>
        <v>0</v>
      </c>
      <c r="AG12" s="30"/>
      <c r="AH12" s="33">
        <v>1</v>
      </c>
      <c r="AI12" s="34">
        <f t="shared" si="3"/>
        <v>61.637500000000003</v>
      </c>
      <c r="AJ12" s="35">
        <v>46151</v>
      </c>
      <c r="AK12" s="30">
        <v>1</v>
      </c>
      <c r="AL12" s="36">
        <f t="shared" si="4"/>
        <v>61.637500000000003</v>
      </c>
      <c r="AM12" s="35">
        <v>46151</v>
      </c>
      <c r="AN12" s="30">
        <v>1</v>
      </c>
      <c r="AO12" s="36">
        <f t="shared" si="5"/>
        <v>61.637500000000003</v>
      </c>
      <c r="AP12" s="35"/>
      <c r="AQ12" s="30"/>
      <c r="AR12" s="36">
        <f t="shared" si="6"/>
        <v>0</v>
      </c>
      <c r="AS12" s="27" t="s">
        <v>573</v>
      </c>
      <c r="AT12" s="37">
        <v>46153</v>
      </c>
      <c r="AU12" s="30">
        <v>1</v>
      </c>
      <c r="AV12" s="36">
        <f t="shared" si="7"/>
        <v>61.637500000000003</v>
      </c>
      <c r="AW12" s="35">
        <v>46167</v>
      </c>
      <c r="AX12" s="30">
        <v>1</v>
      </c>
      <c r="AY12" s="32">
        <f t="shared" si="9"/>
        <v>61.637500000000003</v>
      </c>
      <c r="AZ12" s="30" t="s">
        <v>580</v>
      </c>
      <c r="BA12" s="63" t="s">
        <v>573</v>
      </c>
      <c r="BB12" s="71" t="e">
        <f>SUMIFS([1]Form!$F$8:$F$21,[1]Form!$J$8:$J$21,K12)</f>
        <v>#VALUE!</v>
      </c>
      <c r="BC12" s="71"/>
      <c r="BD12" s="71"/>
    </row>
    <row r="13" spans="1:60" hidden="1" x14ac:dyDescent="0.25">
      <c r="A13" s="24">
        <f>IF(B13="","",SUBTOTAL(3,$B$4:B13))</f>
        <v>0</v>
      </c>
      <c r="B13" s="25" t="s">
        <v>569</v>
      </c>
      <c r="C13" s="25" t="str">
        <f t="shared" ref="C13:C76" si="10">D13&amp;" "&amp;E13</f>
        <v>Shipment 1 PAR-550-22 Main</v>
      </c>
      <c r="D13" s="25" t="s">
        <v>570</v>
      </c>
      <c r="E13" s="25" t="s">
        <v>571</v>
      </c>
      <c r="F13" s="25"/>
      <c r="G13" s="65">
        <v>46393</v>
      </c>
      <c r="H13" s="25" t="s">
        <v>572</v>
      </c>
      <c r="I13" s="25" t="s">
        <v>576</v>
      </c>
      <c r="J13" s="26" t="s">
        <v>623</v>
      </c>
      <c r="K13" s="27" t="s">
        <v>80</v>
      </c>
      <c r="L13" s="28" t="s">
        <v>85</v>
      </c>
      <c r="M13" s="28" t="s">
        <v>71</v>
      </c>
      <c r="N13" s="25">
        <v>1</v>
      </c>
      <c r="O13" s="29">
        <v>61.637500000000003</v>
      </c>
      <c r="P13" s="29">
        <v>61.637500000000003</v>
      </c>
      <c r="Q13" s="25" t="s">
        <v>448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ref="AE13:AE76" si="11">+AL13*0.5+AO13*0.4+AV13*0.1</f>
        <v>61.637500000000003</v>
      </c>
      <c r="AF13" s="32">
        <f t="shared" ref="AF13:AF76" si="12">+P13-AE13</f>
        <v>0</v>
      </c>
      <c r="AG13" s="30"/>
      <c r="AH13" s="33">
        <v>1</v>
      </c>
      <c r="AI13" s="34">
        <f t="shared" ref="AI13:AI76" si="13">+AH13*P13</f>
        <v>61.637500000000003</v>
      </c>
      <c r="AJ13" s="35">
        <v>46151</v>
      </c>
      <c r="AK13" s="30">
        <v>1</v>
      </c>
      <c r="AL13" s="36">
        <f t="shared" ref="AL13:AL76" si="14">IFERROR(AK13*$P13/$N13,0)</f>
        <v>61.637500000000003</v>
      </c>
      <c r="AM13" s="35">
        <v>46151</v>
      </c>
      <c r="AN13" s="30">
        <v>1</v>
      </c>
      <c r="AO13" s="36">
        <f t="shared" ref="AO13:AO76" si="15">IFERROR(AN13*$P13/$N13,0)</f>
        <v>61.637500000000003</v>
      </c>
      <c r="AP13" s="35"/>
      <c r="AQ13" s="30"/>
      <c r="AR13" s="36">
        <f t="shared" ref="AR13:AR76" si="16">IFERROR(AQ13*$P13/$N13,0)</f>
        <v>0</v>
      </c>
      <c r="AS13" s="27" t="s">
        <v>573</v>
      </c>
      <c r="AT13" s="37">
        <v>46153</v>
      </c>
      <c r="AU13" s="30">
        <v>1</v>
      </c>
      <c r="AV13" s="36">
        <f t="shared" ref="AV13:AV76" si="17">IFERROR(AU13*$P13/$N13,0)</f>
        <v>61.637500000000003</v>
      </c>
      <c r="AW13" s="35">
        <v>46167</v>
      </c>
      <c r="AX13" s="30">
        <v>1</v>
      </c>
      <c r="AY13" s="32">
        <f t="shared" si="9"/>
        <v>61.637500000000003</v>
      </c>
      <c r="AZ13" s="30" t="s">
        <v>580</v>
      </c>
      <c r="BA13" s="63" t="s">
        <v>573</v>
      </c>
      <c r="BB13" s="71" t="e">
        <f>SUMIFS([1]Form!$F$8:$F$21,[1]Form!$J$8:$J$21,K13)</f>
        <v>#VALUE!</v>
      </c>
      <c r="BC13" s="71"/>
      <c r="BD13" s="71"/>
    </row>
    <row r="14" spans="1:60" hidden="1" x14ac:dyDescent="0.25">
      <c r="A14" s="24">
        <f>IF(B14="","",SUBTOTAL(3,$B$4:B14))</f>
        <v>0</v>
      </c>
      <c r="B14" s="25" t="s">
        <v>569</v>
      </c>
      <c r="C14" s="25" t="str">
        <f t="shared" si="10"/>
        <v>Shipment 1 PAR-550-22 Main</v>
      </c>
      <c r="D14" s="25" t="s">
        <v>570</v>
      </c>
      <c r="E14" s="25" t="s">
        <v>571</v>
      </c>
      <c r="F14" s="25"/>
      <c r="G14" s="65">
        <v>46393</v>
      </c>
      <c r="H14" s="25" t="s">
        <v>572</v>
      </c>
      <c r="I14" s="25" t="s">
        <v>576</v>
      </c>
      <c r="J14" s="26" t="s">
        <v>623</v>
      </c>
      <c r="K14" s="27" t="s">
        <v>80</v>
      </c>
      <c r="L14" s="28" t="s">
        <v>86</v>
      </c>
      <c r="M14" s="28" t="s">
        <v>71</v>
      </c>
      <c r="N14" s="25">
        <v>1</v>
      </c>
      <c r="O14" s="29">
        <v>61.637500000000003</v>
      </c>
      <c r="P14" s="29">
        <v>61.637500000000003</v>
      </c>
      <c r="Q14" s="25" t="s">
        <v>448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1"/>
        <v>61.637500000000003</v>
      </c>
      <c r="AF14" s="32">
        <f t="shared" si="12"/>
        <v>0</v>
      </c>
      <c r="AG14" s="30"/>
      <c r="AH14" s="33">
        <v>1</v>
      </c>
      <c r="AI14" s="34">
        <f t="shared" si="13"/>
        <v>61.637500000000003</v>
      </c>
      <c r="AJ14" s="35">
        <v>46151</v>
      </c>
      <c r="AK14" s="30">
        <v>1</v>
      </c>
      <c r="AL14" s="36">
        <f t="shared" si="14"/>
        <v>61.637500000000003</v>
      </c>
      <c r="AM14" s="35">
        <v>46151</v>
      </c>
      <c r="AN14" s="30">
        <v>1</v>
      </c>
      <c r="AO14" s="36">
        <f t="shared" si="15"/>
        <v>61.637500000000003</v>
      </c>
      <c r="AP14" s="35"/>
      <c r="AQ14" s="30"/>
      <c r="AR14" s="36">
        <f t="shared" si="16"/>
        <v>0</v>
      </c>
      <c r="AS14" s="27" t="s">
        <v>573</v>
      </c>
      <c r="AT14" s="37">
        <v>46153</v>
      </c>
      <c r="AU14" s="30">
        <v>1</v>
      </c>
      <c r="AV14" s="36">
        <f t="shared" si="17"/>
        <v>61.637500000000003</v>
      </c>
      <c r="AW14" s="35">
        <v>46167</v>
      </c>
      <c r="AX14" s="30">
        <v>1</v>
      </c>
      <c r="AY14" s="32">
        <f t="shared" si="9"/>
        <v>61.637500000000003</v>
      </c>
      <c r="AZ14" s="30" t="s">
        <v>580</v>
      </c>
      <c r="BA14" s="63" t="s">
        <v>573</v>
      </c>
      <c r="BB14" s="71" t="e">
        <f>SUMIFS([1]Form!$F$8:$F$21,[1]Form!$J$8:$J$21,K14)</f>
        <v>#VALUE!</v>
      </c>
      <c r="BC14" s="71"/>
      <c r="BD14" s="71"/>
    </row>
    <row r="15" spans="1:60" hidden="1" x14ac:dyDescent="0.25">
      <c r="A15" s="24">
        <f>IF(B15="","",SUBTOTAL(3,$B$4:B15))</f>
        <v>0</v>
      </c>
      <c r="B15" s="25" t="s">
        <v>569</v>
      </c>
      <c r="C15" s="25" t="str">
        <f t="shared" si="10"/>
        <v>Shipment 1 PAR-550-22 Main</v>
      </c>
      <c r="D15" s="25" t="s">
        <v>570</v>
      </c>
      <c r="E15" s="25" t="s">
        <v>571</v>
      </c>
      <c r="F15" s="25"/>
      <c r="G15" s="65">
        <v>46393</v>
      </c>
      <c r="H15" s="25" t="s">
        <v>572</v>
      </c>
      <c r="I15" s="25" t="s">
        <v>576</v>
      </c>
      <c r="J15" s="26" t="s">
        <v>623</v>
      </c>
      <c r="K15" s="27" t="s">
        <v>80</v>
      </c>
      <c r="L15" s="28" t="s">
        <v>87</v>
      </c>
      <c r="M15" s="28" t="s">
        <v>71</v>
      </c>
      <c r="N15" s="25">
        <v>1</v>
      </c>
      <c r="O15" s="29">
        <v>61.637500000000003</v>
      </c>
      <c r="P15" s="29">
        <v>61.637500000000003</v>
      </c>
      <c r="Q15" s="25" t="s">
        <v>448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1"/>
        <v>61.637500000000003</v>
      </c>
      <c r="AF15" s="32">
        <f t="shared" si="12"/>
        <v>0</v>
      </c>
      <c r="AG15" s="30"/>
      <c r="AH15" s="33">
        <v>1</v>
      </c>
      <c r="AI15" s="34">
        <f t="shared" si="13"/>
        <v>61.637500000000003</v>
      </c>
      <c r="AJ15" s="35">
        <v>46151</v>
      </c>
      <c r="AK15" s="30">
        <v>1</v>
      </c>
      <c r="AL15" s="36">
        <f t="shared" si="14"/>
        <v>61.637500000000003</v>
      </c>
      <c r="AM15" s="35">
        <v>46151</v>
      </c>
      <c r="AN15" s="30">
        <v>1</v>
      </c>
      <c r="AO15" s="36">
        <f t="shared" si="15"/>
        <v>61.637500000000003</v>
      </c>
      <c r="AP15" s="35"/>
      <c r="AQ15" s="30"/>
      <c r="AR15" s="36">
        <f t="shared" si="16"/>
        <v>0</v>
      </c>
      <c r="AS15" s="27" t="s">
        <v>573</v>
      </c>
      <c r="AT15" s="37">
        <v>46153</v>
      </c>
      <c r="AU15" s="30">
        <v>1</v>
      </c>
      <c r="AV15" s="36">
        <f t="shared" si="17"/>
        <v>61.637500000000003</v>
      </c>
      <c r="AW15" s="35">
        <v>46167</v>
      </c>
      <c r="AX15" s="30">
        <v>1</v>
      </c>
      <c r="AY15" s="32">
        <f t="shared" si="9"/>
        <v>61.637500000000003</v>
      </c>
      <c r="AZ15" s="30" t="s">
        <v>580</v>
      </c>
      <c r="BA15" s="63" t="s">
        <v>573</v>
      </c>
      <c r="BB15" s="71" t="e">
        <f>SUMIFS([1]Form!$F$8:$F$21,[1]Form!$J$8:$J$21,K15)</f>
        <v>#VALUE!</v>
      </c>
      <c r="BC15" s="71"/>
      <c r="BD15" s="71"/>
    </row>
    <row r="16" spans="1:60" hidden="1" x14ac:dyDescent="0.25">
      <c r="A16" s="24">
        <f>IF(B16="","",SUBTOTAL(3,$B$4:B16))</f>
        <v>0</v>
      </c>
      <c r="B16" s="25" t="s">
        <v>569</v>
      </c>
      <c r="C16" s="25" t="str">
        <f t="shared" si="10"/>
        <v>Shipment 1 PAR-550-22 Main</v>
      </c>
      <c r="D16" s="25" t="s">
        <v>570</v>
      </c>
      <c r="E16" s="25" t="s">
        <v>571</v>
      </c>
      <c r="F16" s="25"/>
      <c r="G16" s="65">
        <v>46393</v>
      </c>
      <c r="H16" s="25" t="s">
        <v>572</v>
      </c>
      <c r="I16" s="25" t="s">
        <v>576</v>
      </c>
      <c r="J16" s="26" t="s">
        <v>623</v>
      </c>
      <c r="K16" s="27" t="s">
        <v>80</v>
      </c>
      <c r="L16" s="28" t="s">
        <v>88</v>
      </c>
      <c r="M16" s="28" t="s">
        <v>71</v>
      </c>
      <c r="N16" s="25">
        <v>1</v>
      </c>
      <c r="O16" s="29">
        <v>61.637500000000003</v>
      </c>
      <c r="P16" s="29">
        <v>61.637500000000003</v>
      </c>
      <c r="Q16" s="25" t="s">
        <v>448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1"/>
        <v>61.637500000000003</v>
      </c>
      <c r="AF16" s="32">
        <f t="shared" si="12"/>
        <v>0</v>
      </c>
      <c r="AG16" s="30"/>
      <c r="AH16" s="33">
        <v>1</v>
      </c>
      <c r="AI16" s="34">
        <f t="shared" si="13"/>
        <v>61.637500000000003</v>
      </c>
      <c r="AJ16" s="35">
        <v>46151</v>
      </c>
      <c r="AK16" s="30">
        <v>1</v>
      </c>
      <c r="AL16" s="36">
        <f t="shared" si="14"/>
        <v>61.637500000000003</v>
      </c>
      <c r="AM16" s="35">
        <v>46151</v>
      </c>
      <c r="AN16" s="30">
        <v>1</v>
      </c>
      <c r="AO16" s="36">
        <f t="shared" si="15"/>
        <v>61.637500000000003</v>
      </c>
      <c r="AP16" s="35"/>
      <c r="AQ16" s="30"/>
      <c r="AR16" s="36">
        <f t="shared" si="16"/>
        <v>0</v>
      </c>
      <c r="AS16" s="27" t="s">
        <v>573</v>
      </c>
      <c r="AT16" s="37">
        <v>46153</v>
      </c>
      <c r="AU16" s="30">
        <v>1</v>
      </c>
      <c r="AV16" s="36">
        <f t="shared" si="17"/>
        <v>61.637500000000003</v>
      </c>
      <c r="AW16" s="35">
        <v>46167</v>
      </c>
      <c r="AX16" s="30">
        <v>1</v>
      </c>
      <c r="AY16" s="32">
        <f t="shared" si="9"/>
        <v>61.637500000000003</v>
      </c>
      <c r="AZ16" s="30" t="s">
        <v>580</v>
      </c>
      <c r="BA16" s="63" t="s">
        <v>573</v>
      </c>
      <c r="BB16" s="71" t="e">
        <f>SUMIFS([1]Form!$F$8:$F$21,[1]Form!$J$8:$J$21,K16)</f>
        <v>#VALUE!</v>
      </c>
      <c r="BC16" s="71"/>
      <c r="BD16" s="71"/>
    </row>
    <row r="17" spans="1:56" hidden="1" x14ac:dyDescent="0.25">
      <c r="A17" s="24">
        <f>IF(B17="","",SUBTOTAL(3,$B$4:B17))</f>
        <v>0</v>
      </c>
      <c r="B17" s="25" t="s">
        <v>569</v>
      </c>
      <c r="C17" s="25" t="str">
        <f t="shared" si="10"/>
        <v>Shipment 1 PAR-550-22 Main</v>
      </c>
      <c r="D17" s="25" t="s">
        <v>570</v>
      </c>
      <c r="E17" s="25" t="s">
        <v>571</v>
      </c>
      <c r="F17" s="25"/>
      <c r="G17" s="65">
        <v>46393</v>
      </c>
      <c r="H17" s="25" t="s">
        <v>572</v>
      </c>
      <c r="I17" s="25" t="s">
        <v>575</v>
      </c>
      <c r="J17" s="26" t="s">
        <v>622</v>
      </c>
      <c r="K17" s="27" t="s">
        <v>89</v>
      </c>
      <c r="L17" s="28" t="s">
        <v>90</v>
      </c>
      <c r="M17" s="28" t="s">
        <v>71</v>
      </c>
      <c r="N17" s="25">
        <v>1</v>
      </c>
      <c r="O17" s="29">
        <v>420.4</v>
      </c>
      <c r="P17" s="29">
        <v>420.4</v>
      </c>
      <c r="Q17" s="25" t="s">
        <v>449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1"/>
        <v>420.40000000000003</v>
      </c>
      <c r="AF17" s="32">
        <f t="shared" si="12"/>
        <v>0</v>
      </c>
      <c r="AG17" s="30"/>
      <c r="AH17" s="33">
        <v>1</v>
      </c>
      <c r="AI17" s="34">
        <f t="shared" si="13"/>
        <v>420.4</v>
      </c>
      <c r="AJ17" s="35">
        <v>46156</v>
      </c>
      <c r="AK17" s="30">
        <v>1</v>
      </c>
      <c r="AL17" s="36">
        <f t="shared" si="14"/>
        <v>420.4</v>
      </c>
      <c r="AM17" s="35">
        <v>46162</v>
      </c>
      <c r="AN17" s="30">
        <v>1</v>
      </c>
      <c r="AO17" s="36">
        <f t="shared" si="15"/>
        <v>420.4</v>
      </c>
      <c r="AP17" s="35"/>
      <c r="AQ17" s="30"/>
      <c r="AR17" s="36">
        <f t="shared" si="16"/>
        <v>0</v>
      </c>
      <c r="AS17" s="27" t="s">
        <v>613</v>
      </c>
      <c r="AT17" s="37">
        <v>46176</v>
      </c>
      <c r="AU17" s="30">
        <v>1</v>
      </c>
      <c r="AV17" s="36">
        <f t="shared" si="17"/>
        <v>420.4</v>
      </c>
      <c r="AW17" s="35">
        <v>46180</v>
      </c>
      <c r="AX17" s="30">
        <v>1</v>
      </c>
      <c r="AY17" s="32">
        <f>IFERROR(AX17*$P17/$N17,0)</f>
        <v>420.4</v>
      </c>
      <c r="AZ17" s="30" t="s">
        <v>611</v>
      </c>
      <c r="BA17" s="63" t="s">
        <v>610</v>
      </c>
      <c r="BB17" s="71" t="e">
        <f>SUMIFS([1]Form!$F$8:$F$21,[1]Form!$J$8:$J$21,K17)</f>
        <v>#VALUE!</v>
      </c>
      <c r="BC17" s="71"/>
      <c r="BD17" s="71"/>
    </row>
    <row r="18" spans="1:56" hidden="1" x14ac:dyDescent="0.25">
      <c r="A18" s="24">
        <f>IF(B18="","",SUBTOTAL(3,$B$4:B18))</f>
        <v>0</v>
      </c>
      <c r="B18" s="25" t="s">
        <v>569</v>
      </c>
      <c r="C18" s="25" t="str">
        <f t="shared" si="10"/>
        <v>Shipment 1 PAR-550-22 Main</v>
      </c>
      <c r="D18" s="25" t="s">
        <v>570</v>
      </c>
      <c r="E18" s="25" t="s">
        <v>571</v>
      </c>
      <c r="F18" s="25"/>
      <c r="G18" s="65">
        <v>46393</v>
      </c>
      <c r="H18" s="25" t="s">
        <v>572</v>
      </c>
      <c r="I18" s="25" t="s">
        <v>575</v>
      </c>
      <c r="J18" s="26" t="s">
        <v>623</v>
      </c>
      <c r="K18" s="27" t="s">
        <v>91</v>
      </c>
      <c r="L18" s="28" t="s">
        <v>92</v>
      </c>
      <c r="M18" s="28" t="s">
        <v>71</v>
      </c>
      <c r="N18" s="25">
        <v>1</v>
      </c>
      <c r="O18" s="29">
        <v>123.10000000000001</v>
      </c>
      <c r="P18" s="29">
        <v>123.10000000000001</v>
      </c>
      <c r="Q18" s="25" t="s">
        <v>450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1"/>
        <v>123.10000000000002</v>
      </c>
      <c r="AF18" s="32">
        <f t="shared" si="12"/>
        <v>0</v>
      </c>
      <c r="AG18" s="30"/>
      <c r="AH18" s="33">
        <v>1</v>
      </c>
      <c r="AI18" s="34">
        <f t="shared" si="13"/>
        <v>123.10000000000001</v>
      </c>
      <c r="AJ18" s="35">
        <v>46151</v>
      </c>
      <c r="AK18" s="30">
        <v>1</v>
      </c>
      <c r="AL18" s="36">
        <f t="shared" si="14"/>
        <v>123.10000000000001</v>
      </c>
      <c r="AM18" s="35">
        <v>46158</v>
      </c>
      <c r="AN18" s="30">
        <v>1</v>
      </c>
      <c r="AO18" s="36">
        <f t="shared" si="15"/>
        <v>123.10000000000001</v>
      </c>
      <c r="AP18" s="35"/>
      <c r="AQ18" s="30"/>
      <c r="AR18" s="36">
        <f t="shared" si="16"/>
        <v>0</v>
      </c>
      <c r="AS18" s="27" t="s">
        <v>579</v>
      </c>
      <c r="AT18" s="37">
        <v>46161</v>
      </c>
      <c r="AU18" s="30">
        <v>1</v>
      </c>
      <c r="AV18" s="36">
        <f t="shared" si="17"/>
        <v>123.10000000000001</v>
      </c>
      <c r="AW18" s="35">
        <v>46167</v>
      </c>
      <c r="AX18" s="30">
        <v>1</v>
      </c>
      <c r="AY18" s="32">
        <f t="shared" ref="AY18:AY51" si="18">IFERROR(AX18*$P18/$N18,0)</f>
        <v>123.10000000000001</v>
      </c>
      <c r="AZ18" s="30" t="s">
        <v>580</v>
      </c>
      <c r="BA18" s="63" t="s">
        <v>586</v>
      </c>
      <c r="BB18" s="71" t="e">
        <f>SUMIFS([1]Form!$F$8:$F$21,[1]Form!$J$8:$J$21,K18)</f>
        <v>#VALUE!</v>
      </c>
      <c r="BC18" s="71"/>
      <c r="BD18" s="71"/>
    </row>
    <row r="19" spans="1:56" hidden="1" x14ac:dyDescent="0.25">
      <c r="A19" s="24">
        <f>IF(B19="","",SUBTOTAL(3,$B$4:B19))</f>
        <v>0</v>
      </c>
      <c r="B19" s="25" t="s">
        <v>569</v>
      </c>
      <c r="C19" s="25" t="str">
        <f t="shared" si="10"/>
        <v>Shipment 1 PAR-550-22 Main</v>
      </c>
      <c r="D19" s="25" t="s">
        <v>570</v>
      </c>
      <c r="E19" s="25" t="s">
        <v>571</v>
      </c>
      <c r="F19" s="25"/>
      <c r="G19" s="65">
        <v>46393</v>
      </c>
      <c r="H19" s="25" t="s">
        <v>572</v>
      </c>
      <c r="I19" s="25" t="s">
        <v>575</v>
      </c>
      <c r="J19" s="26" t="s">
        <v>622</v>
      </c>
      <c r="K19" s="27" t="s">
        <v>93</v>
      </c>
      <c r="L19" s="28" t="s">
        <v>94</v>
      </c>
      <c r="M19" s="28" t="s">
        <v>71</v>
      </c>
      <c r="N19" s="25">
        <v>1</v>
      </c>
      <c r="O19" s="29">
        <v>284.60000000000002</v>
      </c>
      <c r="P19" s="29">
        <v>284.60000000000002</v>
      </c>
      <c r="Q19" s="25" t="s">
        <v>451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1"/>
        <v>284.60000000000002</v>
      </c>
      <c r="AF19" s="32">
        <f t="shared" si="12"/>
        <v>0</v>
      </c>
      <c r="AG19" s="30"/>
      <c r="AH19" s="33">
        <v>1</v>
      </c>
      <c r="AI19" s="34">
        <f t="shared" si="13"/>
        <v>284.60000000000002</v>
      </c>
      <c r="AJ19" s="35">
        <v>46156</v>
      </c>
      <c r="AK19" s="30">
        <v>1</v>
      </c>
      <c r="AL19" s="36">
        <f t="shared" si="14"/>
        <v>284.60000000000002</v>
      </c>
      <c r="AM19" s="35">
        <v>46162</v>
      </c>
      <c r="AN19" s="30">
        <v>1</v>
      </c>
      <c r="AO19" s="36">
        <f t="shared" si="15"/>
        <v>284.60000000000002</v>
      </c>
      <c r="AP19" s="35"/>
      <c r="AQ19" s="30"/>
      <c r="AR19" s="36">
        <f t="shared" si="16"/>
        <v>0</v>
      </c>
      <c r="AS19" s="27" t="s">
        <v>613</v>
      </c>
      <c r="AT19" s="37">
        <v>46176</v>
      </c>
      <c r="AU19" s="30">
        <v>1</v>
      </c>
      <c r="AV19" s="36">
        <f t="shared" si="17"/>
        <v>284.60000000000002</v>
      </c>
      <c r="AW19" s="35">
        <v>46180</v>
      </c>
      <c r="AX19" s="30">
        <v>1</v>
      </c>
      <c r="AY19" s="32">
        <f>IFERROR(AX19*$P19/$N19,0)</f>
        <v>284.60000000000002</v>
      </c>
      <c r="AZ19" s="30" t="s">
        <v>611</v>
      </c>
      <c r="BA19" s="63" t="s">
        <v>610</v>
      </c>
      <c r="BB19" s="71" t="e">
        <f>SUMIFS([1]Form!$F$8:$F$21,[1]Form!$J$8:$J$21,K19)</f>
        <v>#VALUE!</v>
      </c>
      <c r="BC19" s="71"/>
      <c r="BD19" s="71"/>
    </row>
    <row r="20" spans="1:56" hidden="1" x14ac:dyDescent="0.25">
      <c r="A20" s="24">
        <f>IF(B20="","",SUBTOTAL(3,$B$4:B20))</f>
        <v>0</v>
      </c>
      <c r="B20" s="25" t="s">
        <v>569</v>
      </c>
      <c r="C20" s="25" t="str">
        <f t="shared" si="10"/>
        <v>Shipment 1 PAR-550-22 Main</v>
      </c>
      <c r="D20" s="25" t="s">
        <v>570</v>
      </c>
      <c r="E20" s="25" t="s">
        <v>571</v>
      </c>
      <c r="F20" s="25"/>
      <c r="G20" s="65">
        <v>46393</v>
      </c>
      <c r="H20" s="25" t="s">
        <v>572</v>
      </c>
      <c r="I20" s="25" t="s">
        <v>575</v>
      </c>
      <c r="J20" s="26" t="s">
        <v>623</v>
      </c>
      <c r="K20" s="27" t="s">
        <v>95</v>
      </c>
      <c r="L20" s="28" t="s">
        <v>96</v>
      </c>
      <c r="M20" s="28" t="s">
        <v>71</v>
      </c>
      <c r="N20" s="25">
        <v>1</v>
      </c>
      <c r="O20" s="29">
        <v>568.79999999999995</v>
      </c>
      <c r="P20" s="29">
        <v>568.79999999999995</v>
      </c>
      <c r="Q20" s="25" t="s">
        <v>452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1"/>
        <v>568.79999999999995</v>
      </c>
      <c r="AF20" s="32">
        <f t="shared" si="12"/>
        <v>0</v>
      </c>
      <c r="AG20" s="30"/>
      <c r="AH20" s="33">
        <v>1</v>
      </c>
      <c r="AI20" s="34">
        <f t="shared" si="13"/>
        <v>568.79999999999995</v>
      </c>
      <c r="AJ20" s="35">
        <v>46156</v>
      </c>
      <c r="AK20" s="30">
        <v>1</v>
      </c>
      <c r="AL20" s="36">
        <f t="shared" si="14"/>
        <v>568.79999999999995</v>
      </c>
      <c r="AM20" s="35">
        <v>46161</v>
      </c>
      <c r="AN20" s="30">
        <v>1</v>
      </c>
      <c r="AO20" s="36">
        <f t="shared" si="15"/>
        <v>568.79999999999995</v>
      </c>
      <c r="AP20" s="35"/>
      <c r="AQ20" s="30"/>
      <c r="AR20" s="36">
        <f t="shared" si="16"/>
        <v>0</v>
      </c>
      <c r="AS20" s="27" t="s">
        <v>579</v>
      </c>
      <c r="AT20" s="37">
        <v>46161</v>
      </c>
      <c r="AU20" s="30">
        <v>1</v>
      </c>
      <c r="AV20" s="36">
        <f t="shared" si="17"/>
        <v>568.79999999999995</v>
      </c>
      <c r="AW20" s="35">
        <v>46167</v>
      </c>
      <c r="AX20" s="30">
        <v>1</v>
      </c>
      <c r="AY20" s="32">
        <f t="shared" ref="AY20:AY23" si="19">IFERROR(AX20*$P20/$N20,0)</f>
        <v>568.79999999999995</v>
      </c>
      <c r="AZ20" s="30" t="s">
        <v>580</v>
      </c>
      <c r="BA20" s="63" t="s">
        <v>586</v>
      </c>
      <c r="BB20" s="71" t="e">
        <f>SUMIFS([1]Form!$F$8:$F$21,[1]Form!$J$8:$J$21,K20)</f>
        <v>#VALUE!</v>
      </c>
      <c r="BC20" s="71"/>
      <c r="BD20" s="71"/>
    </row>
    <row r="21" spans="1:56" hidden="1" x14ac:dyDescent="0.25">
      <c r="A21" s="24">
        <f>IF(B21="","",SUBTOTAL(3,$B$4:B21))</f>
        <v>0</v>
      </c>
      <c r="B21" s="25" t="s">
        <v>569</v>
      </c>
      <c r="C21" s="25" t="str">
        <f t="shared" si="10"/>
        <v>Shipment 1 PAR-550-22 Main</v>
      </c>
      <c r="D21" s="25" t="s">
        <v>570</v>
      </c>
      <c r="E21" s="25" t="s">
        <v>571</v>
      </c>
      <c r="F21" s="25"/>
      <c r="G21" s="65">
        <v>46393</v>
      </c>
      <c r="H21" s="25" t="s">
        <v>572</v>
      </c>
      <c r="I21" s="25" t="s">
        <v>575</v>
      </c>
      <c r="J21" s="26" t="s">
        <v>623</v>
      </c>
      <c r="K21" s="27" t="s">
        <v>97</v>
      </c>
      <c r="L21" s="28" t="s">
        <v>98</v>
      </c>
      <c r="M21" s="28" t="s">
        <v>71</v>
      </c>
      <c r="N21" s="25">
        <v>1</v>
      </c>
      <c r="O21" s="29">
        <v>252.4</v>
      </c>
      <c r="P21" s="29">
        <v>252.4</v>
      </c>
      <c r="Q21" s="25" t="s">
        <v>453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1"/>
        <v>252.40000000000003</v>
      </c>
      <c r="AF21" s="32">
        <f t="shared" si="12"/>
        <v>0</v>
      </c>
      <c r="AG21" s="30"/>
      <c r="AH21" s="33">
        <v>1</v>
      </c>
      <c r="AI21" s="34">
        <f t="shared" si="13"/>
        <v>252.4</v>
      </c>
      <c r="AJ21" s="35">
        <v>46149</v>
      </c>
      <c r="AK21" s="30">
        <v>1</v>
      </c>
      <c r="AL21" s="36">
        <f t="shared" si="14"/>
        <v>252.4</v>
      </c>
      <c r="AM21" s="35">
        <v>46153</v>
      </c>
      <c r="AN21" s="30">
        <v>1</v>
      </c>
      <c r="AO21" s="36">
        <f t="shared" si="15"/>
        <v>252.4</v>
      </c>
      <c r="AP21" s="35"/>
      <c r="AQ21" s="30"/>
      <c r="AR21" s="36">
        <f t="shared" si="16"/>
        <v>0</v>
      </c>
      <c r="AS21" s="27" t="s">
        <v>573</v>
      </c>
      <c r="AT21" s="37">
        <v>46153</v>
      </c>
      <c r="AU21" s="30">
        <v>1</v>
      </c>
      <c r="AV21" s="36">
        <f t="shared" si="17"/>
        <v>252.4</v>
      </c>
      <c r="AW21" s="35">
        <v>46167</v>
      </c>
      <c r="AX21" s="30">
        <v>1</v>
      </c>
      <c r="AY21" s="32">
        <f t="shared" si="19"/>
        <v>252.4</v>
      </c>
      <c r="AZ21" s="30" t="s">
        <v>580</v>
      </c>
      <c r="BA21" s="63" t="s">
        <v>573</v>
      </c>
      <c r="BB21" s="71" t="e">
        <f>SUMIFS([1]Form!$F$8:$F$21,[1]Form!$J$8:$J$21,K21)</f>
        <v>#VALUE!</v>
      </c>
      <c r="BC21" s="71"/>
      <c r="BD21" s="71"/>
    </row>
    <row r="22" spans="1:56" hidden="1" x14ac:dyDescent="0.25">
      <c r="A22" s="24">
        <f>IF(B22="","",SUBTOTAL(3,$B$4:B22))</f>
        <v>0</v>
      </c>
      <c r="B22" s="25" t="s">
        <v>569</v>
      </c>
      <c r="C22" s="25" t="str">
        <f t="shared" si="10"/>
        <v>Shipment 1 PAR-550-22 Main</v>
      </c>
      <c r="D22" s="25" t="s">
        <v>570</v>
      </c>
      <c r="E22" s="25" t="s">
        <v>571</v>
      </c>
      <c r="F22" s="25"/>
      <c r="G22" s="65">
        <v>46393</v>
      </c>
      <c r="H22" s="25" t="s">
        <v>572</v>
      </c>
      <c r="I22" s="25" t="s">
        <v>576</v>
      </c>
      <c r="J22" s="26" t="s">
        <v>623</v>
      </c>
      <c r="K22" s="27" t="s">
        <v>99</v>
      </c>
      <c r="L22" s="28" t="s">
        <v>100</v>
      </c>
      <c r="M22" s="28" t="s">
        <v>71</v>
      </c>
      <c r="N22" s="25">
        <v>1</v>
      </c>
      <c r="O22" s="29">
        <v>60.95</v>
      </c>
      <c r="P22" s="29">
        <v>60.95</v>
      </c>
      <c r="Q22" s="25" t="s">
        <v>454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1"/>
        <v>60.95</v>
      </c>
      <c r="AF22" s="32">
        <f t="shared" si="12"/>
        <v>0</v>
      </c>
      <c r="AG22" s="30"/>
      <c r="AH22" s="33">
        <v>1</v>
      </c>
      <c r="AI22" s="34">
        <f t="shared" si="13"/>
        <v>60.95</v>
      </c>
      <c r="AJ22" s="35">
        <v>46151</v>
      </c>
      <c r="AK22" s="30">
        <v>1</v>
      </c>
      <c r="AL22" s="36">
        <f t="shared" si="14"/>
        <v>60.95</v>
      </c>
      <c r="AM22" s="35">
        <v>46153</v>
      </c>
      <c r="AN22" s="30">
        <v>1</v>
      </c>
      <c r="AO22" s="36">
        <f t="shared" si="15"/>
        <v>60.95</v>
      </c>
      <c r="AP22" s="35"/>
      <c r="AQ22" s="30"/>
      <c r="AR22" s="36">
        <f t="shared" si="16"/>
        <v>0</v>
      </c>
      <c r="AS22" s="27" t="s">
        <v>573</v>
      </c>
      <c r="AT22" s="37">
        <v>46153</v>
      </c>
      <c r="AU22" s="30">
        <v>1</v>
      </c>
      <c r="AV22" s="36">
        <f t="shared" si="17"/>
        <v>60.95</v>
      </c>
      <c r="AW22" s="35">
        <v>46167</v>
      </c>
      <c r="AX22" s="30">
        <v>1</v>
      </c>
      <c r="AY22" s="32">
        <f t="shared" si="19"/>
        <v>60.95</v>
      </c>
      <c r="AZ22" s="30" t="s">
        <v>580</v>
      </c>
      <c r="BA22" s="63" t="s">
        <v>573</v>
      </c>
      <c r="BB22" s="71" t="e">
        <f>SUMIFS([1]Form!$F$8:$F$21,[1]Form!$J$8:$J$21,K22)</f>
        <v>#VALUE!</v>
      </c>
      <c r="BC22" s="71"/>
      <c r="BD22" s="71"/>
    </row>
    <row r="23" spans="1:56" hidden="1" x14ac:dyDescent="0.25">
      <c r="A23" s="24">
        <f>IF(B23="","",SUBTOTAL(3,$B$4:B23))</f>
        <v>0</v>
      </c>
      <c r="B23" s="25" t="s">
        <v>569</v>
      </c>
      <c r="C23" s="25" t="str">
        <f t="shared" si="10"/>
        <v>Shipment 1 PAR-550-22 Main</v>
      </c>
      <c r="D23" s="25" t="s">
        <v>570</v>
      </c>
      <c r="E23" s="25" t="s">
        <v>571</v>
      </c>
      <c r="F23" s="25"/>
      <c r="G23" s="65">
        <v>46393</v>
      </c>
      <c r="H23" s="25" t="s">
        <v>572</v>
      </c>
      <c r="I23" s="25" t="s">
        <v>576</v>
      </c>
      <c r="J23" s="26" t="s">
        <v>623</v>
      </c>
      <c r="K23" s="27" t="s">
        <v>99</v>
      </c>
      <c r="L23" s="28" t="s">
        <v>101</v>
      </c>
      <c r="M23" s="28" t="s">
        <v>71</v>
      </c>
      <c r="N23" s="25">
        <v>1</v>
      </c>
      <c r="O23" s="29">
        <v>60.95</v>
      </c>
      <c r="P23" s="29">
        <v>60.95</v>
      </c>
      <c r="Q23" s="25" t="s">
        <v>454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1"/>
        <v>60.95</v>
      </c>
      <c r="AF23" s="32">
        <f t="shared" si="12"/>
        <v>0</v>
      </c>
      <c r="AG23" s="30"/>
      <c r="AH23" s="33">
        <v>1</v>
      </c>
      <c r="AI23" s="34">
        <f t="shared" si="13"/>
        <v>60.95</v>
      </c>
      <c r="AJ23" s="35">
        <v>46151</v>
      </c>
      <c r="AK23" s="30">
        <v>1</v>
      </c>
      <c r="AL23" s="36">
        <f t="shared" si="14"/>
        <v>60.95</v>
      </c>
      <c r="AM23" s="35">
        <v>46153</v>
      </c>
      <c r="AN23" s="30">
        <v>1</v>
      </c>
      <c r="AO23" s="36">
        <f t="shared" si="15"/>
        <v>60.95</v>
      </c>
      <c r="AP23" s="35"/>
      <c r="AQ23" s="30"/>
      <c r="AR23" s="36">
        <f t="shared" si="16"/>
        <v>0</v>
      </c>
      <c r="AS23" s="27" t="s">
        <v>573</v>
      </c>
      <c r="AT23" s="37">
        <v>46153</v>
      </c>
      <c r="AU23" s="30">
        <v>1</v>
      </c>
      <c r="AV23" s="36">
        <f t="shared" si="17"/>
        <v>60.95</v>
      </c>
      <c r="AW23" s="35">
        <v>46167</v>
      </c>
      <c r="AX23" s="30">
        <v>1</v>
      </c>
      <c r="AY23" s="32">
        <f t="shared" si="19"/>
        <v>60.95</v>
      </c>
      <c r="AZ23" s="30" t="s">
        <v>580</v>
      </c>
      <c r="BA23" s="63" t="s">
        <v>573</v>
      </c>
      <c r="BB23" s="71" t="e">
        <f>SUMIFS([1]Form!$F$8:$F$21,[1]Form!$J$8:$J$21,K23)</f>
        <v>#VALUE!</v>
      </c>
      <c r="BC23" s="71"/>
      <c r="BD23" s="71"/>
    </row>
    <row r="24" spans="1:56" hidden="1" x14ac:dyDescent="0.25">
      <c r="A24" s="24">
        <f>IF(B24="","",SUBTOTAL(3,$B$4:B24))</f>
        <v>0</v>
      </c>
      <c r="B24" s="25" t="s">
        <v>569</v>
      </c>
      <c r="C24" s="25" t="str">
        <f t="shared" si="10"/>
        <v>Shipment 1 PAR-550-22 Main</v>
      </c>
      <c r="D24" s="25" t="s">
        <v>570</v>
      </c>
      <c r="E24" s="25" t="s">
        <v>571</v>
      </c>
      <c r="F24" s="25"/>
      <c r="G24" s="65">
        <v>46393</v>
      </c>
      <c r="H24" s="25" t="s">
        <v>572</v>
      </c>
      <c r="I24" s="25" t="s">
        <v>576</v>
      </c>
      <c r="J24" s="26" t="s">
        <v>623</v>
      </c>
      <c r="K24" s="27" t="s">
        <v>102</v>
      </c>
      <c r="L24" s="28" t="s">
        <v>103</v>
      </c>
      <c r="M24" s="28" t="s">
        <v>71</v>
      </c>
      <c r="N24" s="25">
        <v>1</v>
      </c>
      <c r="O24" s="29">
        <v>63.85</v>
      </c>
      <c r="P24" s="29">
        <v>63.85</v>
      </c>
      <c r="Q24" s="25" t="s">
        <v>455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1"/>
        <v>63.85</v>
      </c>
      <c r="AF24" s="32">
        <f t="shared" si="12"/>
        <v>0</v>
      </c>
      <c r="AG24" s="30"/>
      <c r="AH24" s="33">
        <v>1</v>
      </c>
      <c r="AI24" s="34">
        <f t="shared" si="13"/>
        <v>63.85</v>
      </c>
      <c r="AJ24" s="35">
        <v>46156</v>
      </c>
      <c r="AK24" s="30">
        <v>1</v>
      </c>
      <c r="AL24" s="36">
        <f t="shared" si="14"/>
        <v>63.85</v>
      </c>
      <c r="AM24" s="35">
        <v>46162</v>
      </c>
      <c r="AN24" s="30">
        <v>1</v>
      </c>
      <c r="AO24" s="36">
        <f t="shared" si="15"/>
        <v>63.85</v>
      </c>
      <c r="AP24" s="35"/>
      <c r="AQ24" s="30"/>
      <c r="AR24" s="36">
        <f t="shared" si="16"/>
        <v>0</v>
      </c>
      <c r="AS24" s="27" t="s">
        <v>582</v>
      </c>
      <c r="AT24" s="37">
        <v>46164</v>
      </c>
      <c r="AU24" s="30">
        <v>1</v>
      </c>
      <c r="AV24" s="36">
        <f t="shared" si="17"/>
        <v>63.85</v>
      </c>
      <c r="AW24" s="35">
        <v>46167</v>
      </c>
      <c r="AX24" s="30">
        <v>1</v>
      </c>
      <c r="AY24" s="32">
        <f t="shared" si="18"/>
        <v>63.85</v>
      </c>
      <c r="AZ24" s="30" t="s">
        <v>580</v>
      </c>
      <c r="BA24" s="63" t="s">
        <v>581</v>
      </c>
      <c r="BB24" s="71" t="e">
        <f>SUMIFS([1]Form!$F$8:$F$21,[1]Form!$J$8:$J$21,K24)</f>
        <v>#VALUE!</v>
      </c>
      <c r="BC24" s="71"/>
      <c r="BD24" s="71"/>
    </row>
    <row r="25" spans="1:56" hidden="1" x14ac:dyDescent="0.25">
      <c r="A25" s="24">
        <f>IF(B25="","",SUBTOTAL(3,$B$4:B25))</f>
        <v>0</v>
      </c>
      <c r="B25" s="25" t="s">
        <v>569</v>
      </c>
      <c r="C25" s="25" t="str">
        <f t="shared" si="10"/>
        <v>Shipment 1 PAR-550-22 Main</v>
      </c>
      <c r="D25" s="25" t="s">
        <v>570</v>
      </c>
      <c r="E25" s="25" t="s">
        <v>571</v>
      </c>
      <c r="F25" s="25"/>
      <c r="G25" s="65">
        <v>46393</v>
      </c>
      <c r="H25" s="25" t="s">
        <v>572</v>
      </c>
      <c r="I25" s="25" t="s">
        <v>576</v>
      </c>
      <c r="J25" s="26" t="s">
        <v>623</v>
      </c>
      <c r="K25" s="27" t="s">
        <v>102</v>
      </c>
      <c r="L25" s="28" t="s">
        <v>104</v>
      </c>
      <c r="M25" s="28" t="s">
        <v>71</v>
      </c>
      <c r="N25" s="25">
        <v>1</v>
      </c>
      <c r="O25" s="29">
        <v>63.85</v>
      </c>
      <c r="P25" s="29">
        <v>63.85</v>
      </c>
      <c r="Q25" s="25" t="s">
        <v>455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1"/>
        <v>63.85</v>
      </c>
      <c r="AF25" s="32">
        <f t="shared" si="12"/>
        <v>0</v>
      </c>
      <c r="AG25" s="30"/>
      <c r="AH25" s="33">
        <v>1</v>
      </c>
      <c r="AI25" s="34">
        <f t="shared" si="13"/>
        <v>63.85</v>
      </c>
      <c r="AJ25" s="35">
        <v>46156</v>
      </c>
      <c r="AK25" s="30">
        <v>1</v>
      </c>
      <c r="AL25" s="36">
        <f t="shared" si="14"/>
        <v>63.85</v>
      </c>
      <c r="AM25" s="35">
        <v>46162</v>
      </c>
      <c r="AN25" s="30">
        <v>1</v>
      </c>
      <c r="AO25" s="36">
        <f t="shared" si="15"/>
        <v>63.85</v>
      </c>
      <c r="AP25" s="35"/>
      <c r="AQ25" s="30"/>
      <c r="AR25" s="36">
        <f t="shared" si="16"/>
        <v>0</v>
      </c>
      <c r="AS25" s="27" t="s">
        <v>582</v>
      </c>
      <c r="AT25" s="37">
        <v>46164</v>
      </c>
      <c r="AU25" s="30">
        <v>1</v>
      </c>
      <c r="AV25" s="36">
        <f t="shared" si="17"/>
        <v>63.85</v>
      </c>
      <c r="AW25" s="35">
        <v>46167</v>
      </c>
      <c r="AX25" s="30">
        <v>1</v>
      </c>
      <c r="AY25" s="32">
        <f t="shared" ref="AY25" si="20">IFERROR(AX25*$P25/$N25,0)</f>
        <v>63.85</v>
      </c>
      <c r="AZ25" s="30" t="s">
        <v>580</v>
      </c>
      <c r="BA25" s="63" t="s">
        <v>581</v>
      </c>
      <c r="BB25" s="71" t="e">
        <f>SUMIFS([1]Form!$F$8:$F$21,[1]Form!$J$8:$J$21,K25)</f>
        <v>#VALUE!</v>
      </c>
      <c r="BC25" s="71"/>
      <c r="BD25" s="71"/>
    </row>
    <row r="26" spans="1:56" hidden="1" x14ac:dyDescent="0.25">
      <c r="A26" s="24">
        <f>IF(B26="","",SUBTOTAL(3,$B$4:B26))</f>
        <v>0</v>
      </c>
      <c r="B26" s="25" t="s">
        <v>569</v>
      </c>
      <c r="C26" s="25" t="str">
        <f t="shared" si="10"/>
        <v>Shipment 1 PAR-550-22 Main</v>
      </c>
      <c r="D26" s="25" t="s">
        <v>570</v>
      </c>
      <c r="E26" s="25" t="s">
        <v>571</v>
      </c>
      <c r="F26" s="25"/>
      <c r="G26" s="65">
        <v>46393</v>
      </c>
      <c r="H26" s="25" t="s">
        <v>572</v>
      </c>
      <c r="I26" s="25" t="s">
        <v>575</v>
      </c>
      <c r="J26" s="26" t="s">
        <v>623</v>
      </c>
      <c r="K26" s="27" t="s">
        <v>105</v>
      </c>
      <c r="L26" s="28" t="s">
        <v>106</v>
      </c>
      <c r="M26" s="28" t="s">
        <v>71</v>
      </c>
      <c r="N26" s="25">
        <v>1</v>
      </c>
      <c r="O26" s="29">
        <v>123.60000000000001</v>
      </c>
      <c r="P26" s="29">
        <v>123.60000000000001</v>
      </c>
      <c r="Q26" s="25" t="s">
        <v>450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1"/>
        <v>123.60000000000001</v>
      </c>
      <c r="AF26" s="32">
        <f t="shared" si="12"/>
        <v>0</v>
      </c>
      <c r="AG26" s="30"/>
      <c r="AH26" s="33">
        <v>1</v>
      </c>
      <c r="AI26" s="34">
        <f t="shared" si="13"/>
        <v>123.60000000000001</v>
      </c>
      <c r="AJ26" s="35">
        <v>46151</v>
      </c>
      <c r="AK26" s="30">
        <v>1</v>
      </c>
      <c r="AL26" s="36">
        <f t="shared" si="14"/>
        <v>123.60000000000001</v>
      </c>
      <c r="AM26" s="35">
        <v>46158</v>
      </c>
      <c r="AN26" s="30">
        <v>1</v>
      </c>
      <c r="AO26" s="36">
        <f t="shared" si="15"/>
        <v>123.60000000000001</v>
      </c>
      <c r="AP26" s="35"/>
      <c r="AQ26" s="30"/>
      <c r="AR26" s="36">
        <f t="shared" si="16"/>
        <v>0</v>
      </c>
      <c r="AS26" s="27" t="s">
        <v>579</v>
      </c>
      <c r="AT26" s="37">
        <v>46161</v>
      </c>
      <c r="AU26" s="30">
        <v>1</v>
      </c>
      <c r="AV26" s="36">
        <f t="shared" si="17"/>
        <v>123.60000000000001</v>
      </c>
      <c r="AW26" s="35">
        <v>46167</v>
      </c>
      <c r="AX26" s="30">
        <v>1</v>
      </c>
      <c r="AY26" s="32">
        <f t="shared" ref="AY26:AY28" si="21">IFERROR(AX26*$P26/$N26,0)</f>
        <v>123.60000000000001</v>
      </c>
      <c r="AZ26" s="30" t="s">
        <v>580</v>
      </c>
      <c r="BA26" s="63" t="s">
        <v>586</v>
      </c>
      <c r="BB26" s="71" t="e">
        <f>SUMIFS([1]Form!$F$8:$F$21,[1]Form!$J$8:$J$21,K26)</f>
        <v>#VALUE!</v>
      </c>
      <c r="BC26" s="71"/>
      <c r="BD26" s="71"/>
    </row>
    <row r="27" spans="1:56" hidden="1" x14ac:dyDescent="0.25">
      <c r="A27" s="24">
        <f>IF(B27="","",SUBTOTAL(3,$B$4:B27))</f>
        <v>0</v>
      </c>
      <c r="B27" s="25" t="s">
        <v>569</v>
      </c>
      <c r="C27" s="25" t="str">
        <f t="shared" si="10"/>
        <v>Shipment 1 PAR-550-22 Main</v>
      </c>
      <c r="D27" s="25" t="s">
        <v>570</v>
      </c>
      <c r="E27" s="25" t="s">
        <v>571</v>
      </c>
      <c r="F27" s="25"/>
      <c r="G27" s="65">
        <v>46393</v>
      </c>
      <c r="H27" s="25" t="s">
        <v>572</v>
      </c>
      <c r="I27" s="25" t="s">
        <v>575</v>
      </c>
      <c r="J27" s="26" t="s">
        <v>623</v>
      </c>
      <c r="K27" s="27" t="s">
        <v>107</v>
      </c>
      <c r="L27" s="28" t="s">
        <v>108</v>
      </c>
      <c r="M27" s="28" t="s">
        <v>71</v>
      </c>
      <c r="N27" s="25">
        <v>1</v>
      </c>
      <c r="O27" s="29">
        <v>255.9</v>
      </c>
      <c r="P27" s="29">
        <v>255.9</v>
      </c>
      <c r="Q27" s="25" t="s">
        <v>456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1"/>
        <v>255.9</v>
      </c>
      <c r="AF27" s="32">
        <f t="shared" si="12"/>
        <v>0</v>
      </c>
      <c r="AG27" s="30"/>
      <c r="AH27" s="33">
        <v>1</v>
      </c>
      <c r="AI27" s="34">
        <f t="shared" si="13"/>
        <v>255.9</v>
      </c>
      <c r="AJ27" s="35">
        <v>46149</v>
      </c>
      <c r="AK27" s="30">
        <v>1</v>
      </c>
      <c r="AL27" s="36">
        <f t="shared" si="14"/>
        <v>255.9</v>
      </c>
      <c r="AM27" s="35">
        <v>46156</v>
      </c>
      <c r="AN27" s="30">
        <v>1</v>
      </c>
      <c r="AO27" s="36">
        <f t="shared" si="15"/>
        <v>255.9</v>
      </c>
      <c r="AP27" s="35"/>
      <c r="AQ27" s="30"/>
      <c r="AR27" s="36">
        <f t="shared" si="16"/>
        <v>0</v>
      </c>
      <c r="AS27" s="27" t="s">
        <v>579</v>
      </c>
      <c r="AT27" s="37">
        <v>46161</v>
      </c>
      <c r="AU27" s="30">
        <v>1</v>
      </c>
      <c r="AV27" s="36">
        <f t="shared" si="17"/>
        <v>255.9</v>
      </c>
      <c r="AW27" s="35">
        <v>46167</v>
      </c>
      <c r="AX27" s="30">
        <v>1</v>
      </c>
      <c r="AY27" s="32">
        <f t="shared" si="21"/>
        <v>255.9</v>
      </c>
      <c r="AZ27" s="30" t="s">
        <v>580</v>
      </c>
      <c r="BA27" s="63" t="s">
        <v>586</v>
      </c>
      <c r="BB27" s="71" t="e">
        <f>SUMIFS([1]Form!$F$8:$F$21,[1]Form!$J$8:$J$21,K27)</f>
        <v>#VALUE!</v>
      </c>
      <c r="BC27" s="71"/>
      <c r="BD27" s="71"/>
    </row>
    <row r="28" spans="1:56" hidden="1" x14ac:dyDescent="0.25">
      <c r="A28" s="24">
        <f>IF(B28="","",SUBTOTAL(3,$B$4:B28))</f>
        <v>0</v>
      </c>
      <c r="B28" s="25" t="s">
        <v>569</v>
      </c>
      <c r="C28" s="25" t="str">
        <f t="shared" si="10"/>
        <v>Shipment 1 PAR-550-22 Main</v>
      </c>
      <c r="D28" s="25" t="s">
        <v>570</v>
      </c>
      <c r="E28" s="25" t="s">
        <v>571</v>
      </c>
      <c r="F28" s="25"/>
      <c r="G28" s="65">
        <v>46393</v>
      </c>
      <c r="H28" s="25" t="s">
        <v>572</v>
      </c>
      <c r="I28" s="25" t="s">
        <v>575</v>
      </c>
      <c r="J28" s="26" t="s">
        <v>623</v>
      </c>
      <c r="K28" s="27" t="s">
        <v>109</v>
      </c>
      <c r="L28" s="28" t="s">
        <v>110</v>
      </c>
      <c r="M28" s="28" t="s">
        <v>71</v>
      </c>
      <c r="N28" s="25">
        <v>1</v>
      </c>
      <c r="O28" s="29">
        <v>254.8</v>
      </c>
      <c r="P28" s="29">
        <v>254.8</v>
      </c>
      <c r="Q28" s="25" t="s">
        <v>456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1"/>
        <v>254.8</v>
      </c>
      <c r="AF28" s="32">
        <f t="shared" si="12"/>
        <v>0</v>
      </c>
      <c r="AG28" s="30"/>
      <c r="AH28" s="33">
        <v>1</v>
      </c>
      <c r="AI28" s="34">
        <f t="shared" si="13"/>
        <v>254.8</v>
      </c>
      <c r="AJ28" s="35">
        <v>46149</v>
      </c>
      <c r="AK28" s="30">
        <v>1</v>
      </c>
      <c r="AL28" s="36">
        <f t="shared" si="14"/>
        <v>254.8</v>
      </c>
      <c r="AM28" s="35">
        <v>46156</v>
      </c>
      <c r="AN28" s="30">
        <v>1</v>
      </c>
      <c r="AO28" s="36">
        <f t="shared" si="15"/>
        <v>254.8</v>
      </c>
      <c r="AP28" s="35"/>
      <c r="AQ28" s="30"/>
      <c r="AR28" s="36">
        <f t="shared" si="16"/>
        <v>0</v>
      </c>
      <c r="AS28" s="27" t="s">
        <v>579</v>
      </c>
      <c r="AT28" s="37">
        <v>46161</v>
      </c>
      <c r="AU28" s="30">
        <v>1</v>
      </c>
      <c r="AV28" s="36">
        <f t="shared" si="17"/>
        <v>254.8</v>
      </c>
      <c r="AW28" s="35">
        <v>46167</v>
      </c>
      <c r="AX28" s="30">
        <v>1</v>
      </c>
      <c r="AY28" s="32">
        <f t="shared" si="21"/>
        <v>254.8</v>
      </c>
      <c r="AZ28" s="30" t="s">
        <v>580</v>
      </c>
      <c r="BA28" s="63" t="s">
        <v>586</v>
      </c>
      <c r="BB28" s="71" t="e">
        <f>SUMIFS([1]Form!$F$8:$F$21,[1]Form!$J$8:$J$21,K28)</f>
        <v>#VALUE!</v>
      </c>
      <c r="BC28" s="71"/>
      <c r="BD28" s="71"/>
    </row>
    <row r="29" spans="1:56" hidden="1" x14ac:dyDescent="0.25">
      <c r="A29" s="24">
        <f>IF(B29="","",SUBTOTAL(3,$B$4:B29))</f>
        <v>0</v>
      </c>
      <c r="B29" s="25" t="s">
        <v>569</v>
      </c>
      <c r="C29" s="25" t="str">
        <f t="shared" si="10"/>
        <v>Shipment 1 PAR-550-22 Main</v>
      </c>
      <c r="D29" s="25" t="s">
        <v>570</v>
      </c>
      <c r="E29" s="25" t="s">
        <v>571</v>
      </c>
      <c r="F29" s="25"/>
      <c r="G29" s="65">
        <v>46393</v>
      </c>
      <c r="H29" s="25" t="s">
        <v>572</v>
      </c>
      <c r="I29" s="25" t="s">
        <v>575</v>
      </c>
      <c r="J29" s="26" t="s">
        <v>622</v>
      </c>
      <c r="K29" s="27" t="s">
        <v>111</v>
      </c>
      <c r="L29" s="28" t="s">
        <v>112</v>
      </c>
      <c r="M29" s="28" t="s">
        <v>71</v>
      </c>
      <c r="N29" s="25">
        <v>1</v>
      </c>
      <c r="O29" s="29">
        <v>691.1</v>
      </c>
      <c r="P29" s="29">
        <v>691.1</v>
      </c>
      <c r="Q29" s="25" t="s">
        <v>457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1"/>
        <v>691.1</v>
      </c>
      <c r="AF29" s="32">
        <f t="shared" si="12"/>
        <v>0</v>
      </c>
      <c r="AG29" s="30"/>
      <c r="AH29" s="33">
        <f>INDEX([2]M296PAR55022!$X:$X,MATCH(K29,[2]M296PAR55022!$B:$B,0))</f>
        <v>0.9375</v>
      </c>
      <c r="AI29" s="34">
        <f t="shared" si="13"/>
        <v>647.90625</v>
      </c>
      <c r="AJ29" s="35">
        <v>46165</v>
      </c>
      <c r="AK29" s="30">
        <v>1</v>
      </c>
      <c r="AL29" s="36">
        <f t="shared" si="14"/>
        <v>691.1</v>
      </c>
      <c r="AM29" s="35">
        <v>46167</v>
      </c>
      <c r="AN29" s="30">
        <v>1</v>
      </c>
      <c r="AO29" s="36">
        <f t="shared" si="15"/>
        <v>691.1</v>
      </c>
      <c r="AP29" s="35"/>
      <c r="AQ29" s="30"/>
      <c r="AR29" s="36">
        <f t="shared" si="16"/>
        <v>0</v>
      </c>
      <c r="AS29" s="27" t="s">
        <v>617</v>
      </c>
      <c r="AT29" s="37">
        <v>46190</v>
      </c>
      <c r="AU29" s="30">
        <v>1</v>
      </c>
      <c r="AV29" s="36">
        <f t="shared" si="17"/>
        <v>691.1</v>
      </c>
      <c r="AW29" s="35">
        <v>46192</v>
      </c>
      <c r="AX29" s="30">
        <v>1</v>
      </c>
      <c r="AY29" s="32">
        <f t="shared" si="18"/>
        <v>691.1</v>
      </c>
      <c r="AZ29" s="30" t="s">
        <v>616</v>
      </c>
      <c r="BA29" s="63" t="s">
        <v>614</v>
      </c>
      <c r="BB29" s="71"/>
      <c r="BC29" s="71"/>
      <c r="BD29" s="71"/>
    </row>
    <row r="30" spans="1:56" hidden="1" x14ac:dyDescent="0.25">
      <c r="A30" s="24">
        <f>IF(B30="","",SUBTOTAL(3,$B$4:B30))</f>
        <v>0</v>
      </c>
      <c r="B30" s="25" t="s">
        <v>569</v>
      </c>
      <c r="C30" s="25" t="str">
        <f t="shared" si="10"/>
        <v>Shipment 1 PAR-550-22 Main</v>
      </c>
      <c r="D30" s="25" t="s">
        <v>570</v>
      </c>
      <c r="E30" s="25" t="s">
        <v>571</v>
      </c>
      <c r="F30" s="25"/>
      <c r="G30" s="65">
        <v>46393</v>
      </c>
      <c r="H30" s="25" t="s">
        <v>572</v>
      </c>
      <c r="I30" s="25" t="s">
        <v>575</v>
      </c>
      <c r="J30" s="26" t="s">
        <v>622</v>
      </c>
      <c r="K30" s="27" t="s">
        <v>113</v>
      </c>
      <c r="L30" s="28" t="s">
        <v>114</v>
      </c>
      <c r="M30" s="28" t="s">
        <v>71</v>
      </c>
      <c r="N30" s="25">
        <v>1</v>
      </c>
      <c r="O30" s="29">
        <v>365.4</v>
      </c>
      <c r="P30" s="29">
        <v>365.4</v>
      </c>
      <c r="Q30" s="25" t="s">
        <v>458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1"/>
        <v>365.40000000000003</v>
      </c>
      <c r="AF30" s="32">
        <f t="shared" si="12"/>
        <v>0</v>
      </c>
      <c r="AG30" s="30"/>
      <c r="AH30" s="33">
        <v>1</v>
      </c>
      <c r="AI30" s="34">
        <f t="shared" si="13"/>
        <v>365.4</v>
      </c>
      <c r="AJ30" s="35">
        <v>46156</v>
      </c>
      <c r="AK30" s="30">
        <v>1</v>
      </c>
      <c r="AL30" s="36">
        <f t="shared" si="14"/>
        <v>365.4</v>
      </c>
      <c r="AM30" s="35">
        <v>46162</v>
      </c>
      <c r="AN30" s="30">
        <v>1</v>
      </c>
      <c r="AO30" s="36">
        <f t="shared" si="15"/>
        <v>365.4</v>
      </c>
      <c r="AP30" s="35"/>
      <c r="AQ30" s="30"/>
      <c r="AR30" s="36">
        <f t="shared" si="16"/>
        <v>0</v>
      </c>
      <c r="AS30" s="27" t="s">
        <v>613</v>
      </c>
      <c r="AT30" s="37">
        <v>46176</v>
      </c>
      <c r="AU30" s="30">
        <v>1</v>
      </c>
      <c r="AV30" s="36">
        <f t="shared" si="17"/>
        <v>365.4</v>
      </c>
      <c r="AW30" s="35">
        <v>46180</v>
      </c>
      <c r="AX30" s="30">
        <v>1</v>
      </c>
      <c r="AY30" s="32">
        <f>IFERROR(AX30*$P30/$N30,0)</f>
        <v>365.4</v>
      </c>
      <c r="AZ30" s="30" t="s">
        <v>611</v>
      </c>
      <c r="BA30" s="63" t="s">
        <v>610</v>
      </c>
      <c r="BB30" s="71" t="e">
        <f>SUMIFS([1]Form!$F$8:$F$21,[1]Form!$J$8:$J$21,K30)</f>
        <v>#VALUE!</v>
      </c>
      <c r="BC30" s="71"/>
      <c r="BD30" s="71"/>
    </row>
    <row r="31" spans="1:56" hidden="1" x14ac:dyDescent="0.25">
      <c r="A31" s="24">
        <f>IF(B31="","",SUBTOTAL(3,$B$4:B31))</f>
        <v>0</v>
      </c>
      <c r="B31" s="25" t="s">
        <v>569</v>
      </c>
      <c r="C31" s="25" t="str">
        <f t="shared" si="10"/>
        <v>Shipment 1 PAR-550-22 Main</v>
      </c>
      <c r="D31" s="25" t="s">
        <v>570</v>
      </c>
      <c r="E31" s="25" t="s">
        <v>571</v>
      </c>
      <c r="F31" s="25"/>
      <c r="G31" s="65">
        <v>46393</v>
      </c>
      <c r="H31" s="25" t="s">
        <v>572</v>
      </c>
      <c r="I31" s="25" t="s">
        <v>575</v>
      </c>
      <c r="J31" s="26" t="s">
        <v>623</v>
      </c>
      <c r="K31" s="27" t="s">
        <v>115</v>
      </c>
      <c r="L31" s="28" t="s">
        <v>116</v>
      </c>
      <c r="M31" s="28" t="s">
        <v>71</v>
      </c>
      <c r="N31" s="25">
        <v>1</v>
      </c>
      <c r="O31" s="29">
        <v>501.5</v>
      </c>
      <c r="P31" s="29">
        <v>501.5</v>
      </c>
      <c r="Q31" s="25" t="s">
        <v>459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1"/>
        <v>501.5</v>
      </c>
      <c r="AF31" s="32">
        <f t="shared" si="12"/>
        <v>0</v>
      </c>
      <c r="AG31" s="30"/>
      <c r="AH31" s="33">
        <v>1</v>
      </c>
      <c r="AI31" s="34">
        <f t="shared" si="13"/>
        <v>501.5</v>
      </c>
      <c r="AJ31" s="35">
        <v>46153</v>
      </c>
      <c r="AK31" s="30">
        <v>1</v>
      </c>
      <c r="AL31" s="36">
        <f t="shared" si="14"/>
        <v>501.5</v>
      </c>
      <c r="AM31" s="35">
        <v>46153</v>
      </c>
      <c r="AN31" s="30">
        <v>1</v>
      </c>
      <c r="AO31" s="36">
        <f t="shared" si="15"/>
        <v>501.5</v>
      </c>
      <c r="AP31" s="35"/>
      <c r="AQ31" s="30"/>
      <c r="AR31" s="36">
        <f t="shared" si="16"/>
        <v>0</v>
      </c>
      <c r="AS31" s="27" t="s">
        <v>573</v>
      </c>
      <c r="AT31" s="37">
        <v>46153</v>
      </c>
      <c r="AU31" s="30">
        <v>1</v>
      </c>
      <c r="AV31" s="36">
        <f t="shared" si="17"/>
        <v>501.5</v>
      </c>
      <c r="AW31" s="35">
        <v>46167</v>
      </c>
      <c r="AX31" s="30">
        <v>1</v>
      </c>
      <c r="AY31" s="32">
        <f t="shared" si="18"/>
        <v>501.5</v>
      </c>
      <c r="AZ31" s="30" t="s">
        <v>580</v>
      </c>
      <c r="BA31" s="63" t="s">
        <v>573</v>
      </c>
      <c r="BB31" s="71" t="e">
        <f>SUMIFS([1]Form!$F$8:$F$21,[1]Form!$J$8:$J$21,K31)</f>
        <v>#VALUE!</v>
      </c>
      <c r="BC31" s="71"/>
      <c r="BD31" s="71"/>
    </row>
    <row r="32" spans="1:56" hidden="1" x14ac:dyDescent="0.25">
      <c r="A32" s="24">
        <f>IF(B32="","",SUBTOTAL(3,$B$4:B32))</f>
        <v>0</v>
      </c>
      <c r="B32" s="25" t="s">
        <v>569</v>
      </c>
      <c r="C32" s="25" t="str">
        <f t="shared" si="10"/>
        <v>Shipment 1 PAR-550-22 Main</v>
      </c>
      <c r="D32" s="25" t="s">
        <v>570</v>
      </c>
      <c r="E32" s="25" t="s">
        <v>571</v>
      </c>
      <c r="F32" s="25"/>
      <c r="G32" s="65">
        <v>46393</v>
      </c>
      <c r="H32" s="25" t="s">
        <v>572</v>
      </c>
      <c r="I32" s="25" t="s">
        <v>575</v>
      </c>
      <c r="J32" s="26" t="s">
        <v>623</v>
      </c>
      <c r="K32" s="27" t="s">
        <v>117</v>
      </c>
      <c r="L32" s="28" t="s">
        <v>118</v>
      </c>
      <c r="M32" s="28" t="s">
        <v>71</v>
      </c>
      <c r="N32" s="25">
        <v>1</v>
      </c>
      <c r="O32" s="29">
        <v>62.3</v>
      </c>
      <c r="P32" s="29">
        <v>62.3</v>
      </c>
      <c r="Q32" s="25" t="s">
        <v>460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1"/>
        <v>62.3</v>
      </c>
      <c r="AF32" s="32">
        <f t="shared" si="12"/>
        <v>0</v>
      </c>
      <c r="AG32" s="30"/>
      <c r="AH32" s="33">
        <v>1</v>
      </c>
      <c r="AI32" s="34">
        <f t="shared" si="13"/>
        <v>62.3</v>
      </c>
      <c r="AJ32" s="35">
        <v>46151</v>
      </c>
      <c r="AK32" s="30">
        <v>1</v>
      </c>
      <c r="AL32" s="36">
        <f t="shared" si="14"/>
        <v>62.3</v>
      </c>
      <c r="AM32" s="35">
        <v>46153</v>
      </c>
      <c r="AN32" s="30">
        <v>1</v>
      </c>
      <c r="AO32" s="36">
        <f t="shared" si="15"/>
        <v>62.3</v>
      </c>
      <c r="AP32" s="35"/>
      <c r="AQ32" s="30"/>
      <c r="AR32" s="36">
        <f t="shared" si="16"/>
        <v>0</v>
      </c>
      <c r="AS32" s="27" t="s">
        <v>573</v>
      </c>
      <c r="AT32" s="37">
        <v>46153</v>
      </c>
      <c r="AU32" s="30">
        <v>1</v>
      </c>
      <c r="AV32" s="36">
        <f t="shared" si="17"/>
        <v>62.3</v>
      </c>
      <c r="AW32" s="35">
        <v>46167</v>
      </c>
      <c r="AX32" s="30">
        <v>1</v>
      </c>
      <c r="AY32" s="32">
        <f t="shared" si="18"/>
        <v>62.3</v>
      </c>
      <c r="AZ32" s="30" t="s">
        <v>580</v>
      </c>
      <c r="BA32" s="63" t="s">
        <v>573</v>
      </c>
      <c r="BB32" s="71" t="e">
        <f>SUMIFS([1]Form!$F$8:$F$21,[1]Form!$J$8:$J$21,K32)</f>
        <v>#VALUE!</v>
      </c>
      <c r="BC32" s="71"/>
      <c r="BD32" s="71"/>
    </row>
    <row r="33" spans="1:56" hidden="1" x14ac:dyDescent="0.25">
      <c r="A33" s="24">
        <f>IF(B33="","",SUBTOTAL(3,$B$4:B33))</f>
        <v>0</v>
      </c>
      <c r="B33" s="25" t="s">
        <v>569</v>
      </c>
      <c r="C33" s="25" t="str">
        <f t="shared" si="10"/>
        <v>Shipment 1 PAR-550-22 Main</v>
      </c>
      <c r="D33" s="25" t="s">
        <v>570</v>
      </c>
      <c r="E33" s="25" t="s">
        <v>571</v>
      </c>
      <c r="F33" s="25"/>
      <c r="G33" s="65">
        <v>46393</v>
      </c>
      <c r="H33" s="25" t="s">
        <v>572</v>
      </c>
      <c r="I33" s="25" t="s">
        <v>575</v>
      </c>
      <c r="J33" s="26" t="s">
        <v>622</v>
      </c>
      <c r="K33" s="27" t="s">
        <v>119</v>
      </c>
      <c r="L33" s="28" t="s">
        <v>120</v>
      </c>
      <c r="M33" s="28" t="s">
        <v>71</v>
      </c>
      <c r="N33" s="25">
        <v>1</v>
      </c>
      <c r="O33" s="29">
        <v>65.599999999999994</v>
      </c>
      <c r="P33" s="29">
        <v>65.599999999999994</v>
      </c>
      <c r="Q33" s="25" t="s">
        <v>461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1"/>
        <v>65.599999999999994</v>
      </c>
      <c r="AF33" s="32">
        <f t="shared" si="12"/>
        <v>0</v>
      </c>
      <c r="AG33" s="30"/>
      <c r="AH33" s="33">
        <v>1</v>
      </c>
      <c r="AI33" s="34">
        <f t="shared" si="13"/>
        <v>65.599999999999994</v>
      </c>
      <c r="AJ33" s="35">
        <v>46156</v>
      </c>
      <c r="AK33" s="30">
        <v>1</v>
      </c>
      <c r="AL33" s="36">
        <f t="shared" si="14"/>
        <v>65.599999999999994</v>
      </c>
      <c r="AM33" s="35">
        <v>46162</v>
      </c>
      <c r="AN33" s="30">
        <v>1</v>
      </c>
      <c r="AO33" s="36">
        <f t="shared" si="15"/>
        <v>65.599999999999994</v>
      </c>
      <c r="AP33" s="35"/>
      <c r="AQ33" s="30"/>
      <c r="AR33" s="36">
        <f t="shared" si="16"/>
        <v>0</v>
      </c>
      <c r="AS33" s="27" t="s">
        <v>617</v>
      </c>
      <c r="AT33" s="37">
        <v>46190</v>
      </c>
      <c r="AU33" s="30">
        <v>1</v>
      </c>
      <c r="AV33" s="36">
        <f t="shared" si="17"/>
        <v>65.599999999999994</v>
      </c>
      <c r="AW33" s="35">
        <v>46192</v>
      </c>
      <c r="AX33" s="30">
        <v>1</v>
      </c>
      <c r="AY33" s="32">
        <f t="shared" ref="AY33:AY35" si="22">IFERROR(AX33*$P33/$N33,0)</f>
        <v>65.599999999999994</v>
      </c>
      <c r="AZ33" s="30" t="s">
        <v>616</v>
      </c>
      <c r="BA33" s="63" t="s">
        <v>614</v>
      </c>
      <c r="BB33" s="71"/>
      <c r="BC33" s="71"/>
      <c r="BD33" s="71"/>
    </row>
    <row r="34" spans="1:56" hidden="1" x14ac:dyDescent="0.25">
      <c r="A34" s="24">
        <f>IF(B34="","",SUBTOTAL(3,$B$4:B34))</f>
        <v>0</v>
      </c>
      <c r="B34" s="25" t="s">
        <v>569</v>
      </c>
      <c r="C34" s="25" t="str">
        <f t="shared" si="10"/>
        <v>Shipment 1 PAR-550-22 Main</v>
      </c>
      <c r="D34" s="25" t="s">
        <v>570</v>
      </c>
      <c r="E34" s="25" t="s">
        <v>571</v>
      </c>
      <c r="F34" s="25"/>
      <c r="G34" s="65">
        <v>46393</v>
      </c>
      <c r="H34" s="25" t="s">
        <v>572</v>
      </c>
      <c r="I34" s="25" t="s">
        <v>575</v>
      </c>
      <c r="J34" s="26" t="s">
        <v>622</v>
      </c>
      <c r="K34" s="27" t="s">
        <v>121</v>
      </c>
      <c r="L34" s="28" t="s">
        <v>122</v>
      </c>
      <c r="M34" s="28" t="s">
        <v>71</v>
      </c>
      <c r="N34" s="25">
        <v>1</v>
      </c>
      <c r="O34" s="29">
        <v>66.099999999999994</v>
      </c>
      <c r="P34" s="29">
        <v>66.099999999999994</v>
      </c>
      <c r="Q34" s="25" t="s">
        <v>462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1"/>
        <v>66.099999999999994</v>
      </c>
      <c r="AF34" s="32">
        <f t="shared" si="12"/>
        <v>0</v>
      </c>
      <c r="AG34" s="30"/>
      <c r="AH34" s="33">
        <v>1</v>
      </c>
      <c r="AI34" s="34">
        <f t="shared" si="13"/>
        <v>66.099999999999994</v>
      </c>
      <c r="AJ34" s="35">
        <v>46156</v>
      </c>
      <c r="AK34" s="30">
        <v>1</v>
      </c>
      <c r="AL34" s="36">
        <f t="shared" si="14"/>
        <v>66.099999999999994</v>
      </c>
      <c r="AM34" s="35">
        <v>46162</v>
      </c>
      <c r="AN34" s="30">
        <v>1</v>
      </c>
      <c r="AO34" s="36">
        <f t="shared" si="15"/>
        <v>66.099999999999994</v>
      </c>
      <c r="AP34" s="35"/>
      <c r="AQ34" s="30"/>
      <c r="AR34" s="36">
        <f t="shared" si="16"/>
        <v>0</v>
      </c>
      <c r="AS34" s="27" t="s">
        <v>617</v>
      </c>
      <c r="AT34" s="37">
        <v>46190</v>
      </c>
      <c r="AU34" s="30">
        <v>1</v>
      </c>
      <c r="AV34" s="36">
        <f t="shared" si="17"/>
        <v>66.099999999999994</v>
      </c>
      <c r="AW34" s="35">
        <v>46192</v>
      </c>
      <c r="AX34" s="30">
        <v>1</v>
      </c>
      <c r="AY34" s="32">
        <f t="shared" si="22"/>
        <v>66.099999999999994</v>
      </c>
      <c r="AZ34" s="30" t="s">
        <v>616</v>
      </c>
      <c r="BA34" s="63" t="s">
        <v>614</v>
      </c>
      <c r="BB34" s="71"/>
      <c r="BC34" s="71"/>
      <c r="BD34" s="71"/>
    </row>
    <row r="35" spans="1:56" hidden="1" x14ac:dyDescent="0.25">
      <c r="A35" s="24">
        <f>IF(B35="","",SUBTOTAL(3,$B$4:B35))</f>
        <v>0</v>
      </c>
      <c r="B35" s="25" t="s">
        <v>569</v>
      </c>
      <c r="C35" s="25" t="str">
        <f t="shared" si="10"/>
        <v>Shipment 1 PAR-550-22 Main</v>
      </c>
      <c r="D35" s="25" t="s">
        <v>570</v>
      </c>
      <c r="E35" s="25" t="s">
        <v>571</v>
      </c>
      <c r="F35" s="25"/>
      <c r="G35" s="65">
        <v>46393</v>
      </c>
      <c r="H35" s="25" t="s">
        <v>572</v>
      </c>
      <c r="I35" s="25" t="s">
        <v>575</v>
      </c>
      <c r="J35" s="26" t="s">
        <v>622</v>
      </c>
      <c r="K35" s="27" t="s">
        <v>123</v>
      </c>
      <c r="L35" s="28" t="s">
        <v>124</v>
      </c>
      <c r="M35" s="28" t="s">
        <v>71</v>
      </c>
      <c r="N35" s="25">
        <v>1</v>
      </c>
      <c r="O35" s="29">
        <v>59.4</v>
      </c>
      <c r="P35" s="29">
        <v>59.4</v>
      </c>
      <c r="Q35" s="25" t="s">
        <v>463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1"/>
        <v>59.4</v>
      </c>
      <c r="AF35" s="32">
        <f t="shared" si="12"/>
        <v>0</v>
      </c>
      <c r="AG35" s="30"/>
      <c r="AH35" s="33">
        <v>1</v>
      </c>
      <c r="AI35" s="34">
        <f t="shared" si="13"/>
        <v>59.4</v>
      </c>
      <c r="AJ35" s="35">
        <v>46156</v>
      </c>
      <c r="AK35" s="30">
        <v>1</v>
      </c>
      <c r="AL35" s="36">
        <f t="shared" si="14"/>
        <v>59.4</v>
      </c>
      <c r="AM35" s="35">
        <v>46162</v>
      </c>
      <c r="AN35" s="30">
        <v>1</v>
      </c>
      <c r="AO35" s="36">
        <f t="shared" si="15"/>
        <v>59.4</v>
      </c>
      <c r="AP35" s="35"/>
      <c r="AQ35" s="30"/>
      <c r="AR35" s="36">
        <f t="shared" si="16"/>
        <v>0</v>
      </c>
      <c r="AS35" s="27" t="s">
        <v>617</v>
      </c>
      <c r="AT35" s="37">
        <v>46190</v>
      </c>
      <c r="AU35" s="30">
        <v>1</v>
      </c>
      <c r="AV35" s="36">
        <f t="shared" si="17"/>
        <v>59.4</v>
      </c>
      <c r="AW35" s="35">
        <v>46192</v>
      </c>
      <c r="AX35" s="30">
        <v>1</v>
      </c>
      <c r="AY35" s="32">
        <f t="shared" si="22"/>
        <v>59.4</v>
      </c>
      <c r="AZ35" s="30" t="s">
        <v>616</v>
      </c>
      <c r="BA35" s="63" t="s">
        <v>614</v>
      </c>
      <c r="BB35" s="71"/>
      <c r="BC35" s="71"/>
      <c r="BD35" s="71"/>
    </row>
    <row r="36" spans="1:56" hidden="1" x14ac:dyDescent="0.25">
      <c r="A36" s="24">
        <f>IF(B36="","",SUBTOTAL(3,$B$4:B36))</f>
        <v>0</v>
      </c>
      <c r="B36" s="25" t="s">
        <v>569</v>
      </c>
      <c r="C36" s="25" t="str">
        <f t="shared" si="10"/>
        <v>Shipment 1 PAR-550-22 Main</v>
      </c>
      <c r="D36" s="25" t="s">
        <v>570</v>
      </c>
      <c r="E36" s="25" t="s">
        <v>571</v>
      </c>
      <c r="F36" s="25"/>
      <c r="G36" s="65">
        <v>46393</v>
      </c>
      <c r="H36" s="25" t="s">
        <v>572</v>
      </c>
      <c r="I36" s="25" t="s">
        <v>576</v>
      </c>
      <c r="J36" s="26" t="s">
        <v>623</v>
      </c>
      <c r="K36" s="27" t="s">
        <v>125</v>
      </c>
      <c r="L36" s="28" t="s">
        <v>126</v>
      </c>
      <c r="M36" s="28" t="s">
        <v>71</v>
      </c>
      <c r="N36" s="25">
        <v>1</v>
      </c>
      <c r="O36" s="29">
        <v>23.4</v>
      </c>
      <c r="P36" s="29">
        <v>23.4</v>
      </c>
      <c r="Q36" s="25" t="s">
        <v>464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1"/>
        <v>23.4</v>
      </c>
      <c r="AF36" s="32">
        <f t="shared" si="12"/>
        <v>0</v>
      </c>
      <c r="AG36" s="30"/>
      <c r="AH36" s="33">
        <v>1</v>
      </c>
      <c r="AI36" s="34">
        <f t="shared" si="13"/>
        <v>23.4</v>
      </c>
      <c r="AJ36" s="35">
        <v>46156</v>
      </c>
      <c r="AK36" s="30">
        <v>1</v>
      </c>
      <c r="AL36" s="36">
        <f t="shared" si="14"/>
        <v>23.4</v>
      </c>
      <c r="AM36" s="35">
        <v>46162</v>
      </c>
      <c r="AN36" s="30">
        <v>1</v>
      </c>
      <c r="AO36" s="36">
        <f t="shared" si="15"/>
        <v>23.4</v>
      </c>
      <c r="AP36" s="35"/>
      <c r="AQ36" s="30"/>
      <c r="AR36" s="36">
        <f t="shared" si="16"/>
        <v>0</v>
      </c>
      <c r="AS36" s="27" t="s">
        <v>589</v>
      </c>
      <c r="AT36" s="37">
        <v>46168</v>
      </c>
      <c r="AU36" s="30">
        <v>1</v>
      </c>
      <c r="AV36" s="36">
        <f t="shared" si="17"/>
        <v>23.4</v>
      </c>
      <c r="AW36" s="35">
        <v>46171</v>
      </c>
      <c r="AX36" s="30">
        <v>1</v>
      </c>
      <c r="AY36" s="32">
        <f t="shared" si="18"/>
        <v>23.4</v>
      </c>
      <c r="AZ36" s="30" t="s">
        <v>580</v>
      </c>
      <c r="BA36" s="63" t="s">
        <v>589</v>
      </c>
      <c r="BB36" s="71" t="e">
        <f>SUMIFS([1]Form!$F$8:$F$21,[1]Form!$J$8:$J$21,K36)</f>
        <v>#VALUE!</v>
      </c>
      <c r="BC36" s="71"/>
      <c r="BD36" s="71"/>
    </row>
    <row r="37" spans="1:56" hidden="1" x14ac:dyDescent="0.25">
      <c r="A37" s="24">
        <f>IF(B37="","",SUBTOTAL(3,$B$4:B37))</f>
        <v>0</v>
      </c>
      <c r="B37" s="25" t="s">
        <v>569</v>
      </c>
      <c r="C37" s="25" t="str">
        <f t="shared" si="10"/>
        <v>Shipment 1 PAR-550-22 Main</v>
      </c>
      <c r="D37" s="25" t="s">
        <v>570</v>
      </c>
      <c r="E37" s="25" t="s">
        <v>571</v>
      </c>
      <c r="F37" s="25"/>
      <c r="G37" s="65">
        <v>46393</v>
      </c>
      <c r="H37" s="25" t="s">
        <v>572</v>
      </c>
      <c r="I37" s="25" t="s">
        <v>576</v>
      </c>
      <c r="J37" s="26" t="s">
        <v>623</v>
      </c>
      <c r="K37" s="27" t="s">
        <v>127</v>
      </c>
      <c r="L37" s="28" t="s">
        <v>128</v>
      </c>
      <c r="M37" s="28" t="s">
        <v>71</v>
      </c>
      <c r="N37" s="25">
        <v>1</v>
      </c>
      <c r="O37" s="29">
        <v>165.29999999999998</v>
      </c>
      <c r="P37" s="29">
        <v>165.29999999999998</v>
      </c>
      <c r="Q37" s="25" t="s">
        <v>465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1"/>
        <v>165.29999999999998</v>
      </c>
      <c r="AF37" s="32">
        <f t="shared" si="12"/>
        <v>0</v>
      </c>
      <c r="AG37" s="30"/>
      <c r="AH37" s="33">
        <v>1</v>
      </c>
      <c r="AI37" s="34">
        <f t="shared" si="13"/>
        <v>165.29999999999998</v>
      </c>
      <c r="AJ37" s="35">
        <v>46151</v>
      </c>
      <c r="AK37" s="30">
        <v>1</v>
      </c>
      <c r="AL37" s="36">
        <f t="shared" si="14"/>
        <v>165.29999999999998</v>
      </c>
      <c r="AM37" s="35">
        <v>46153</v>
      </c>
      <c r="AN37" s="30">
        <v>1</v>
      </c>
      <c r="AO37" s="36">
        <f t="shared" si="15"/>
        <v>165.29999999999998</v>
      </c>
      <c r="AP37" s="35"/>
      <c r="AQ37" s="30"/>
      <c r="AR37" s="36">
        <f t="shared" si="16"/>
        <v>0</v>
      </c>
      <c r="AS37" s="27" t="s">
        <v>573</v>
      </c>
      <c r="AT37" s="37">
        <v>46153</v>
      </c>
      <c r="AU37" s="30">
        <v>1</v>
      </c>
      <c r="AV37" s="36">
        <f t="shared" si="17"/>
        <v>165.29999999999998</v>
      </c>
      <c r="AW37" s="35">
        <v>46167</v>
      </c>
      <c r="AX37" s="30">
        <v>1</v>
      </c>
      <c r="AY37" s="32">
        <f t="shared" si="18"/>
        <v>165.29999999999998</v>
      </c>
      <c r="AZ37" s="30" t="s">
        <v>580</v>
      </c>
      <c r="BA37" s="63" t="s">
        <v>573</v>
      </c>
      <c r="BB37" s="71" t="e">
        <f>SUMIFS([1]Form!$F$8:$F$21,[1]Form!$J$8:$J$21,K37)</f>
        <v>#VALUE!</v>
      </c>
      <c r="BC37" s="71"/>
      <c r="BD37" s="71"/>
    </row>
    <row r="38" spans="1:56" hidden="1" x14ac:dyDescent="0.25">
      <c r="A38" s="24">
        <f>IF(B38="","",SUBTOTAL(3,$B$4:B38))</f>
        <v>0</v>
      </c>
      <c r="B38" s="25" t="s">
        <v>569</v>
      </c>
      <c r="C38" s="25" t="str">
        <f t="shared" si="10"/>
        <v>Shipment 1 PAR-550-22 Main</v>
      </c>
      <c r="D38" s="25" t="s">
        <v>570</v>
      </c>
      <c r="E38" s="25" t="s">
        <v>571</v>
      </c>
      <c r="F38" s="25"/>
      <c r="G38" s="65">
        <v>46393</v>
      </c>
      <c r="H38" s="25" t="s">
        <v>572</v>
      </c>
      <c r="I38" s="25" t="s">
        <v>575</v>
      </c>
      <c r="J38" s="26" t="s">
        <v>622</v>
      </c>
      <c r="K38" s="27" t="s">
        <v>129</v>
      </c>
      <c r="L38" s="28" t="s">
        <v>130</v>
      </c>
      <c r="M38" s="28" t="s">
        <v>71</v>
      </c>
      <c r="N38" s="25">
        <v>1</v>
      </c>
      <c r="O38" s="29">
        <v>421.8</v>
      </c>
      <c r="P38" s="29">
        <v>421.8</v>
      </c>
      <c r="Q38" s="25" t="s">
        <v>466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1"/>
        <v>421.8</v>
      </c>
      <c r="AF38" s="32">
        <f t="shared" si="12"/>
        <v>0</v>
      </c>
      <c r="AG38" s="30"/>
      <c r="AH38" s="33">
        <v>1</v>
      </c>
      <c r="AI38" s="34">
        <f t="shared" si="13"/>
        <v>421.8</v>
      </c>
      <c r="AJ38" s="35">
        <v>46156</v>
      </c>
      <c r="AK38" s="30">
        <v>1</v>
      </c>
      <c r="AL38" s="36">
        <f t="shared" si="14"/>
        <v>421.8</v>
      </c>
      <c r="AM38" s="35">
        <v>46162</v>
      </c>
      <c r="AN38" s="30">
        <v>1</v>
      </c>
      <c r="AO38" s="36">
        <f t="shared" si="15"/>
        <v>421.8</v>
      </c>
      <c r="AP38" s="35"/>
      <c r="AQ38" s="30"/>
      <c r="AR38" s="36">
        <f t="shared" si="16"/>
        <v>0</v>
      </c>
      <c r="AS38" s="27" t="s">
        <v>618</v>
      </c>
      <c r="AT38" s="37">
        <v>46199</v>
      </c>
      <c r="AU38" s="30">
        <v>1</v>
      </c>
      <c r="AV38" s="36">
        <f t="shared" si="17"/>
        <v>421.8</v>
      </c>
      <c r="AW38" s="35">
        <v>46203</v>
      </c>
      <c r="AX38" s="30">
        <v>1</v>
      </c>
      <c r="AY38" s="32">
        <f t="shared" si="18"/>
        <v>421.8</v>
      </c>
      <c r="AZ38" s="30" t="s">
        <v>616</v>
      </c>
      <c r="BA38" s="63" t="s">
        <v>619</v>
      </c>
      <c r="BB38" s="71"/>
      <c r="BC38" s="71"/>
      <c r="BD38" s="71"/>
    </row>
    <row r="39" spans="1:56" hidden="1" x14ac:dyDescent="0.25">
      <c r="A39" s="24">
        <f>IF(B39="","",SUBTOTAL(3,$B$4:B39))</f>
        <v>0</v>
      </c>
      <c r="B39" s="25" t="s">
        <v>569</v>
      </c>
      <c r="C39" s="25" t="str">
        <f t="shared" si="10"/>
        <v>Shipment 1 PAR-550-22 Main</v>
      </c>
      <c r="D39" s="25" t="s">
        <v>570</v>
      </c>
      <c r="E39" s="25" t="s">
        <v>571</v>
      </c>
      <c r="F39" s="25"/>
      <c r="G39" s="65">
        <v>46393</v>
      </c>
      <c r="H39" s="25" t="s">
        <v>572</v>
      </c>
      <c r="I39" s="25" t="s">
        <v>575</v>
      </c>
      <c r="J39" s="26" t="s">
        <v>622</v>
      </c>
      <c r="K39" s="27" t="s">
        <v>131</v>
      </c>
      <c r="L39" s="28" t="s">
        <v>132</v>
      </c>
      <c r="M39" s="28" t="s">
        <v>71</v>
      </c>
      <c r="N39" s="25">
        <v>1</v>
      </c>
      <c r="O39" s="29">
        <v>421.2</v>
      </c>
      <c r="P39" s="29">
        <v>421.2</v>
      </c>
      <c r="Q39" s="25" t="s">
        <v>466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1"/>
        <v>421.20000000000005</v>
      </c>
      <c r="AF39" s="32">
        <f t="shared" si="12"/>
        <v>0</v>
      </c>
      <c r="AG39" s="30"/>
      <c r="AH39" s="33">
        <v>1</v>
      </c>
      <c r="AI39" s="34">
        <f t="shared" si="13"/>
        <v>421.2</v>
      </c>
      <c r="AJ39" s="35">
        <v>46156</v>
      </c>
      <c r="AK39" s="30">
        <v>1</v>
      </c>
      <c r="AL39" s="36">
        <f t="shared" si="14"/>
        <v>421.2</v>
      </c>
      <c r="AM39" s="35">
        <v>46162</v>
      </c>
      <c r="AN39" s="30">
        <v>1</v>
      </c>
      <c r="AO39" s="36">
        <f t="shared" si="15"/>
        <v>421.2</v>
      </c>
      <c r="AP39" s="35"/>
      <c r="AQ39" s="30"/>
      <c r="AR39" s="36">
        <f t="shared" si="16"/>
        <v>0</v>
      </c>
      <c r="AS39" s="27" t="s">
        <v>617</v>
      </c>
      <c r="AT39" s="37">
        <v>46190</v>
      </c>
      <c r="AU39" s="30">
        <v>1</v>
      </c>
      <c r="AV39" s="36">
        <f t="shared" si="17"/>
        <v>421.2</v>
      </c>
      <c r="AW39" s="35">
        <v>46192</v>
      </c>
      <c r="AX39" s="30">
        <v>1</v>
      </c>
      <c r="AY39" s="32">
        <f t="shared" ref="AY39" si="23">IFERROR(AX39*$P39/$N39,0)</f>
        <v>421.2</v>
      </c>
      <c r="AZ39" s="30" t="s">
        <v>616</v>
      </c>
      <c r="BA39" s="63" t="s">
        <v>614</v>
      </c>
      <c r="BB39" s="71"/>
      <c r="BC39" s="71"/>
      <c r="BD39" s="71"/>
    </row>
    <row r="40" spans="1:56" hidden="1" x14ac:dyDescent="0.25">
      <c r="A40" s="24">
        <f>IF(B40="","",SUBTOTAL(3,$B$4:B40))</f>
        <v>0</v>
      </c>
      <c r="B40" s="25" t="s">
        <v>569</v>
      </c>
      <c r="C40" s="25" t="str">
        <f t="shared" si="10"/>
        <v>Shipment 1 PAR-550-22 Main</v>
      </c>
      <c r="D40" s="25" t="s">
        <v>570</v>
      </c>
      <c r="E40" s="25" t="s">
        <v>571</v>
      </c>
      <c r="F40" s="25"/>
      <c r="G40" s="65">
        <v>46393</v>
      </c>
      <c r="H40" s="25" t="s">
        <v>572</v>
      </c>
      <c r="I40" s="25" t="s">
        <v>576</v>
      </c>
      <c r="J40" s="26" t="s">
        <v>623</v>
      </c>
      <c r="K40" s="27" t="s">
        <v>133</v>
      </c>
      <c r="L40" s="28" t="s">
        <v>134</v>
      </c>
      <c r="M40" s="28" t="s">
        <v>71</v>
      </c>
      <c r="N40" s="25">
        <v>1</v>
      </c>
      <c r="O40" s="29">
        <v>158.80000000000001</v>
      </c>
      <c r="P40" s="29">
        <v>158.80000000000001</v>
      </c>
      <c r="Q40" s="25" t="s">
        <v>467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1"/>
        <v>158.80000000000001</v>
      </c>
      <c r="AF40" s="32">
        <f t="shared" si="12"/>
        <v>0</v>
      </c>
      <c r="AG40" s="30"/>
      <c r="AH40" s="33">
        <v>1</v>
      </c>
      <c r="AI40" s="34">
        <f t="shared" si="13"/>
        <v>158.80000000000001</v>
      </c>
      <c r="AJ40" s="35">
        <v>46151</v>
      </c>
      <c r="AK40" s="30">
        <v>1</v>
      </c>
      <c r="AL40" s="36">
        <f t="shared" si="14"/>
        <v>158.80000000000001</v>
      </c>
      <c r="AM40" s="35">
        <v>46153</v>
      </c>
      <c r="AN40" s="30">
        <v>1</v>
      </c>
      <c r="AO40" s="36">
        <f t="shared" si="15"/>
        <v>158.80000000000001</v>
      </c>
      <c r="AP40" s="35"/>
      <c r="AQ40" s="30"/>
      <c r="AR40" s="36">
        <f t="shared" si="16"/>
        <v>0</v>
      </c>
      <c r="AS40" s="27" t="s">
        <v>573</v>
      </c>
      <c r="AT40" s="37">
        <v>46153</v>
      </c>
      <c r="AU40" s="30">
        <v>1</v>
      </c>
      <c r="AV40" s="36">
        <f t="shared" si="17"/>
        <v>158.80000000000001</v>
      </c>
      <c r="AW40" s="35">
        <v>46167</v>
      </c>
      <c r="AX40" s="30">
        <v>1</v>
      </c>
      <c r="AY40" s="32">
        <f t="shared" si="18"/>
        <v>158.80000000000001</v>
      </c>
      <c r="AZ40" s="30" t="s">
        <v>580</v>
      </c>
      <c r="BA40" s="63" t="s">
        <v>573</v>
      </c>
      <c r="BB40" s="71" t="e">
        <f>SUMIFS([1]Form!$F$8:$F$21,[1]Form!$J$8:$J$21,K40)</f>
        <v>#VALUE!</v>
      </c>
      <c r="BC40" s="71"/>
      <c r="BD40" s="71"/>
    </row>
    <row r="41" spans="1:56" hidden="1" x14ac:dyDescent="0.25">
      <c r="A41" s="24">
        <f>IF(B41="","",SUBTOTAL(3,$B$4:B41))</f>
        <v>0</v>
      </c>
      <c r="B41" s="25" t="s">
        <v>569</v>
      </c>
      <c r="C41" s="25" t="str">
        <f t="shared" si="10"/>
        <v>Shipment 1 PAR-550-22 Main</v>
      </c>
      <c r="D41" s="25" t="s">
        <v>570</v>
      </c>
      <c r="E41" s="25" t="s">
        <v>571</v>
      </c>
      <c r="F41" s="25"/>
      <c r="G41" s="65">
        <v>46393</v>
      </c>
      <c r="H41" s="25" t="s">
        <v>572</v>
      </c>
      <c r="I41" s="25" t="s">
        <v>576</v>
      </c>
      <c r="J41" s="26" t="s">
        <v>623</v>
      </c>
      <c r="K41" s="27" t="s">
        <v>133</v>
      </c>
      <c r="L41" s="28" t="s">
        <v>135</v>
      </c>
      <c r="M41" s="28" t="s">
        <v>71</v>
      </c>
      <c r="N41" s="25">
        <v>1</v>
      </c>
      <c r="O41" s="29">
        <v>158.80000000000001</v>
      </c>
      <c r="P41" s="29">
        <v>158.80000000000001</v>
      </c>
      <c r="Q41" s="25" t="s">
        <v>467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1"/>
        <v>158.80000000000001</v>
      </c>
      <c r="AF41" s="32">
        <f t="shared" si="12"/>
        <v>0</v>
      </c>
      <c r="AG41" s="30"/>
      <c r="AH41" s="33">
        <v>1</v>
      </c>
      <c r="AI41" s="34">
        <f t="shared" si="13"/>
        <v>158.80000000000001</v>
      </c>
      <c r="AJ41" s="35">
        <v>46151</v>
      </c>
      <c r="AK41" s="30">
        <v>1</v>
      </c>
      <c r="AL41" s="36">
        <f t="shared" si="14"/>
        <v>158.80000000000001</v>
      </c>
      <c r="AM41" s="35">
        <v>46153</v>
      </c>
      <c r="AN41" s="30">
        <v>1</v>
      </c>
      <c r="AO41" s="36">
        <f t="shared" si="15"/>
        <v>158.80000000000001</v>
      </c>
      <c r="AP41" s="35"/>
      <c r="AQ41" s="30"/>
      <c r="AR41" s="36">
        <f t="shared" si="16"/>
        <v>0</v>
      </c>
      <c r="AS41" s="27" t="s">
        <v>573</v>
      </c>
      <c r="AT41" s="37">
        <v>46153</v>
      </c>
      <c r="AU41" s="30">
        <v>1</v>
      </c>
      <c r="AV41" s="36">
        <f t="shared" si="17"/>
        <v>158.80000000000001</v>
      </c>
      <c r="AW41" s="35">
        <v>46167</v>
      </c>
      <c r="AX41" s="30">
        <v>1</v>
      </c>
      <c r="AY41" s="32">
        <f t="shared" si="18"/>
        <v>158.80000000000001</v>
      </c>
      <c r="AZ41" s="30" t="s">
        <v>580</v>
      </c>
      <c r="BA41" s="63" t="s">
        <v>573</v>
      </c>
      <c r="BB41" s="71" t="e">
        <f>SUMIFS([1]Form!$F$8:$F$21,[1]Form!$J$8:$J$21,K41)</f>
        <v>#VALUE!</v>
      </c>
      <c r="BC41" s="71"/>
      <c r="BD41" s="71"/>
    </row>
    <row r="42" spans="1:56" hidden="1" x14ac:dyDescent="0.25">
      <c r="A42" s="24">
        <f>IF(B42="","",SUBTOTAL(3,$B$4:B42))</f>
        <v>0</v>
      </c>
      <c r="B42" s="25" t="s">
        <v>569</v>
      </c>
      <c r="C42" s="25" t="str">
        <f t="shared" si="10"/>
        <v>Shipment 1 PAR-550-22 Main</v>
      </c>
      <c r="D42" s="25" t="s">
        <v>570</v>
      </c>
      <c r="E42" s="25" t="s">
        <v>571</v>
      </c>
      <c r="F42" s="25"/>
      <c r="G42" s="65">
        <v>46393</v>
      </c>
      <c r="H42" s="25" t="s">
        <v>572</v>
      </c>
      <c r="I42" s="25" t="s">
        <v>576</v>
      </c>
      <c r="J42" s="26" t="s">
        <v>623</v>
      </c>
      <c r="K42" s="27" t="s">
        <v>136</v>
      </c>
      <c r="L42" s="28" t="s">
        <v>137</v>
      </c>
      <c r="M42" s="28" t="s">
        <v>71</v>
      </c>
      <c r="N42" s="25">
        <v>1</v>
      </c>
      <c r="O42" s="29">
        <v>13.6</v>
      </c>
      <c r="P42" s="29">
        <v>13.6</v>
      </c>
      <c r="Q42" s="25" t="s">
        <v>468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1"/>
        <v>13.6</v>
      </c>
      <c r="AF42" s="32">
        <f t="shared" si="12"/>
        <v>0</v>
      </c>
      <c r="AG42" s="30"/>
      <c r="AH42" s="33">
        <v>1</v>
      </c>
      <c r="AI42" s="34">
        <f t="shared" si="13"/>
        <v>13.6</v>
      </c>
      <c r="AJ42" s="35">
        <v>46156</v>
      </c>
      <c r="AK42" s="30">
        <v>1</v>
      </c>
      <c r="AL42" s="36">
        <f t="shared" si="14"/>
        <v>13.6</v>
      </c>
      <c r="AM42" s="35">
        <v>46162</v>
      </c>
      <c r="AN42" s="30">
        <v>1</v>
      </c>
      <c r="AO42" s="36">
        <f t="shared" si="15"/>
        <v>13.6</v>
      </c>
      <c r="AP42" s="35"/>
      <c r="AQ42" s="30"/>
      <c r="AR42" s="36">
        <f t="shared" si="16"/>
        <v>0</v>
      </c>
      <c r="AS42" s="27" t="s">
        <v>589</v>
      </c>
      <c r="AT42" s="37">
        <v>46168</v>
      </c>
      <c r="AU42" s="30">
        <v>1</v>
      </c>
      <c r="AV42" s="36">
        <f t="shared" si="17"/>
        <v>13.6</v>
      </c>
      <c r="AW42" s="35">
        <v>46171</v>
      </c>
      <c r="AX42" s="30">
        <v>1</v>
      </c>
      <c r="AY42" s="32">
        <f t="shared" ref="AY42:AY43" si="24">IFERROR(AX42*$P42/$N42,0)</f>
        <v>13.6</v>
      </c>
      <c r="AZ42" s="30" t="s">
        <v>580</v>
      </c>
      <c r="BA42" s="63" t="s">
        <v>589</v>
      </c>
      <c r="BB42" s="71" t="e">
        <f>SUMIFS([1]Form!$F$8:$F$21,[1]Form!$J$8:$J$21,K42)</f>
        <v>#VALUE!</v>
      </c>
      <c r="BC42" s="71"/>
      <c r="BD42" s="71"/>
    </row>
    <row r="43" spans="1:56" hidden="1" x14ac:dyDescent="0.25">
      <c r="A43" s="24">
        <f>IF(B43="","",SUBTOTAL(3,$B$4:B43))</f>
        <v>0</v>
      </c>
      <c r="B43" s="25" t="s">
        <v>569</v>
      </c>
      <c r="C43" s="25" t="str">
        <f t="shared" si="10"/>
        <v>Shipment 1 PAR-550-22 Main</v>
      </c>
      <c r="D43" s="25" t="s">
        <v>570</v>
      </c>
      <c r="E43" s="25" t="s">
        <v>571</v>
      </c>
      <c r="F43" s="25"/>
      <c r="G43" s="65">
        <v>46393</v>
      </c>
      <c r="H43" s="25" t="s">
        <v>572</v>
      </c>
      <c r="I43" s="25" t="s">
        <v>576</v>
      </c>
      <c r="J43" s="26" t="s">
        <v>622</v>
      </c>
      <c r="K43" s="27" t="s">
        <v>138</v>
      </c>
      <c r="L43" s="28" t="s">
        <v>139</v>
      </c>
      <c r="M43" s="28" t="s">
        <v>71</v>
      </c>
      <c r="N43" s="25">
        <v>1</v>
      </c>
      <c r="O43" s="29">
        <v>35.700000000000003</v>
      </c>
      <c r="P43" s="29">
        <v>35.700000000000003</v>
      </c>
      <c r="Q43" s="25" t="s">
        <v>469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1"/>
        <v>35.700000000000003</v>
      </c>
      <c r="AF43" s="32">
        <f t="shared" si="12"/>
        <v>0</v>
      </c>
      <c r="AG43" s="30"/>
      <c r="AH43" s="33">
        <v>1</v>
      </c>
      <c r="AI43" s="34">
        <f t="shared" si="13"/>
        <v>35.700000000000003</v>
      </c>
      <c r="AJ43" s="35">
        <v>46156</v>
      </c>
      <c r="AK43" s="30">
        <v>1</v>
      </c>
      <c r="AL43" s="36">
        <f t="shared" si="14"/>
        <v>35.700000000000003</v>
      </c>
      <c r="AM43" s="35">
        <v>46162</v>
      </c>
      <c r="AN43" s="30">
        <v>1</v>
      </c>
      <c r="AO43" s="36">
        <f t="shared" si="15"/>
        <v>35.700000000000003</v>
      </c>
      <c r="AP43" s="35"/>
      <c r="AQ43" s="30"/>
      <c r="AR43" s="36">
        <f t="shared" si="16"/>
        <v>0</v>
      </c>
      <c r="AS43" s="27" t="s">
        <v>617</v>
      </c>
      <c r="AT43" s="37">
        <v>46190</v>
      </c>
      <c r="AU43" s="30">
        <v>1</v>
      </c>
      <c r="AV43" s="36">
        <f t="shared" si="17"/>
        <v>35.700000000000003</v>
      </c>
      <c r="AW43" s="35">
        <v>46192</v>
      </c>
      <c r="AX43" s="30">
        <v>1</v>
      </c>
      <c r="AY43" s="32">
        <f t="shared" si="24"/>
        <v>35.700000000000003</v>
      </c>
      <c r="AZ43" s="30" t="s">
        <v>616</v>
      </c>
      <c r="BA43" s="63" t="s">
        <v>614</v>
      </c>
      <c r="BB43" s="71"/>
      <c r="BC43" s="71"/>
      <c r="BD43" s="71"/>
    </row>
    <row r="44" spans="1:56" hidden="1" x14ac:dyDescent="0.25">
      <c r="A44" s="24">
        <f>IF(B44="","",SUBTOTAL(3,$B$4:B44))</f>
        <v>0</v>
      </c>
      <c r="B44" s="25" t="s">
        <v>569</v>
      </c>
      <c r="C44" s="25" t="str">
        <f t="shared" si="10"/>
        <v>Shipment 1 PAR-550-22 Main</v>
      </c>
      <c r="D44" s="25" t="s">
        <v>570</v>
      </c>
      <c r="E44" s="25" t="s">
        <v>571</v>
      </c>
      <c r="F44" s="25"/>
      <c r="G44" s="65">
        <v>46393</v>
      </c>
      <c r="H44" s="25" t="s">
        <v>572</v>
      </c>
      <c r="I44" s="25" t="s">
        <v>576</v>
      </c>
      <c r="J44" s="26" t="s">
        <v>623</v>
      </c>
      <c r="K44" s="27" t="s">
        <v>140</v>
      </c>
      <c r="L44" s="28" t="s">
        <v>141</v>
      </c>
      <c r="M44" s="28" t="s">
        <v>71</v>
      </c>
      <c r="N44" s="25">
        <v>1</v>
      </c>
      <c r="O44" s="29">
        <v>13.6</v>
      </c>
      <c r="P44" s="29">
        <v>13.6</v>
      </c>
      <c r="Q44" s="25" t="s">
        <v>468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1"/>
        <v>13.6</v>
      </c>
      <c r="AF44" s="32">
        <f t="shared" si="12"/>
        <v>0</v>
      </c>
      <c r="AG44" s="30"/>
      <c r="AH44" s="33">
        <v>1</v>
      </c>
      <c r="AI44" s="34">
        <f t="shared" si="13"/>
        <v>13.6</v>
      </c>
      <c r="AJ44" s="35">
        <v>46156</v>
      </c>
      <c r="AK44" s="30">
        <v>1</v>
      </c>
      <c r="AL44" s="36">
        <f t="shared" si="14"/>
        <v>13.6</v>
      </c>
      <c r="AM44" s="35">
        <v>46162</v>
      </c>
      <c r="AN44" s="30">
        <v>1</v>
      </c>
      <c r="AO44" s="36">
        <f t="shared" si="15"/>
        <v>13.6</v>
      </c>
      <c r="AP44" s="35"/>
      <c r="AQ44" s="30"/>
      <c r="AR44" s="36">
        <f t="shared" si="16"/>
        <v>0</v>
      </c>
      <c r="AS44" s="27" t="s">
        <v>589</v>
      </c>
      <c r="AT44" s="37">
        <v>46168</v>
      </c>
      <c r="AU44" s="30">
        <v>1</v>
      </c>
      <c r="AV44" s="36">
        <f t="shared" si="17"/>
        <v>13.6</v>
      </c>
      <c r="AW44" s="35">
        <v>46171</v>
      </c>
      <c r="AX44" s="30">
        <v>1</v>
      </c>
      <c r="AY44" s="32">
        <f t="shared" ref="AY44" si="25">IFERROR(AX44*$P44/$N44,0)</f>
        <v>13.6</v>
      </c>
      <c r="AZ44" s="30" t="s">
        <v>580</v>
      </c>
      <c r="BA44" s="63" t="s">
        <v>589</v>
      </c>
      <c r="BB44" s="71" t="e">
        <f>SUMIFS([1]Form!$F$8:$F$21,[1]Form!$J$8:$J$21,K44)</f>
        <v>#VALUE!</v>
      </c>
      <c r="BC44" s="71"/>
      <c r="BD44" s="71"/>
    </row>
    <row r="45" spans="1:56" hidden="1" x14ac:dyDescent="0.25">
      <c r="A45" s="24">
        <f>IF(B45="","",SUBTOTAL(3,$B$4:B45))</f>
        <v>0</v>
      </c>
      <c r="B45" s="25" t="s">
        <v>569</v>
      </c>
      <c r="C45" s="25" t="str">
        <f t="shared" si="10"/>
        <v>Shipment 1 PAR-550-22 Main</v>
      </c>
      <c r="D45" s="25" t="s">
        <v>570</v>
      </c>
      <c r="E45" s="25" t="s">
        <v>571</v>
      </c>
      <c r="F45" s="25"/>
      <c r="G45" s="65">
        <v>46393</v>
      </c>
      <c r="H45" s="25" t="s">
        <v>572</v>
      </c>
      <c r="I45" s="25" t="s">
        <v>575</v>
      </c>
      <c r="J45" s="26" t="s">
        <v>623</v>
      </c>
      <c r="K45" s="27" t="s">
        <v>142</v>
      </c>
      <c r="L45" s="28" t="s">
        <v>143</v>
      </c>
      <c r="M45" s="28" t="s">
        <v>71</v>
      </c>
      <c r="N45" s="25">
        <v>1</v>
      </c>
      <c r="O45" s="29">
        <v>122.7</v>
      </c>
      <c r="P45" s="29">
        <v>122.7</v>
      </c>
      <c r="Q45" s="25" t="s">
        <v>470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1"/>
        <v>122.7</v>
      </c>
      <c r="AF45" s="32">
        <f t="shared" si="12"/>
        <v>0</v>
      </c>
      <c r="AG45" s="30"/>
      <c r="AH45" s="33">
        <v>1</v>
      </c>
      <c r="AI45" s="34">
        <f t="shared" si="13"/>
        <v>122.7</v>
      </c>
      <c r="AJ45" s="35">
        <v>46156</v>
      </c>
      <c r="AK45" s="30">
        <v>1</v>
      </c>
      <c r="AL45" s="36">
        <f t="shared" si="14"/>
        <v>122.7</v>
      </c>
      <c r="AM45" s="35">
        <v>46162</v>
      </c>
      <c r="AN45" s="30">
        <v>1</v>
      </c>
      <c r="AO45" s="36">
        <f t="shared" si="15"/>
        <v>122.7</v>
      </c>
      <c r="AP45" s="35"/>
      <c r="AQ45" s="30"/>
      <c r="AR45" s="36">
        <f t="shared" si="16"/>
        <v>0</v>
      </c>
      <c r="AS45" s="27" t="s">
        <v>582</v>
      </c>
      <c r="AT45" s="37">
        <v>46164</v>
      </c>
      <c r="AU45" s="30">
        <v>1</v>
      </c>
      <c r="AV45" s="36">
        <f t="shared" si="17"/>
        <v>122.7</v>
      </c>
      <c r="AW45" s="35">
        <v>46167</v>
      </c>
      <c r="AX45" s="30">
        <v>1</v>
      </c>
      <c r="AY45" s="32">
        <f t="shared" ref="AY45" si="26">IFERROR(AX45*$P45/$N45,0)</f>
        <v>122.7</v>
      </c>
      <c r="AZ45" s="30" t="s">
        <v>580</v>
      </c>
      <c r="BA45" s="63" t="s">
        <v>581</v>
      </c>
      <c r="BB45" s="71" t="e">
        <f>SUMIFS([1]Form!$F$8:$F$21,[1]Form!$J$8:$J$21,K45)</f>
        <v>#VALUE!</v>
      </c>
      <c r="BC45" s="71"/>
      <c r="BD45" s="71"/>
    </row>
    <row r="46" spans="1:56" hidden="1" x14ac:dyDescent="0.25">
      <c r="A46" s="24">
        <f>IF(B46="","",SUBTOTAL(3,$B$4:B46))</f>
        <v>0</v>
      </c>
      <c r="B46" s="25" t="s">
        <v>569</v>
      </c>
      <c r="C46" s="25" t="str">
        <f t="shared" si="10"/>
        <v>Shipment 1 PAR-550-22 Main</v>
      </c>
      <c r="D46" s="25" t="s">
        <v>570</v>
      </c>
      <c r="E46" s="25" t="s">
        <v>571</v>
      </c>
      <c r="F46" s="25"/>
      <c r="G46" s="65">
        <v>46393</v>
      </c>
      <c r="H46" s="25" t="s">
        <v>572</v>
      </c>
      <c r="I46" s="25" t="s">
        <v>576</v>
      </c>
      <c r="J46" s="26" t="s">
        <v>623</v>
      </c>
      <c r="K46" s="27" t="s">
        <v>144</v>
      </c>
      <c r="L46" s="28" t="s">
        <v>145</v>
      </c>
      <c r="M46" s="28" t="s">
        <v>71</v>
      </c>
      <c r="N46" s="25">
        <v>1</v>
      </c>
      <c r="O46" s="29">
        <v>118.6</v>
      </c>
      <c r="P46" s="29">
        <v>118.6</v>
      </c>
      <c r="Q46" s="25" t="s">
        <v>471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1"/>
        <v>118.6</v>
      </c>
      <c r="AF46" s="32">
        <f t="shared" si="12"/>
        <v>0</v>
      </c>
      <c r="AG46" s="30"/>
      <c r="AH46" s="33">
        <v>1</v>
      </c>
      <c r="AI46" s="34">
        <f t="shared" si="13"/>
        <v>118.6</v>
      </c>
      <c r="AJ46" s="35">
        <v>46151</v>
      </c>
      <c r="AK46" s="30">
        <v>1</v>
      </c>
      <c r="AL46" s="36">
        <f t="shared" si="14"/>
        <v>118.6</v>
      </c>
      <c r="AM46" s="35">
        <v>46158</v>
      </c>
      <c r="AN46" s="30">
        <v>1</v>
      </c>
      <c r="AO46" s="36">
        <f t="shared" si="15"/>
        <v>118.6</v>
      </c>
      <c r="AP46" s="35"/>
      <c r="AQ46" s="30"/>
      <c r="AR46" s="36">
        <f t="shared" si="16"/>
        <v>0</v>
      </c>
      <c r="AS46" s="27" t="s">
        <v>579</v>
      </c>
      <c r="AT46" s="37">
        <v>46161</v>
      </c>
      <c r="AU46" s="30">
        <v>1</v>
      </c>
      <c r="AV46" s="36">
        <f t="shared" si="17"/>
        <v>118.6</v>
      </c>
      <c r="AW46" s="35">
        <v>46167</v>
      </c>
      <c r="AX46" s="30">
        <v>1</v>
      </c>
      <c r="AY46" s="32">
        <f t="shared" ref="AY46:AY48" si="27">IFERROR(AX46*$P46/$N46,0)</f>
        <v>118.6</v>
      </c>
      <c r="AZ46" s="30" t="s">
        <v>580</v>
      </c>
      <c r="BA46" s="63" t="s">
        <v>586</v>
      </c>
      <c r="BB46" s="71" t="e">
        <f>SUMIFS([1]Form!$F$8:$F$21,[1]Form!$J$8:$J$21,K46)</f>
        <v>#VALUE!</v>
      </c>
      <c r="BC46" s="71"/>
      <c r="BD46" s="71"/>
    </row>
    <row r="47" spans="1:56" hidden="1" x14ac:dyDescent="0.25">
      <c r="A47" s="24">
        <f>IF(B47="","",SUBTOTAL(3,$B$4:B47))</f>
        <v>0</v>
      </c>
      <c r="B47" s="25" t="s">
        <v>569</v>
      </c>
      <c r="C47" s="25" t="str">
        <f t="shared" si="10"/>
        <v>Shipment 1 PAR-550-22 Main</v>
      </c>
      <c r="D47" s="25" t="s">
        <v>570</v>
      </c>
      <c r="E47" s="25" t="s">
        <v>571</v>
      </c>
      <c r="F47" s="25"/>
      <c r="G47" s="65">
        <v>46393</v>
      </c>
      <c r="H47" s="25" t="s">
        <v>572</v>
      </c>
      <c r="I47" s="25" t="s">
        <v>576</v>
      </c>
      <c r="J47" s="26" t="s">
        <v>623</v>
      </c>
      <c r="K47" s="27" t="s">
        <v>146</v>
      </c>
      <c r="L47" s="28" t="s">
        <v>147</v>
      </c>
      <c r="M47" s="28" t="s">
        <v>71</v>
      </c>
      <c r="N47" s="25">
        <v>1</v>
      </c>
      <c r="O47" s="29">
        <v>54.6</v>
      </c>
      <c r="P47" s="29">
        <v>54.6</v>
      </c>
      <c r="Q47" s="25" t="s">
        <v>472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1"/>
        <v>54.6</v>
      </c>
      <c r="AF47" s="32">
        <f t="shared" si="12"/>
        <v>0</v>
      </c>
      <c r="AG47" s="30"/>
      <c r="AH47" s="33">
        <v>1</v>
      </c>
      <c r="AI47" s="34">
        <f t="shared" si="13"/>
        <v>54.6</v>
      </c>
      <c r="AJ47" s="35">
        <v>46153</v>
      </c>
      <c r="AK47" s="30">
        <v>1</v>
      </c>
      <c r="AL47" s="36">
        <f t="shared" si="14"/>
        <v>54.6</v>
      </c>
      <c r="AM47" s="35">
        <v>46153</v>
      </c>
      <c r="AN47" s="30">
        <v>1</v>
      </c>
      <c r="AO47" s="36">
        <f t="shared" si="15"/>
        <v>54.6</v>
      </c>
      <c r="AP47" s="35"/>
      <c r="AQ47" s="30"/>
      <c r="AR47" s="36">
        <f t="shared" si="16"/>
        <v>0</v>
      </c>
      <c r="AS47" s="27" t="s">
        <v>573</v>
      </c>
      <c r="AT47" s="37">
        <v>46153</v>
      </c>
      <c r="AU47" s="30">
        <v>1</v>
      </c>
      <c r="AV47" s="36">
        <f t="shared" si="17"/>
        <v>54.6</v>
      </c>
      <c r="AW47" s="35">
        <v>46167</v>
      </c>
      <c r="AX47" s="30">
        <v>1</v>
      </c>
      <c r="AY47" s="32">
        <f t="shared" si="27"/>
        <v>54.6</v>
      </c>
      <c r="AZ47" s="30" t="s">
        <v>580</v>
      </c>
      <c r="BA47" s="63" t="s">
        <v>573</v>
      </c>
      <c r="BB47" s="71" t="e">
        <f>SUMIFS([1]Form!$F$8:$F$21,[1]Form!$J$8:$J$21,K47)</f>
        <v>#VALUE!</v>
      </c>
      <c r="BC47" s="71"/>
      <c r="BD47" s="71"/>
    </row>
    <row r="48" spans="1:56" hidden="1" x14ac:dyDescent="0.25">
      <c r="A48" s="24">
        <f>IF(B48="","",SUBTOTAL(3,$B$4:B48))</f>
        <v>0</v>
      </c>
      <c r="B48" s="25" t="s">
        <v>569</v>
      </c>
      <c r="C48" s="25" t="str">
        <f t="shared" si="10"/>
        <v>Shipment 1 PAR-550-22 Main</v>
      </c>
      <c r="D48" s="25" t="s">
        <v>570</v>
      </c>
      <c r="E48" s="25" t="s">
        <v>571</v>
      </c>
      <c r="F48" s="25"/>
      <c r="G48" s="65">
        <v>46393</v>
      </c>
      <c r="H48" s="25" t="s">
        <v>572</v>
      </c>
      <c r="I48" s="25" t="s">
        <v>576</v>
      </c>
      <c r="J48" s="26" t="s">
        <v>623</v>
      </c>
      <c r="K48" s="27" t="s">
        <v>148</v>
      </c>
      <c r="L48" s="28" t="s">
        <v>149</v>
      </c>
      <c r="M48" s="28" t="s">
        <v>71</v>
      </c>
      <c r="N48" s="25">
        <v>1</v>
      </c>
      <c r="O48" s="29">
        <v>249.9</v>
      </c>
      <c r="P48" s="29">
        <v>249.9</v>
      </c>
      <c r="Q48" s="25" t="s">
        <v>473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1"/>
        <v>249.90000000000003</v>
      </c>
      <c r="AF48" s="32">
        <f t="shared" si="12"/>
        <v>0</v>
      </c>
      <c r="AG48" s="30"/>
      <c r="AH48" s="33">
        <v>1</v>
      </c>
      <c r="AI48" s="34">
        <f t="shared" si="13"/>
        <v>249.9</v>
      </c>
      <c r="AJ48" s="35">
        <v>46151</v>
      </c>
      <c r="AK48" s="30">
        <v>1</v>
      </c>
      <c r="AL48" s="36">
        <f t="shared" si="14"/>
        <v>249.9</v>
      </c>
      <c r="AM48" s="35">
        <v>46153</v>
      </c>
      <c r="AN48" s="30">
        <v>1</v>
      </c>
      <c r="AO48" s="36">
        <f t="shared" si="15"/>
        <v>249.9</v>
      </c>
      <c r="AP48" s="35"/>
      <c r="AQ48" s="30"/>
      <c r="AR48" s="36">
        <f t="shared" si="16"/>
        <v>0</v>
      </c>
      <c r="AS48" s="27" t="s">
        <v>573</v>
      </c>
      <c r="AT48" s="37">
        <v>46153</v>
      </c>
      <c r="AU48" s="30">
        <v>1</v>
      </c>
      <c r="AV48" s="36">
        <f t="shared" si="17"/>
        <v>249.9</v>
      </c>
      <c r="AW48" s="35">
        <v>46167</v>
      </c>
      <c r="AX48" s="30">
        <v>1</v>
      </c>
      <c r="AY48" s="32">
        <f t="shared" si="27"/>
        <v>249.9</v>
      </c>
      <c r="AZ48" s="30" t="s">
        <v>580</v>
      </c>
      <c r="BA48" s="63" t="s">
        <v>573</v>
      </c>
      <c r="BB48" s="71" t="e">
        <f>SUMIFS([1]Form!$F$8:$F$21,[1]Form!$J$8:$J$21,K48)</f>
        <v>#VALUE!</v>
      </c>
      <c r="BC48" s="71"/>
      <c r="BD48" s="71"/>
    </row>
    <row r="49" spans="1:56" hidden="1" x14ac:dyDescent="0.25">
      <c r="A49" s="24">
        <f>IF(B49="","",SUBTOTAL(3,$B$4:B49))</f>
        <v>0</v>
      </c>
      <c r="B49" s="25" t="s">
        <v>569</v>
      </c>
      <c r="C49" s="25" t="str">
        <f t="shared" si="10"/>
        <v>Shipment 1 PAR-550-22 Main</v>
      </c>
      <c r="D49" s="25" t="s">
        <v>570</v>
      </c>
      <c r="E49" s="25" t="s">
        <v>571</v>
      </c>
      <c r="F49" s="25"/>
      <c r="G49" s="65">
        <v>46393</v>
      </c>
      <c r="H49" s="25" t="s">
        <v>572</v>
      </c>
      <c r="I49" s="25" t="s">
        <v>575</v>
      </c>
      <c r="J49" s="26" t="s">
        <v>623</v>
      </c>
      <c r="K49" s="27" t="s">
        <v>150</v>
      </c>
      <c r="L49" s="28" t="s">
        <v>151</v>
      </c>
      <c r="M49" s="28" t="s">
        <v>71</v>
      </c>
      <c r="N49" s="25">
        <v>1</v>
      </c>
      <c r="O49" s="29">
        <v>142.30000000000001</v>
      </c>
      <c r="P49" s="29">
        <v>142.30000000000001</v>
      </c>
      <c r="Q49" s="25" t="s">
        <v>474</v>
      </c>
      <c r="R49" s="25"/>
      <c r="S49" s="26" t="s">
        <v>568</v>
      </c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1"/>
        <v>142.30000000000001</v>
      </c>
      <c r="AF49" s="32">
        <f t="shared" si="12"/>
        <v>0</v>
      </c>
      <c r="AG49" s="30"/>
      <c r="AH49" s="33">
        <v>1</v>
      </c>
      <c r="AI49" s="34">
        <f t="shared" si="13"/>
        <v>142.30000000000001</v>
      </c>
      <c r="AJ49" s="35">
        <v>46156</v>
      </c>
      <c r="AK49" s="30">
        <v>1</v>
      </c>
      <c r="AL49" s="36">
        <f t="shared" si="14"/>
        <v>142.30000000000001</v>
      </c>
      <c r="AM49" s="35">
        <v>46162</v>
      </c>
      <c r="AN49" s="30">
        <v>1</v>
      </c>
      <c r="AO49" s="36">
        <f t="shared" si="15"/>
        <v>142.30000000000001</v>
      </c>
      <c r="AP49" s="35"/>
      <c r="AQ49" s="30"/>
      <c r="AR49" s="36">
        <f t="shared" si="16"/>
        <v>0</v>
      </c>
      <c r="AS49" s="27" t="s">
        <v>583</v>
      </c>
      <c r="AT49" s="37">
        <v>46164</v>
      </c>
      <c r="AU49" s="30">
        <v>1</v>
      </c>
      <c r="AV49" s="36">
        <f t="shared" si="17"/>
        <v>142.30000000000001</v>
      </c>
      <c r="AW49" s="35">
        <v>46167</v>
      </c>
      <c r="AX49" s="30">
        <v>1</v>
      </c>
      <c r="AY49" s="32">
        <f t="shared" si="18"/>
        <v>142.30000000000001</v>
      </c>
      <c r="AZ49" s="30" t="s">
        <v>580</v>
      </c>
      <c r="BA49" s="63" t="s">
        <v>582</v>
      </c>
      <c r="BB49" s="71" t="e">
        <f>SUMIFS([1]Form!$F$8:$F$21,[1]Form!$J$8:$J$21,K49)</f>
        <v>#VALUE!</v>
      </c>
      <c r="BC49" s="71"/>
      <c r="BD49" s="71"/>
    </row>
    <row r="50" spans="1:56" hidden="1" x14ac:dyDescent="0.25">
      <c r="A50" s="24">
        <f>IF(B50="","",SUBTOTAL(3,$B$4:B50))</f>
        <v>0</v>
      </c>
      <c r="B50" s="25" t="s">
        <v>569</v>
      </c>
      <c r="C50" s="25" t="str">
        <f t="shared" si="10"/>
        <v>Shipment 1 PAR-550-22 Main</v>
      </c>
      <c r="D50" s="25" t="s">
        <v>570</v>
      </c>
      <c r="E50" s="25" t="s">
        <v>571</v>
      </c>
      <c r="F50" s="25"/>
      <c r="G50" s="65">
        <v>46393</v>
      </c>
      <c r="H50" s="25" t="s">
        <v>572</v>
      </c>
      <c r="I50" s="25" t="s">
        <v>575</v>
      </c>
      <c r="J50" s="26" t="s">
        <v>623</v>
      </c>
      <c r="K50" s="27" t="s">
        <v>152</v>
      </c>
      <c r="L50" s="28" t="s">
        <v>153</v>
      </c>
      <c r="M50" s="28" t="s">
        <v>71</v>
      </c>
      <c r="N50" s="25">
        <v>1</v>
      </c>
      <c r="O50" s="29">
        <v>239.9</v>
      </c>
      <c r="P50" s="29">
        <v>239.9</v>
      </c>
      <c r="Q50" s="25" t="s">
        <v>475</v>
      </c>
      <c r="R50" s="25"/>
      <c r="S50" s="26" t="s">
        <v>568</v>
      </c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1"/>
        <v>239.90000000000003</v>
      </c>
      <c r="AF50" s="32">
        <f t="shared" si="12"/>
        <v>0</v>
      </c>
      <c r="AG50" s="30"/>
      <c r="AH50" s="33">
        <v>1</v>
      </c>
      <c r="AI50" s="34">
        <f t="shared" si="13"/>
        <v>239.9</v>
      </c>
      <c r="AJ50" s="35">
        <v>46149</v>
      </c>
      <c r="AK50" s="30">
        <v>1</v>
      </c>
      <c r="AL50" s="36">
        <f t="shared" si="14"/>
        <v>239.9</v>
      </c>
      <c r="AM50" s="35">
        <v>46153</v>
      </c>
      <c r="AN50" s="30">
        <v>1</v>
      </c>
      <c r="AO50" s="36">
        <f t="shared" si="15"/>
        <v>239.9</v>
      </c>
      <c r="AP50" s="35"/>
      <c r="AQ50" s="30"/>
      <c r="AR50" s="36">
        <f t="shared" si="16"/>
        <v>0</v>
      </c>
      <c r="AS50" s="27" t="s">
        <v>574</v>
      </c>
      <c r="AT50" s="37">
        <v>46153</v>
      </c>
      <c r="AU50" s="30">
        <v>1</v>
      </c>
      <c r="AV50" s="36">
        <f t="shared" si="17"/>
        <v>239.9</v>
      </c>
      <c r="AW50" s="35">
        <v>46167</v>
      </c>
      <c r="AX50" s="30">
        <v>1</v>
      </c>
      <c r="AY50" s="32">
        <f t="shared" si="18"/>
        <v>239.9</v>
      </c>
      <c r="AZ50" s="30" t="s">
        <v>580</v>
      </c>
      <c r="BA50" s="63" t="s">
        <v>574</v>
      </c>
      <c r="BB50" s="71" t="e">
        <f>SUMIFS([1]Form!$F$8:$F$21,[1]Form!$J$8:$J$21,K50)</f>
        <v>#VALUE!</v>
      </c>
      <c r="BC50" s="71"/>
      <c r="BD50" s="71"/>
    </row>
    <row r="51" spans="1:56" hidden="1" x14ac:dyDescent="0.25">
      <c r="A51" s="24">
        <f>IF(B51="","",SUBTOTAL(3,$B$4:B51))</f>
        <v>0</v>
      </c>
      <c r="B51" s="25" t="s">
        <v>569</v>
      </c>
      <c r="C51" s="25" t="str">
        <f t="shared" si="10"/>
        <v>Shipment 1 PAR-550-22 Main</v>
      </c>
      <c r="D51" s="25" t="s">
        <v>570</v>
      </c>
      <c r="E51" s="25" t="s">
        <v>571</v>
      </c>
      <c r="F51" s="25"/>
      <c r="G51" s="65">
        <v>46393</v>
      </c>
      <c r="H51" s="25" t="s">
        <v>572</v>
      </c>
      <c r="I51" s="25" t="s">
        <v>576</v>
      </c>
      <c r="J51" s="26" t="s">
        <v>623</v>
      </c>
      <c r="K51" s="27" t="s">
        <v>154</v>
      </c>
      <c r="L51" s="28" t="s">
        <v>155</v>
      </c>
      <c r="M51" s="28" t="s">
        <v>71</v>
      </c>
      <c r="N51" s="25">
        <v>1</v>
      </c>
      <c r="O51" s="29">
        <v>18.72</v>
      </c>
      <c r="P51" s="29">
        <v>18.72</v>
      </c>
      <c r="Q51" s="25" t="s">
        <v>476</v>
      </c>
      <c r="R51" s="25"/>
      <c r="S51" s="26" t="s">
        <v>568</v>
      </c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1"/>
        <v>18.72</v>
      </c>
      <c r="AF51" s="32">
        <f t="shared" si="12"/>
        <v>0</v>
      </c>
      <c r="AG51" s="30"/>
      <c r="AH51" s="33">
        <v>1</v>
      </c>
      <c r="AI51" s="34">
        <f t="shared" si="13"/>
        <v>18.72</v>
      </c>
      <c r="AJ51" s="35">
        <v>46156</v>
      </c>
      <c r="AK51" s="30">
        <v>1</v>
      </c>
      <c r="AL51" s="36">
        <f t="shared" si="14"/>
        <v>18.72</v>
      </c>
      <c r="AM51" s="35">
        <v>46159</v>
      </c>
      <c r="AN51" s="30">
        <v>1</v>
      </c>
      <c r="AO51" s="36">
        <f t="shared" si="15"/>
        <v>18.72</v>
      </c>
      <c r="AP51" s="35"/>
      <c r="AQ51" s="30"/>
      <c r="AR51" s="36">
        <f t="shared" si="16"/>
        <v>0</v>
      </c>
      <c r="AS51" s="27" t="s">
        <v>590</v>
      </c>
      <c r="AT51" s="37">
        <v>46168</v>
      </c>
      <c r="AU51" s="30">
        <v>1</v>
      </c>
      <c r="AV51" s="36">
        <f t="shared" si="17"/>
        <v>18.72</v>
      </c>
      <c r="AW51" s="35">
        <v>46171</v>
      </c>
      <c r="AX51" s="30">
        <v>1</v>
      </c>
      <c r="AY51" s="32">
        <f t="shared" si="18"/>
        <v>18.72</v>
      </c>
      <c r="AZ51" s="30" t="s">
        <v>580</v>
      </c>
      <c r="BA51" s="63" t="s">
        <v>590</v>
      </c>
      <c r="BB51" s="71" t="e">
        <f>SUMIFS([1]Form!$F$8:$F$21,[1]Form!$J$8:$J$21,K51)</f>
        <v>#VALUE!</v>
      </c>
      <c r="BC51" s="71"/>
      <c r="BD51" s="71"/>
    </row>
    <row r="52" spans="1:56" hidden="1" x14ac:dyDescent="0.25">
      <c r="A52" s="24">
        <f>IF(B52="","",SUBTOTAL(3,$B$4:B52))</f>
        <v>0</v>
      </c>
      <c r="B52" s="25" t="s">
        <v>569</v>
      </c>
      <c r="C52" s="25" t="str">
        <f t="shared" si="10"/>
        <v>Shipment 1 PAR-550-22 Main</v>
      </c>
      <c r="D52" s="25" t="s">
        <v>570</v>
      </c>
      <c r="E52" s="25" t="s">
        <v>571</v>
      </c>
      <c r="F52" s="25"/>
      <c r="G52" s="65">
        <v>46393</v>
      </c>
      <c r="H52" s="25" t="s">
        <v>572</v>
      </c>
      <c r="I52" s="25" t="s">
        <v>576</v>
      </c>
      <c r="J52" s="26" t="s">
        <v>623</v>
      </c>
      <c r="K52" s="27" t="s">
        <v>154</v>
      </c>
      <c r="L52" s="28" t="s">
        <v>156</v>
      </c>
      <c r="M52" s="28" t="s">
        <v>71</v>
      </c>
      <c r="N52" s="25">
        <v>1</v>
      </c>
      <c r="O52" s="29">
        <v>18.72</v>
      </c>
      <c r="P52" s="29">
        <v>18.72</v>
      </c>
      <c r="Q52" s="25" t="s">
        <v>476</v>
      </c>
      <c r="R52" s="25"/>
      <c r="S52" s="26" t="s">
        <v>568</v>
      </c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1"/>
        <v>18.72</v>
      </c>
      <c r="AF52" s="32">
        <f t="shared" si="12"/>
        <v>0</v>
      </c>
      <c r="AG52" s="30"/>
      <c r="AH52" s="33">
        <v>1</v>
      </c>
      <c r="AI52" s="34">
        <f t="shared" si="13"/>
        <v>18.72</v>
      </c>
      <c r="AJ52" s="35">
        <v>46156</v>
      </c>
      <c r="AK52" s="30">
        <v>1</v>
      </c>
      <c r="AL52" s="36">
        <f t="shared" si="14"/>
        <v>18.72</v>
      </c>
      <c r="AM52" s="35">
        <v>46159</v>
      </c>
      <c r="AN52" s="30">
        <v>1</v>
      </c>
      <c r="AO52" s="36">
        <f t="shared" si="15"/>
        <v>18.72</v>
      </c>
      <c r="AP52" s="35"/>
      <c r="AQ52" s="30"/>
      <c r="AR52" s="36">
        <f t="shared" si="16"/>
        <v>0</v>
      </c>
      <c r="AS52" s="27" t="s">
        <v>590</v>
      </c>
      <c r="AT52" s="37">
        <v>46168</v>
      </c>
      <c r="AU52" s="30">
        <v>1</v>
      </c>
      <c r="AV52" s="36">
        <f t="shared" si="17"/>
        <v>18.72</v>
      </c>
      <c r="AW52" s="35">
        <v>46171</v>
      </c>
      <c r="AX52" s="30">
        <v>1</v>
      </c>
      <c r="AY52" s="32">
        <f t="shared" ref="AY52:AY71" si="28">IFERROR(AX52*$P52/$N52,0)</f>
        <v>18.72</v>
      </c>
      <c r="AZ52" s="30" t="s">
        <v>580</v>
      </c>
      <c r="BA52" s="63" t="s">
        <v>590</v>
      </c>
      <c r="BB52" s="71" t="e">
        <f>SUMIFS([1]Form!$F$8:$F$21,[1]Form!$J$8:$J$21,K52)</f>
        <v>#VALUE!</v>
      </c>
      <c r="BC52" s="71"/>
      <c r="BD52" s="71"/>
    </row>
    <row r="53" spans="1:56" hidden="1" x14ac:dyDescent="0.25">
      <c r="A53" s="24">
        <f>IF(B53="","",SUBTOTAL(3,$B$4:B53))</f>
        <v>0</v>
      </c>
      <c r="B53" s="25" t="s">
        <v>569</v>
      </c>
      <c r="C53" s="25" t="str">
        <f t="shared" si="10"/>
        <v>Shipment 1 PAR-550-22 Main</v>
      </c>
      <c r="D53" s="25" t="s">
        <v>570</v>
      </c>
      <c r="E53" s="25" t="s">
        <v>571</v>
      </c>
      <c r="F53" s="25"/>
      <c r="G53" s="65">
        <v>46393</v>
      </c>
      <c r="H53" s="25" t="s">
        <v>572</v>
      </c>
      <c r="I53" s="25" t="s">
        <v>576</v>
      </c>
      <c r="J53" s="26" t="s">
        <v>623</v>
      </c>
      <c r="K53" s="27" t="s">
        <v>154</v>
      </c>
      <c r="L53" s="28" t="s">
        <v>157</v>
      </c>
      <c r="M53" s="28" t="s">
        <v>71</v>
      </c>
      <c r="N53" s="25">
        <v>1</v>
      </c>
      <c r="O53" s="29">
        <v>18.72</v>
      </c>
      <c r="P53" s="29">
        <v>18.72</v>
      </c>
      <c r="Q53" s="25" t="s">
        <v>476</v>
      </c>
      <c r="R53" s="25"/>
      <c r="S53" s="26" t="s">
        <v>568</v>
      </c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1"/>
        <v>18.72</v>
      </c>
      <c r="AF53" s="32">
        <f t="shared" si="12"/>
        <v>0</v>
      </c>
      <c r="AG53" s="30"/>
      <c r="AH53" s="33">
        <v>1</v>
      </c>
      <c r="AI53" s="34">
        <f t="shared" si="13"/>
        <v>18.72</v>
      </c>
      <c r="AJ53" s="35">
        <v>46156</v>
      </c>
      <c r="AK53" s="30">
        <v>1</v>
      </c>
      <c r="AL53" s="36">
        <f t="shared" si="14"/>
        <v>18.72</v>
      </c>
      <c r="AM53" s="35">
        <v>46159</v>
      </c>
      <c r="AN53" s="30">
        <v>1</v>
      </c>
      <c r="AO53" s="36">
        <f t="shared" si="15"/>
        <v>18.72</v>
      </c>
      <c r="AP53" s="35"/>
      <c r="AQ53" s="30"/>
      <c r="AR53" s="36">
        <f t="shared" si="16"/>
        <v>0</v>
      </c>
      <c r="AS53" s="27" t="s">
        <v>590</v>
      </c>
      <c r="AT53" s="37">
        <v>46168</v>
      </c>
      <c r="AU53" s="30">
        <v>1</v>
      </c>
      <c r="AV53" s="36">
        <f t="shared" si="17"/>
        <v>18.72</v>
      </c>
      <c r="AW53" s="35">
        <v>46171</v>
      </c>
      <c r="AX53" s="30">
        <v>1</v>
      </c>
      <c r="AY53" s="32">
        <f t="shared" si="28"/>
        <v>18.72</v>
      </c>
      <c r="AZ53" s="30" t="s">
        <v>580</v>
      </c>
      <c r="BA53" s="63" t="s">
        <v>590</v>
      </c>
      <c r="BB53" s="71" t="e">
        <f>SUMIFS([1]Form!$F$8:$F$21,[1]Form!$J$8:$J$21,K53)</f>
        <v>#VALUE!</v>
      </c>
      <c r="BC53" s="71"/>
      <c r="BD53" s="71"/>
    </row>
    <row r="54" spans="1:56" hidden="1" x14ac:dyDescent="0.25">
      <c r="A54" s="24">
        <f>IF(B54="","",SUBTOTAL(3,$B$4:B54))</f>
        <v>0</v>
      </c>
      <c r="B54" s="25" t="s">
        <v>569</v>
      </c>
      <c r="C54" s="25" t="str">
        <f t="shared" si="10"/>
        <v>Shipment 1 PAR-550-22 Main</v>
      </c>
      <c r="D54" s="25" t="s">
        <v>570</v>
      </c>
      <c r="E54" s="25" t="s">
        <v>571</v>
      </c>
      <c r="F54" s="25"/>
      <c r="G54" s="65">
        <v>46393</v>
      </c>
      <c r="H54" s="25" t="s">
        <v>572</v>
      </c>
      <c r="I54" s="25" t="s">
        <v>576</v>
      </c>
      <c r="J54" s="26" t="s">
        <v>623</v>
      </c>
      <c r="K54" s="27" t="s">
        <v>154</v>
      </c>
      <c r="L54" s="28" t="s">
        <v>158</v>
      </c>
      <c r="M54" s="28" t="s">
        <v>71</v>
      </c>
      <c r="N54" s="25">
        <v>1</v>
      </c>
      <c r="O54" s="29">
        <v>18.72</v>
      </c>
      <c r="P54" s="29">
        <v>18.72</v>
      </c>
      <c r="Q54" s="25" t="s">
        <v>476</v>
      </c>
      <c r="R54" s="25"/>
      <c r="S54" s="26" t="s">
        <v>568</v>
      </c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1"/>
        <v>18.72</v>
      </c>
      <c r="AF54" s="32">
        <f t="shared" si="12"/>
        <v>0</v>
      </c>
      <c r="AG54" s="30"/>
      <c r="AH54" s="33">
        <v>1</v>
      </c>
      <c r="AI54" s="34">
        <f t="shared" si="13"/>
        <v>18.72</v>
      </c>
      <c r="AJ54" s="35">
        <v>46156</v>
      </c>
      <c r="AK54" s="30">
        <v>1</v>
      </c>
      <c r="AL54" s="36">
        <f t="shared" si="14"/>
        <v>18.72</v>
      </c>
      <c r="AM54" s="35">
        <v>46159</v>
      </c>
      <c r="AN54" s="30">
        <v>1</v>
      </c>
      <c r="AO54" s="36">
        <f t="shared" si="15"/>
        <v>18.72</v>
      </c>
      <c r="AP54" s="35"/>
      <c r="AQ54" s="30"/>
      <c r="AR54" s="36">
        <f t="shared" si="16"/>
        <v>0</v>
      </c>
      <c r="AS54" s="27" t="s">
        <v>590</v>
      </c>
      <c r="AT54" s="37">
        <v>46168</v>
      </c>
      <c r="AU54" s="30">
        <v>1</v>
      </c>
      <c r="AV54" s="36">
        <f t="shared" si="17"/>
        <v>18.72</v>
      </c>
      <c r="AW54" s="35">
        <v>46171</v>
      </c>
      <c r="AX54" s="30">
        <v>1</v>
      </c>
      <c r="AY54" s="32">
        <f t="shared" si="28"/>
        <v>18.72</v>
      </c>
      <c r="AZ54" s="30" t="s">
        <v>580</v>
      </c>
      <c r="BA54" s="63" t="s">
        <v>590</v>
      </c>
      <c r="BB54" s="71" t="e">
        <f>SUMIFS([1]Form!$F$8:$F$21,[1]Form!$J$8:$J$21,K54)</f>
        <v>#VALUE!</v>
      </c>
      <c r="BC54" s="71"/>
      <c r="BD54" s="71"/>
    </row>
    <row r="55" spans="1:56" hidden="1" x14ac:dyDescent="0.25">
      <c r="A55" s="24">
        <f>IF(B55="","",SUBTOTAL(3,$B$4:B55))</f>
        <v>0</v>
      </c>
      <c r="B55" s="25" t="s">
        <v>569</v>
      </c>
      <c r="C55" s="25" t="str">
        <f t="shared" si="10"/>
        <v>Shipment 1 PAR-550-22 Main</v>
      </c>
      <c r="D55" s="25" t="s">
        <v>570</v>
      </c>
      <c r="E55" s="25" t="s">
        <v>571</v>
      </c>
      <c r="F55" s="25"/>
      <c r="G55" s="65">
        <v>46393</v>
      </c>
      <c r="H55" s="25" t="s">
        <v>572</v>
      </c>
      <c r="I55" s="25" t="s">
        <v>576</v>
      </c>
      <c r="J55" s="26" t="s">
        <v>623</v>
      </c>
      <c r="K55" s="27" t="s">
        <v>154</v>
      </c>
      <c r="L55" s="28" t="s">
        <v>159</v>
      </c>
      <c r="M55" s="28" t="s">
        <v>71</v>
      </c>
      <c r="N55" s="25">
        <v>1</v>
      </c>
      <c r="O55" s="29">
        <v>18.72</v>
      </c>
      <c r="P55" s="29">
        <v>18.72</v>
      </c>
      <c r="Q55" s="25" t="s">
        <v>476</v>
      </c>
      <c r="R55" s="25"/>
      <c r="S55" s="26" t="s">
        <v>568</v>
      </c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1"/>
        <v>18.72</v>
      </c>
      <c r="AF55" s="32">
        <f t="shared" si="12"/>
        <v>0</v>
      </c>
      <c r="AG55" s="30"/>
      <c r="AH55" s="33">
        <v>1</v>
      </c>
      <c r="AI55" s="34">
        <f t="shared" si="13"/>
        <v>18.72</v>
      </c>
      <c r="AJ55" s="35">
        <v>46156</v>
      </c>
      <c r="AK55" s="30">
        <v>1</v>
      </c>
      <c r="AL55" s="36">
        <f t="shared" si="14"/>
        <v>18.72</v>
      </c>
      <c r="AM55" s="35">
        <v>46159</v>
      </c>
      <c r="AN55" s="30">
        <v>1</v>
      </c>
      <c r="AO55" s="36">
        <f t="shared" si="15"/>
        <v>18.72</v>
      </c>
      <c r="AP55" s="35"/>
      <c r="AQ55" s="30"/>
      <c r="AR55" s="36">
        <f t="shared" si="16"/>
        <v>0</v>
      </c>
      <c r="AS55" s="27" t="s">
        <v>590</v>
      </c>
      <c r="AT55" s="37">
        <v>46168</v>
      </c>
      <c r="AU55" s="30">
        <v>1</v>
      </c>
      <c r="AV55" s="36">
        <f t="shared" si="17"/>
        <v>18.72</v>
      </c>
      <c r="AW55" s="35">
        <v>46171</v>
      </c>
      <c r="AX55" s="30">
        <v>1</v>
      </c>
      <c r="AY55" s="32">
        <f t="shared" si="28"/>
        <v>18.72</v>
      </c>
      <c r="AZ55" s="30" t="s">
        <v>580</v>
      </c>
      <c r="BA55" s="63" t="s">
        <v>590</v>
      </c>
      <c r="BB55" s="71" t="e">
        <f>SUMIFS([1]Form!$F$8:$F$21,[1]Form!$J$8:$J$21,K55)</f>
        <v>#VALUE!</v>
      </c>
      <c r="BC55" s="71"/>
      <c r="BD55" s="71"/>
    </row>
    <row r="56" spans="1:56" hidden="1" x14ac:dyDescent="0.25">
      <c r="A56" s="24">
        <f>IF(B56="","",SUBTOTAL(3,$B$4:B56))</f>
        <v>0</v>
      </c>
      <c r="B56" s="25" t="s">
        <v>569</v>
      </c>
      <c r="C56" s="25" t="str">
        <f t="shared" si="10"/>
        <v>Shipment 1 PAR-550-22 Main</v>
      </c>
      <c r="D56" s="25" t="s">
        <v>570</v>
      </c>
      <c r="E56" s="25" t="s">
        <v>571</v>
      </c>
      <c r="F56" s="25"/>
      <c r="G56" s="65">
        <v>46393</v>
      </c>
      <c r="H56" s="25" t="s">
        <v>572</v>
      </c>
      <c r="I56" s="25" t="s">
        <v>576</v>
      </c>
      <c r="J56" s="26" t="s">
        <v>623</v>
      </c>
      <c r="K56" s="27" t="s">
        <v>154</v>
      </c>
      <c r="L56" s="28" t="s">
        <v>160</v>
      </c>
      <c r="M56" s="28" t="s">
        <v>71</v>
      </c>
      <c r="N56" s="25">
        <v>1</v>
      </c>
      <c r="O56" s="29">
        <v>18.72</v>
      </c>
      <c r="P56" s="29">
        <v>18.72</v>
      </c>
      <c r="Q56" s="25" t="s">
        <v>476</v>
      </c>
      <c r="R56" s="25"/>
      <c r="S56" s="26" t="s">
        <v>568</v>
      </c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1"/>
        <v>18.72</v>
      </c>
      <c r="AF56" s="32">
        <f t="shared" si="12"/>
        <v>0</v>
      </c>
      <c r="AG56" s="30"/>
      <c r="AH56" s="33">
        <v>1</v>
      </c>
      <c r="AI56" s="34">
        <f t="shared" si="13"/>
        <v>18.72</v>
      </c>
      <c r="AJ56" s="35">
        <v>46156</v>
      </c>
      <c r="AK56" s="30">
        <v>1</v>
      </c>
      <c r="AL56" s="36">
        <f t="shared" si="14"/>
        <v>18.72</v>
      </c>
      <c r="AM56" s="35">
        <v>46159</v>
      </c>
      <c r="AN56" s="30">
        <v>1</v>
      </c>
      <c r="AO56" s="36">
        <f t="shared" si="15"/>
        <v>18.72</v>
      </c>
      <c r="AP56" s="35"/>
      <c r="AQ56" s="30"/>
      <c r="AR56" s="36">
        <f t="shared" si="16"/>
        <v>0</v>
      </c>
      <c r="AS56" s="27" t="s">
        <v>590</v>
      </c>
      <c r="AT56" s="37">
        <v>46168</v>
      </c>
      <c r="AU56" s="30">
        <v>1</v>
      </c>
      <c r="AV56" s="36">
        <f t="shared" si="17"/>
        <v>18.72</v>
      </c>
      <c r="AW56" s="35">
        <v>46171</v>
      </c>
      <c r="AX56" s="30">
        <v>1</v>
      </c>
      <c r="AY56" s="32">
        <f t="shared" si="28"/>
        <v>18.72</v>
      </c>
      <c r="AZ56" s="30" t="s">
        <v>580</v>
      </c>
      <c r="BA56" s="63" t="s">
        <v>590</v>
      </c>
      <c r="BB56" s="71" t="e">
        <f>SUMIFS([1]Form!$F$8:$F$21,[1]Form!$J$8:$J$21,K56)</f>
        <v>#VALUE!</v>
      </c>
      <c r="BC56" s="71"/>
      <c r="BD56" s="71"/>
    </row>
    <row r="57" spans="1:56" hidden="1" x14ac:dyDescent="0.25">
      <c r="A57" s="24">
        <f>IF(B57="","",SUBTOTAL(3,$B$4:B57))</f>
        <v>0</v>
      </c>
      <c r="B57" s="25" t="s">
        <v>569</v>
      </c>
      <c r="C57" s="25" t="str">
        <f t="shared" si="10"/>
        <v>Shipment 1 PAR-550-22 Main</v>
      </c>
      <c r="D57" s="25" t="s">
        <v>570</v>
      </c>
      <c r="E57" s="25" t="s">
        <v>571</v>
      </c>
      <c r="F57" s="25"/>
      <c r="G57" s="65">
        <v>46393</v>
      </c>
      <c r="H57" s="25" t="s">
        <v>572</v>
      </c>
      <c r="I57" s="25" t="s">
        <v>576</v>
      </c>
      <c r="J57" s="26" t="s">
        <v>623</v>
      </c>
      <c r="K57" s="27" t="s">
        <v>154</v>
      </c>
      <c r="L57" s="28" t="s">
        <v>161</v>
      </c>
      <c r="M57" s="28" t="s">
        <v>71</v>
      </c>
      <c r="N57" s="25">
        <v>1</v>
      </c>
      <c r="O57" s="29">
        <v>18.72</v>
      </c>
      <c r="P57" s="29">
        <v>18.72</v>
      </c>
      <c r="Q57" s="25" t="s">
        <v>476</v>
      </c>
      <c r="R57" s="25"/>
      <c r="S57" s="26" t="s">
        <v>568</v>
      </c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1"/>
        <v>18.72</v>
      </c>
      <c r="AF57" s="32">
        <f t="shared" si="12"/>
        <v>0</v>
      </c>
      <c r="AG57" s="30"/>
      <c r="AH57" s="33">
        <v>1</v>
      </c>
      <c r="AI57" s="34">
        <f t="shared" si="13"/>
        <v>18.72</v>
      </c>
      <c r="AJ57" s="35">
        <v>46156</v>
      </c>
      <c r="AK57" s="30">
        <v>1</v>
      </c>
      <c r="AL57" s="36">
        <f t="shared" si="14"/>
        <v>18.72</v>
      </c>
      <c r="AM57" s="35">
        <v>46159</v>
      </c>
      <c r="AN57" s="30">
        <v>1</v>
      </c>
      <c r="AO57" s="36">
        <f t="shared" si="15"/>
        <v>18.72</v>
      </c>
      <c r="AP57" s="35"/>
      <c r="AQ57" s="30"/>
      <c r="AR57" s="36">
        <f t="shared" si="16"/>
        <v>0</v>
      </c>
      <c r="AS57" s="27" t="s">
        <v>590</v>
      </c>
      <c r="AT57" s="37">
        <v>46168</v>
      </c>
      <c r="AU57" s="30">
        <v>1</v>
      </c>
      <c r="AV57" s="36">
        <f t="shared" si="17"/>
        <v>18.72</v>
      </c>
      <c r="AW57" s="35">
        <v>46171</v>
      </c>
      <c r="AX57" s="30">
        <v>1</v>
      </c>
      <c r="AY57" s="32">
        <f t="shared" si="28"/>
        <v>18.72</v>
      </c>
      <c r="AZ57" s="30" t="s">
        <v>580</v>
      </c>
      <c r="BA57" s="63" t="s">
        <v>590</v>
      </c>
      <c r="BB57" s="71" t="e">
        <f>SUMIFS([1]Form!$F$8:$F$21,[1]Form!$J$8:$J$21,K57)</f>
        <v>#VALUE!</v>
      </c>
      <c r="BC57" s="71"/>
      <c r="BD57" s="71"/>
    </row>
    <row r="58" spans="1:56" hidden="1" x14ac:dyDescent="0.25">
      <c r="A58" s="24">
        <f>IF(B58="","",SUBTOTAL(3,$B$4:B58))</f>
        <v>0</v>
      </c>
      <c r="B58" s="25" t="s">
        <v>569</v>
      </c>
      <c r="C58" s="25" t="str">
        <f t="shared" si="10"/>
        <v>Shipment 1 PAR-550-22 Main</v>
      </c>
      <c r="D58" s="25" t="s">
        <v>570</v>
      </c>
      <c r="E58" s="25" t="s">
        <v>571</v>
      </c>
      <c r="F58" s="25"/>
      <c r="G58" s="65">
        <v>46393</v>
      </c>
      <c r="H58" s="25" t="s">
        <v>572</v>
      </c>
      <c r="I58" s="25" t="s">
        <v>576</v>
      </c>
      <c r="J58" s="26" t="s">
        <v>623</v>
      </c>
      <c r="K58" s="27" t="s">
        <v>154</v>
      </c>
      <c r="L58" s="28" t="s">
        <v>162</v>
      </c>
      <c r="M58" s="28" t="s">
        <v>71</v>
      </c>
      <c r="N58" s="25">
        <v>1</v>
      </c>
      <c r="O58" s="29">
        <v>18.72</v>
      </c>
      <c r="P58" s="29">
        <v>18.72</v>
      </c>
      <c r="Q58" s="25" t="s">
        <v>476</v>
      </c>
      <c r="R58" s="25"/>
      <c r="S58" s="26" t="s">
        <v>568</v>
      </c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1"/>
        <v>18.72</v>
      </c>
      <c r="AF58" s="32">
        <f t="shared" si="12"/>
        <v>0</v>
      </c>
      <c r="AG58" s="30"/>
      <c r="AH58" s="33">
        <v>1</v>
      </c>
      <c r="AI58" s="34">
        <f t="shared" si="13"/>
        <v>18.72</v>
      </c>
      <c r="AJ58" s="35">
        <v>46156</v>
      </c>
      <c r="AK58" s="30">
        <v>1</v>
      </c>
      <c r="AL58" s="36">
        <f t="shared" si="14"/>
        <v>18.72</v>
      </c>
      <c r="AM58" s="35">
        <v>46159</v>
      </c>
      <c r="AN58" s="30">
        <v>1</v>
      </c>
      <c r="AO58" s="36">
        <f t="shared" si="15"/>
        <v>18.72</v>
      </c>
      <c r="AP58" s="35"/>
      <c r="AQ58" s="30"/>
      <c r="AR58" s="36">
        <f t="shared" si="16"/>
        <v>0</v>
      </c>
      <c r="AS58" s="27" t="s">
        <v>590</v>
      </c>
      <c r="AT58" s="37">
        <v>46168</v>
      </c>
      <c r="AU58" s="30">
        <v>1</v>
      </c>
      <c r="AV58" s="36">
        <f t="shared" si="17"/>
        <v>18.72</v>
      </c>
      <c r="AW58" s="35">
        <v>46171</v>
      </c>
      <c r="AX58" s="30">
        <v>1</v>
      </c>
      <c r="AY58" s="32">
        <f t="shared" si="28"/>
        <v>18.72</v>
      </c>
      <c r="AZ58" s="30" t="s">
        <v>580</v>
      </c>
      <c r="BA58" s="63" t="s">
        <v>590</v>
      </c>
      <c r="BB58" s="71" t="e">
        <f>SUMIFS([1]Form!$F$8:$F$21,[1]Form!$J$8:$J$21,K58)</f>
        <v>#VALUE!</v>
      </c>
      <c r="BC58" s="71"/>
      <c r="BD58" s="71"/>
    </row>
    <row r="59" spans="1:56" hidden="1" x14ac:dyDescent="0.25">
      <c r="A59" s="24">
        <f>IF(B59="","",SUBTOTAL(3,$B$4:B59))</f>
        <v>0</v>
      </c>
      <c r="B59" s="25" t="s">
        <v>569</v>
      </c>
      <c r="C59" s="25" t="str">
        <f t="shared" si="10"/>
        <v>Shipment 1 PAR-550-22 Main</v>
      </c>
      <c r="D59" s="25" t="s">
        <v>570</v>
      </c>
      <c r="E59" s="25" t="s">
        <v>571</v>
      </c>
      <c r="F59" s="25"/>
      <c r="G59" s="65">
        <v>46393</v>
      </c>
      <c r="H59" s="25" t="s">
        <v>572</v>
      </c>
      <c r="I59" s="25" t="s">
        <v>576</v>
      </c>
      <c r="J59" s="26" t="s">
        <v>623</v>
      </c>
      <c r="K59" s="27" t="s">
        <v>154</v>
      </c>
      <c r="L59" s="28" t="s">
        <v>163</v>
      </c>
      <c r="M59" s="28" t="s">
        <v>71</v>
      </c>
      <c r="N59" s="25">
        <v>1</v>
      </c>
      <c r="O59" s="29">
        <v>18.72</v>
      </c>
      <c r="P59" s="29">
        <v>18.72</v>
      </c>
      <c r="Q59" s="25" t="s">
        <v>476</v>
      </c>
      <c r="R59" s="25"/>
      <c r="S59" s="26" t="s">
        <v>568</v>
      </c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1"/>
        <v>18.72</v>
      </c>
      <c r="AF59" s="32">
        <f t="shared" si="12"/>
        <v>0</v>
      </c>
      <c r="AG59" s="30"/>
      <c r="AH59" s="33">
        <v>1</v>
      </c>
      <c r="AI59" s="34">
        <f t="shared" si="13"/>
        <v>18.72</v>
      </c>
      <c r="AJ59" s="35">
        <v>46156</v>
      </c>
      <c r="AK59" s="30">
        <v>1</v>
      </c>
      <c r="AL59" s="36">
        <f t="shared" si="14"/>
        <v>18.72</v>
      </c>
      <c r="AM59" s="35">
        <v>46159</v>
      </c>
      <c r="AN59" s="30">
        <v>1</v>
      </c>
      <c r="AO59" s="36">
        <f t="shared" si="15"/>
        <v>18.72</v>
      </c>
      <c r="AP59" s="35"/>
      <c r="AQ59" s="30"/>
      <c r="AR59" s="36">
        <f t="shared" si="16"/>
        <v>0</v>
      </c>
      <c r="AS59" s="27" t="s">
        <v>590</v>
      </c>
      <c r="AT59" s="37">
        <v>46168</v>
      </c>
      <c r="AU59" s="30">
        <v>1</v>
      </c>
      <c r="AV59" s="36">
        <f t="shared" si="17"/>
        <v>18.72</v>
      </c>
      <c r="AW59" s="35">
        <v>46171</v>
      </c>
      <c r="AX59" s="30">
        <v>1</v>
      </c>
      <c r="AY59" s="32">
        <f t="shared" si="28"/>
        <v>18.72</v>
      </c>
      <c r="AZ59" s="30" t="s">
        <v>580</v>
      </c>
      <c r="BA59" s="63" t="s">
        <v>590</v>
      </c>
      <c r="BB59" s="71" t="e">
        <f>SUMIFS([1]Form!$F$8:$F$21,[1]Form!$J$8:$J$21,K59)</f>
        <v>#VALUE!</v>
      </c>
      <c r="BC59" s="71"/>
      <c r="BD59" s="71"/>
    </row>
    <row r="60" spans="1:56" hidden="1" x14ac:dyDescent="0.25">
      <c r="A60" s="24">
        <f>IF(B60="","",SUBTOTAL(3,$B$4:B60))</f>
        <v>0</v>
      </c>
      <c r="B60" s="25" t="s">
        <v>569</v>
      </c>
      <c r="C60" s="25" t="str">
        <f t="shared" si="10"/>
        <v>Shipment 1 PAR-550-22 Main</v>
      </c>
      <c r="D60" s="25" t="s">
        <v>570</v>
      </c>
      <c r="E60" s="25" t="s">
        <v>571</v>
      </c>
      <c r="F60" s="25"/>
      <c r="G60" s="65">
        <v>46393</v>
      </c>
      <c r="H60" s="25" t="s">
        <v>572</v>
      </c>
      <c r="I60" s="25" t="s">
        <v>576</v>
      </c>
      <c r="J60" s="26" t="s">
        <v>623</v>
      </c>
      <c r="K60" s="27" t="s">
        <v>154</v>
      </c>
      <c r="L60" s="28" t="s">
        <v>164</v>
      </c>
      <c r="M60" s="28" t="s">
        <v>71</v>
      </c>
      <c r="N60" s="25">
        <v>1</v>
      </c>
      <c r="O60" s="29">
        <v>18.72</v>
      </c>
      <c r="P60" s="29">
        <v>18.72</v>
      </c>
      <c r="Q60" s="25" t="s">
        <v>476</v>
      </c>
      <c r="R60" s="25"/>
      <c r="S60" s="26" t="s">
        <v>568</v>
      </c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1"/>
        <v>18.72</v>
      </c>
      <c r="AF60" s="32">
        <f t="shared" si="12"/>
        <v>0</v>
      </c>
      <c r="AG60" s="30"/>
      <c r="AH60" s="33">
        <v>1</v>
      </c>
      <c r="AI60" s="34">
        <f t="shared" si="13"/>
        <v>18.72</v>
      </c>
      <c r="AJ60" s="35">
        <v>46156</v>
      </c>
      <c r="AK60" s="30">
        <v>1</v>
      </c>
      <c r="AL60" s="36">
        <f t="shared" si="14"/>
        <v>18.72</v>
      </c>
      <c r="AM60" s="35">
        <v>46159</v>
      </c>
      <c r="AN60" s="30">
        <v>1</v>
      </c>
      <c r="AO60" s="36">
        <f t="shared" si="15"/>
        <v>18.72</v>
      </c>
      <c r="AP60" s="35"/>
      <c r="AQ60" s="30"/>
      <c r="AR60" s="36">
        <f t="shared" si="16"/>
        <v>0</v>
      </c>
      <c r="AS60" s="27" t="s">
        <v>590</v>
      </c>
      <c r="AT60" s="37">
        <v>46168</v>
      </c>
      <c r="AU60" s="30">
        <v>1</v>
      </c>
      <c r="AV60" s="36">
        <f t="shared" si="17"/>
        <v>18.72</v>
      </c>
      <c r="AW60" s="35">
        <v>46171</v>
      </c>
      <c r="AX60" s="30">
        <v>1</v>
      </c>
      <c r="AY60" s="32">
        <f t="shared" si="28"/>
        <v>18.72</v>
      </c>
      <c r="AZ60" s="30" t="s">
        <v>580</v>
      </c>
      <c r="BA60" s="63" t="s">
        <v>590</v>
      </c>
      <c r="BB60" s="71" t="e">
        <f>SUMIFS([1]Form!$F$8:$F$21,[1]Form!$J$8:$J$21,K60)</f>
        <v>#VALUE!</v>
      </c>
      <c r="BC60" s="71"/>
      <c r="BD60" s="71"/>
    </row>
    <row r="61" spans="1:56" hidden="1" x14ac:dyDescent="0.25">
      <c r="A61" s="24">
        <f>IF(B61="","",SUBTOTAL(3,$B$4:B61))</f>
        <v>0</v>
      </c>
      <c r="B61" s="25" t="s">
        <v>569</v>
      </c>
      <c r="C61" s="25" t="str">
        <f t="shared" si="10"/>
        <v>Shipment 1 PAR-550-22 Main</v>
      </c>
      <c r="D61" s="25" t="s">
        <v>570</v>
      </c>
      <c r="E61" s="25" t="s">
        <v>571</v>
      </c>
      <c r="F61" s="25"/>
      <c r="G61" s="65">
        <v>46393</v>
      </c>
      <c r="H61" s="25" t="s">
        <v>572</v>
      </c>
      <c r="I61" s="25" t="s">
        <v>576</v>
      </c>
      <c r="J61" s="26" t="s">
        <v>623</v>
      </c>
      <c r="K61" s="27" t="s">
        <v>165</v>
      </c>
      <c r="L61" s="28" t="s">
        <v>166</v>
      </c>
      <c r="M61" s="28" t="s">
        <v>71</v>
      </c>
      <c r="N61" s="25">
        <v>1</v>
      </c>
      <c r="O61" s="29">
        <v>18.718181818181819</v>
      </c>
      <c r="P61" s="29">
        <v>18.718181818181819</v>
      </c>
      <c r="Q61" s="25" t="s">
        <v>476</v>
      </c>
      <c r="R61" s="25"/>
      <c r="S61" s="26" t="s">
        <v>568</v>
      </c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1"/>
        <v>18.718181818181819</v>
      </c>
      <c r="AF61" s="32">
        <f t="shared" si="12"/>
        <v>0</v>
      </c>
      <c r="AG61" s="30"/>
      <c r="AH61" s="33">
        <v>1</v>
      </c>
      <c r="AI61" s="34">
        <f t="shared" si="13"/>
        <v>18.718181818181819</v>
      </c>
      <c r="AJ61" s="35">
        <v>46156</v>
      </c>
      <c r="AK61" s="30">
        <v>1</v>
      </c>
      <c r="AL61" s="36">
        <f t="shared" si="14"/>
        <v>18.718181818181819</v>
      </c>
      <c r="AM61" s="35">
        <v>46159</v>
      </c>
      <c r="AN61" s="30">
        <v>1</v>
      </c>
      <c r="AO61" s="36">
        <f t="shared" si="15"/>
        <v>18.718181818181819</v>
      </c>
      <c r="AP61" s="35"/>
      <c r="AQ61" s="30"/>
      <c r="AR61" s="36">
        <f t="shared" si="16"/>
        <v>0</v>
      </c>
      <c r="AS61" s="27" t="s">
        <v>590</v>
      </c>
      <c r="AT61" s="37">
        <v>46168</v>
      </c>
      <c r="AU61" s="30">
        <v>1</v>
      </c>
      <c r="AV61" s="36">
        <f t="shared" si="17"/>
        <v>18.718181818181819</v>
      </c>
      <c r="AW61" s="35">
        <v>46171</v>
      </c>
      <c r="AX61" s="30">
        <v>1</v>
      </c>
      <c r="AY61" s="32">
        <f t="shared" si="28"/>
        <v>18.718181818181819</v>
      </c>
      <c r="AZ61" s="30" t="s">
        <v>580</v>
      </c>
      <c r="BA61" s="63" t="s">
        <v>590</v>
      </c>
      <c r="BB61" s="71" t="e">
        <f>SUMIFS([1]Form!$F$8:$F$21,[1]Form!$J$8:$J$21,K61)</f>
        <v>#VALUE!</v>
      </c>
      <c r="BC61" s="71"/>
      <c r="BD61" s="71"/>
    </row>
    <row r="62" spans="1:56" hidden="1" x14ac:dyDescent="0.25">
      <c r="A62" s="24">
        <f>IF(B62="","",SUBTOTAL(3,$B$4:B62))</f>
        <v>0</v>
      </c>
      <c r="B62" s="25" t="s">
        <v>569</v>
      </c>
      <c r="C62" s="25" t="str">
        <f t="shared" si="10"/>
        <v>Shipment 1 PAR-550-22 Main</v>
      </c>
      <c r="D62" s="25" t="s">
        <v>570</v>
      </c>
      <c r="E62" s="25" t="s">
        <v>571</v>
      </c>
      <c r="F62" s="25"/>
      <c r="G62" s="65">
        <v>46393</v>
      </c>
      <c r="H62" s="25" t="s">
        <v>572</v>
      </c>
      <c r="I62" s="25" t="s">
        <v>576</v>
      </c>
      <c r="J62" s="26" t="s">
        <v>623</v>
      </c>
      <c r="K62" s="27" t="s">
        <v>165</v>
      </c>
      <c r="L62" s="28" t="s">
        <v>167</v>
      </c>
      <c r="M62" s="28" t="s">
        <v>71</v>
      </c>
      <c r="N62" s="25">
        <v>1</v>
      </c>
      <c r="O62" s="29">
        <v>18.718181818181819</v>
      </c>
      <c r="P62" s="29">
        <v>18.718181818181819</v>
      </c>
      <c r="Q62" s="25" t="s">
        <v>476</v>
      </c>
      <c r="R62" s="25"/>
      <c r="S62" s="26" t="s">
        <v>568</v>
      </c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1"/>
        <v>18.718181818181819</v>
      </c>
      <c r="AF62" s="32">
        <f t="shared" si="12"/>
        <v>0</v>
      </c>
      <c r="AG62" s="30"/>
      <c r="AH62" s="33">
        <v>1</v>
      </c>
      <c r="AI62" s="34">
        <f t="shared" si="13"/>
        <v>18.718181818181819</v>
      </c>
      <c r="AJ62" s="35">
        <v>46157</v>
      </c>
      <c r="AK62" s="30">
        <v>1</v>
      </c>
      <c r="AL62" s="36">
        <f t="shared" si="14"/>
        <v>18.718181818181819</v>
      </c>
      <c r="AM62" s="35">
        <v>46159</v>
      </c>
      <c r="AN62" s="30">
        <v>1</v>
      </c>
      <c r="AO62" s="36">
        <f t="shared" si="15"/>
        <v>18.718181818181819</v>
      </c>
      <c r="AP62" s="35"/>
      <c r="AQ62" s="30"/>
      <c r="AR62" s="36">
        <f t="shared" si="16"/>
        <v>0</v>
      </c>
      <c r="AS62" s="27" t="s">
        <v>590</v>
      </c>
      <c r="AT62" s="37">
        <v>46168</v>
      </c>
      <c r="AU62" s="30">
        <v>1</v>
      </c>
      <c r="AV62" s="36">
        <f t="shared" si="17"/>
        <v>18.718181818181819</v>
      </c>
      <c r="AW62" s="35">
        <v>46171</v>
      </c>
      <c r="AX62" s="30">
        <v>1</v>
      </c>
      <c r="AY62" s="32">
        <f t="shared" si="28"/>
        <v>18.718181818181819</v>
      </c>
      <c r="AZ62" s="30" t="s">
        <v>580</v>
      </c>
      <c r="BA62" s="63" t="s">
        <v>590</v>
      </c>
      <c r="BB62" s="71" t="e">
        <f>SUMIFS([1]Form!$F$8:$F$21,[1]Form!$J$8:$J$21,K62)</f>
        <v>#VALUE!</v>
      </c>
      <c r="BC62" s="71"/>
      <c r="BD62" s="71"/>
    </row>
    <row r="63" spans="1:56" hidden="1" x14ac:dyDescent="0.25">
      <c r="A63" s="24">
        <f>IF(B63="","",SUBTOTAL(3,$B$4:B63))</f>
        <v>0</v>
      </c>
      <c r="B63" s="25" t="s">
        <v>569</v>
      </c>
      <c r="C63" s="25" t="str">
        <f t="shared" si="10"/>
        <v>Shipment 1 PAR-550-22 Main</v>
      </c>
      <c r="D63" s="25" t="s">
        <v>570</v>
      </c>
      <c r="E63" s="25" t="s">
        <v>571</v>
      </c>
      <c r="F63" s="25"/>
      <c r="G63" s="65">
        <v>46393</v>
      </c>
      <c r="H63" s="25" t="s">
        <v>572</v>
      </c>
      <c r="I63" s="25" t="s">
        <v>576</v>
      </c>
      <c r="J63" s="26" t="s">
        <v>623</v>
      </c>
      <c r="K63" s="27" t="s">
        <v>165</v>
      </c>
      <c r="L63" s="28" t="s">
        <v>168</v>
      </c>
      <c r="M63" s="28" t="s">
        <v>71</v>
      </c>
      <c r="N63" s="25">
        <v>1</v>
      </c>
      <c r="O63" s="29">
        <v>18.718181818181819</v>
      </c>
      <c r="P63" s="29">
        <v>18.718181818181819</v>
      </c>
      <c r="Q63" s="25" t="s">
        <v>476</v>
      </c>
      <c r="R63" s="25"/>
      <c r="S63" s="26" t="s">
        <v>568</v>
      </c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1"/>
        <v>18.718181818181819</v>
      </c>
      <c r="AF63" s="32">
        <f t="shared" si="12"/>
        <v>0</v>
      </c>
      <c r="AG63" s="30"/>
      <c r="AH63" s="33">
        <v>1</v>
      </c>
      <c r="AI63" s="34">
        <f t="shared" si="13"/>
        <v>18.718181818181819</v>
      </c>
      <c r="AJ63" s="35">
        <v>46157</v>
      </c>
      <c r="AK63" s="30">
        <v>1</v>
      </c>
      <c r="AL63" s="36">
        <f t="shared" si="14"/>
        <v>18.718181818181819</v>
      </c>
      <c r="AM63" s="35">
        <v>46159</v>
      </c>
      <c r="AN63" s="30">
        <v>1</v>
      </c>
      <c r="AO63" s="36">
        <f t="shared" si="15"/>
        <v>18.718181818181819</v>
      </c>
      <c r="AP63" s="35"/>
      <c r="AQ63" s="30"/>
      <c r="AR63" s="36">
        <f t="shared" si="16"/>
        <v>0</v>
      </c>
      <c r="AS63" s="27" t="s">
        <v>590</v>
      </c>
      <c r="AT63" s="37">
        <v>46168</v>
      </c>
      <c r="AU63" s="30">
        <v>1</v>
      </c>
      <c r="AV63" s="36">
        <f t="shared" si="17"/>
        <v>18.718181818181819</v>
      </c>
      <c r="AW63" s="35">
        <v>46171</v>
      </c>
      <c r="AX63" s="30">
        <v>1</v>
      </c>
      <c r="AY63" s="32">
        <f t="shared" si="28"/>
        <v>18.718181818181819</v>
      </c>
      <c r="AZ63" s="30" t="s">
        <v>580</v>
      </c>
      <c r="BA63" s="63" t="s">
        <v>590</v>
      </c>
      <c r="BB63" s="71" t="e">
        <f>SUMIFS([1]Form!$F$8:$F$21,[1]Form!$J$8:$J$21,K63)</f>
        <v>#VALUE!</v>
      </c>
      <c r="BC63" s="71"/>
      <c r="BD63" s="71"/>
    </row>
    <row r="64" spans="1:56" hidden="1" x14ac:dyDescent="0.25">
      <c r="A64" s="24">
        <f>IF(B64="","",SUBTOTAL(3,$B$4:B64))</f>
        <v>0</v>
      </c>
      <c r="B64" s="25" t="s">
        <v>569</v>
      </c>
      <c r="C64" s="25" t="str">
        <f t="shared" si="10"/>
        <v>Shipment 1 PAR-550-22 Main</v>
      </c>
      <c r="D64" s="25" t="s">
        <v>570</v>
      </c>
      <c r="E64" s="25" t="s">
        <v>571</v>
      </c>
      <c r="F64" s="25"/>
      <c r="G64" s="65">
        <v>46393</v>
      </c>
      <c r="H64" s="25" t="s">
        <v>572</v>
      </c>
      <c r="I64" s="25" t="s">
        <v>576</v>
      </c>
      <c r="J64" s="26" t="s">
        <v>623</v>
      </c>
      <c r="K64" s="27" t="s">
        <v>165</v>
      </c>
      <c r="L64" s="28" t="s">
        <v>169</v>
      </c>
      <c r="M64" s="28" t="s">
        <v>71</v>
      </c>
      <c r="N64" s="25">
        <v>1</v>
      </c>
      <c r="O64" s="29">
        <v>18.718181818181819</v>
      </c>
      <c r="P64" s="29">
        <v>18.718181818181819</v>
      </c>
      <c r="Q64" s="25" t="s">
        <v>476</v>
      </c>
      <c r="R64" s="25"/>
      <c r="S64" s="26" t="s">
        <v>568</v>
      </c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1"/>
        <v>18.718181818181819</v>
      </c>
      <c r="AF64" s="32">
        <f t="shared" si="12"/>
        <v>0</v>
      </c>
      <c r="AG64" s="30"/>
      <c r="AH64" s="33">
        <v>1</v>
      </c>
      <c r="AI64" s="34">
        <f t="shared" si="13"/>
        <v>18.718181818181819</v>
      </c>
      <c r="AJ64" s="35">
        <v>46157</v>
      </c>
      <c r="AK64" s="30">
        <v>1</v>
      </c>
      <c r="AL64" s="36">
        <f t="shared" si="14"/>
        <v>18.718181818181819</v>
      </c>
      <c r="AM64" s="35">
        <v>46159</v>
      </c>
      <c r="AN64" s="30">
        <v>1</v>
      </c>
      <c r="AO64" s="36">
        <f t="shared" si="15"/>
        <v>18.718181818181819</v>
      </c>
      <c r="AP64" s="35"/>
      <c r="AQ64" s="30"/>
      <c r="AR64" s="36">
        <f t="shared" si="16"/>
        <v>0</v>
      </c>
      <c r="AS64" s="27" t="s">
        <v>590</v>
      </c>
      <c r="AT64" s="37">
        <v>46168</v>
      </c>
      <c r="AU64" s="30">
        <v>1</v>
      </c>
      <c r="AV64" s="36">
        <f t="shared" si="17"/>
        <v>18.718181818181819</v>
      </c>
      <c r="AW64" s="35">
        <v>46171</v>
      </c>
      <c r="AX64" s="30">
        <v>1</v>
      </c>
      <c r="AY64" s="32">
        <f t="shared" si="28"/>
        <v>18.718181818181819</v>
      </c>
      <c r="AZ64" s="30" t="s">
        <v>580</v>
      </c>
      <c r="BA64" s="63" t="s">
        <v>590</v>
      </c>
      <c r="BB64" s="71" t="e">
        <f>SUMIFS([1]Form!$F$8:$F$21,[1]Form!$J$8:$J$21,K64)</f>
        <v>#VALUE!</v>
      </c>
      <c r="BC64" s="71"/>
      <c r="BD64" s="71"/>
    </row>
    <row r="65" spans="1:56" hidden="1" x14ac:dyDescent="0.25">
      <c r="A65" s="24">
        <f>IF(B65="","",SUBTOTAL(3,$B$4:B65))</f>
        <v>0</v>
      </c>
      <c r="B65" s="25" t="s">
        <v>569</v>
      </c>
      <c r="C65" s="25" t="str">
        <f t="shared" si="10"/>
        <v>Shipment 1 PAR-550-22 Main</v>
      </c>
      <c r="D65" s="25" t="s">
        <v>570</v>
      </c>
      <c r="E65" s="25" t="s">
        <v>571</v>
      </c>
      <c r="F65" s="25"/>
      <c r="G65" s="65">
        <v>46393</v>
      </c>
      <c r="H65" s="25" t="s">
        <v>572</v>
      </c>
      <c r="I65" s="25" t="s">
        <v>576</v>
      </c>
      <c r="J65" s="26" t="s">
        <v>623</v>
      </c>
      <c r="K65" s="27" t="s">
        <v>165</v>
      </c>
      <c r="L65" s="28" t="s">
        <v>170</v>
      </c>
      <c r="M65" s="28" t="s">
        <v>71</v>
      </c>
      <c r="N65" s="25">
        <v>1</v>
      </c>
      <c r="O65" s="29">
        <v>18.718181818181819</v>
      </c>
      <c r="P65" s="29">
        <v>18.718181818181819</v>
      </c>
      <c r="Q65" s="25" t="s">
        <v>476</v>
      </c>
      <c r="R65" s="25"/>
      <c r="S65" s="26" t="s">
        <v>568</v>
      </c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1"/>
        <v>18.718181818181819</v>
      </c>
      <c r="AF65" s="32">
        <f t="shared" si="12"/>
        <v>0</v>
      </c>
      <c r="AG65" s="30"/>
      <c r="AH65" s="33">
        <v>1</v>
      </c>
      <c r="AI65" s="34">
        <f t="shared" si="13"/>
        <v>18.718181818181819</v>
      </c>
      <c r="AJ65" s="35">
        <v>46157</v>
      </c>
      <c r="AK65" s="30">
        <v>1</v>
      </c>
      <c r="AL65" s="36">
        <f t="shared" si="14"/>
        <v>18.718181818181819</v>
      </c>
      <c r="AM65" s="35">
        <v>46159</v>
      </c>
      <c r="AN65" s="30">
        <v>1</v>
      </c>
      <c r="AO65" s="36">
        <f t="shared" si="15"/>
        <v>18.718181818181819</v>
      </c>
      <c r="AP65" s="35"/>
      <c r="AQ65" s="30"/>
      <c r="AR65" s="36">
        <f t="shared" si="16"/>
        <v>0</v>
      </c>
      <c r="AS65" s="27" t="s">
        <v>590</v>
      </c>
      <c r="AT65" s="37">
        <v>46168</v>
      </c>
      <c r="AU65" s="30">
        <v>1</v>
      </c>
      <c r="AV65" s="36">
        <f t="shared" si="17"/>
        <v>18.718181818181819</v>
      </c>
      <c r="AW65" s="35">
        <v>46171</v>
      </c>
      <c r="AX65" s="30">
        <v>1</v>
      </c>
      <c r="AY65" s="32">
        <f t="shared" si="28"/>
        <v>18.718181818181819</v>
      </c>
      <c r="AZ65" s="30" t="s">
        <v>580</v>
      </c>
      <c r="BA65" s="63" t="s">
        <v>590</v>
      </c>
      <c r="BB65" s="71" t="e">
        <f>SUMIFS([1]Form!$F$8:$F$21,[1]Form!$J$8:$J$21,K65)</f>
        <v>#VALUE!</v>
      </c>
      <c r="BC65" s="71"/>
      <c r="BD65" s="71"/>
    </row>
    <row r="66" spans="1:56" hidden="1" x14ac:dyDescent="0.25">
      <c r="A66" s="24">
        <f>IF(B66="","",SUBTOTAL(3,$B$4:B66))</f>
        <v>0</v>
      </c>
      <c r="B66" s="25" t="s">
        <v>569</v>
      </c>
      <c r="C66" s="25" t="str">
        <f t="shared" si="10"/>
        <v>Shipment 1 PAR-550-22 Main</v>
      </c>
      <c r="D66" s="25" t="s">
        <v>570</v>
      </c>
      <c r="E66" s="25" t="s">
        <v>571</v>
      </c>
      <c r="F66" s="25"/>
      <c r="G66" s="65">
        <v>46393</v>
      </c>
      <c r="H66" s="25" t="s">
        <v>572</v>
      </c>
      <c r="I66" s="25" t="s">
        <v>576</v>
      </c>
      <c r="J66" s="26" t="s">
        <v>623</v>
      </c>
      <c r="K66" s="27" t="s">
        <v>165</v>
      </c>
      <c r="L66" s="28" t="s">
        <v>171</v>
      </c>
      <c r="M66" s="28" t="s">
        <v>71</v>
      </c>
      <c r="N66" s="25">
        <v>1</v>
      </c>
      <c r="O66" s="29">
        <v>18.718181818181819</v>
      </c>
      <c r="P66" s="29">
        <v>18.718181818181819</v>
      </c>
      <c r="Q66" s="25" t="s">
        <v>476</v>
      </c>
      <c r="R66" s="25"/>
      <c r="S66" s="26" t="s">
        <v>568</v>
      </c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1"/>
        <v>18.718181818181819</v>
      </c>
      <c r="AF66" s="32">
        <f t="shared" si="12"/>
        <v>0</v>
      </c>
      <c r="AG66" s="30"/>
      <c r="AH66" s="33">
        <v>1</v>
      </c>
      <c r="AI66" s="34">
        <f t="shared" si="13"/>
        <v>18.718181818181819</v>
      </c>
      <c r="AJ66" s="35">
        <v>46157</v>
      </c>
      <c r="AK66" s="30">
        <v>1</v>
      </c>
      <c r="AL66" s="36">
        <f t="shared" si="14"/>
        <v>18.718181818181819</v>
      </c>
      <c r="AM66" s="35">
        <v>46159</v>
      </c>
      <c r="AN66" s="30">
        <v>1</v>
      </c>
      <c r="AO66" s="36">
        <f t="shared" si="15"/>
        <v>18.718181818181819</v>
      </c>
      <c r="AP66" s="35"/>
      <c r="AQ66" s="30"/>
      <c r="AR66" s="36">
        <f t="shared" si="16"/>
        <v>0</v>
      </c>
      <c r="AS66" s="27" t="s">
        <v>590</v>
      </c>
      <c r="AT66" s="37">
        <v>46168</v>
      </c>
      <c r="AU66" s="30">
        <v>1</v>
      </c>
      <c r="AV66" s="36">
        <f t="shared" si="17"/>
        <v>18.718181818181819</v>
      </c>
      <c r="AW66" s="35">
        <v>46171</v>
      </c>
      <c r="AX66" s="30">
        <v>1</v>
      </c>
      <c r="AY66" s="32">
        <f t="shared" si="28"/>
        <v>18.718181818181819</v>
      </c>
      <c r="AZ66" s="30" t="s">
        <v>580</v>
      </c>
      <c r="BA66" s="63" t="s">
        <v>590</v>
      </c>
      <c r="BB66" s="71" t="e">
        <f>SUMIFS([1]Form!$F$8:$F$21,[1]Form!$J$8:$J$21,K66)</f>
        <v>#VALUE!</v>
      </c>
      <c r="BC66" s="71"/>
      <c r="BD66" s="71"/>
    </row>
    <row r="67" spans="1:56" hidden="1" x14ac:dyDescent="0.25">
      <c r="A67" s="24">
        <f>IF(B67="","",SUBTOTAL(3,$B$4:B67))</f>
        <v>0</v>
      </c>
      <c r="B67" s="25" t="s">
        <v>569</v>
      </c>
      <c r="C67" s="25" t="str">
        <f t="shared" si="10"/>
        <v>Shipment 1 PAR-550-22 Main</v>
      </c>
      <c r="D67" s="25" t="s">
        <v>570</v>
      </c>
      <c r="E67" s="25" t="s">
        <v>571</v>
      </c>
      <c r="F67" s="25"/>
      <c r="G67" s="65">
        <v>46393</v>
      </c>
      <c r="H67" s="25" t="s">
        <v>572</v>
      </c>
      <c r="I67" s="25" t="s">
        <v>576</v>
      </c>
      <c r="J67" s="26" t="s">
        <v>623</v>
      </c>
      <c r="K67" s="27" t="s">
        <v>165</v>
      </c>
      <c r="L67" s="28" t="s">
        <v>172</v>
      </c>
      <c r="M67" s="28" t="s">
        <v>71</v>
      </c>
      <c r="N67" s="25">
        <v>1</v>
      </c>
      <c r="O67" s="29">
        <v>18.718181818181819</v>
      </c>
      <c r="P67" s="29">
        <v>18.718181818181819</v>
      </c>
      <c r="Q67" s="25" t="s">
        <v>476</v>
      </c>
      <c r="R67" s="25"/>
      <c r="S67" s="26" t="s">
        <v>568</v>
      </c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1"/>
        <v>18.718181818181819</v>
      </c>
      <c r="AF67" s="32">
        <f t="shared" si="12"/>
        <v>0</v>
      </c>
      <c r="AG67" s="30"/>
      <c r="AH67" s="33">
        <v>1</v>
      </c>
      <c r="AI67" s="34">
        <f t="shared" si="13"/>
        <v>18.718181818181819</v>
      </c>
      <c r="AJ67" s="35">
        <v>46157</v>
      </c>
      <c r="AK67" s="30">
        <v>1</v>
      </c>
      <c r="AL67" s="36">
        <f t="shared" si="14"/>
        <v>18.718181818181819</v>
      </c>
      <c r="AM67" s="35">
        <v>46159</v>
      </c>
      <c r="AN67" s="30">
        <v>1</v>
      </c>
      <c r="AO67" s="36">
        <f t="shared" si="15"/>
        <v>18.718181818181819</v>
      </c>
      <c r="AP67" s="35"/>
      <c r="AQ67" s="30"/>
      <c r="AR67" s="36">
        <f t="shared" si="16"/>
        <v>0</v>
      </c>
      <c r="AS67" s="27" t="s">
        <v>590</v>
      </c>
      <c r="AT67" s="37">
        <v>46168</v>
      </c>
      <c r="AU67" s="30">
        <v>1</v>
      </c>
      <c r="AV67" s="36">
        <f t="shared" si="17"/>
        <v>18.718181818181819</v>
      </c>
      <c r="AW67" s="35">
        <v>46171</v>
      </c>
      <c r="AX67" s="30">
        <v>1</v>
      </c>
      <c r="AY67" s="32">
        <f t="shared" si="28"/>
        <v>18.718181818181819</v>
      </c>
      <c r="AZ67" s="30" t="s">
        <v>580</v>
      </c>
      <c r="BA67" s="63" t="s">
        <v>590</v>
      </c>
      <c r="BB67" s="71" t="e">
        <f>SUMIFS([1]Form!$F$8:$F$21,[1]Form!$J$8:$J$21,K67)</f>
        <v>#VALUE!</v>
      </c>
      <c r="BC67" s="71"/>
      <c r="BD67" s="71"/>
    </row>
    <row r="68" spans="1:56" hidden="1" x14ac:dyDescent="0.25">
      <c r="A68" s="24">
        <f>IF(B68="","",SUBTOTAL(3,$B$4:B68))</f>
        <v>0</v>
      </c>
      <c r="B68" s="25" t="s">
        <v>569</v>
      </c>
      <c r="C68" s="25" t="str">
        <f t="shared" si="10"/>
        <v>Shipment 1 PAR-550-22 Main</v>
      </c>
      <c r="D68" s="25" t="s">
        <v>570</v>
      </c>
      <c r="E68" s="25" t="s">
        <v>571</v>
      </c>
      <c r="F68" s="25"/>
      <c r="G68" s="65">
        <v>46393</v>
      </c>
      <c r="H68" s="25" t="s">
        <v>572</v>
      </c>
      <c r="I68" s="25" t="s">
        <v>576</v>
      </c>
      <c r="J68" s="26" t="s">
        <v>623</v>
      </c>
      <c r="K68" s="27" t="s">
        <v>165</v>
      </c>
      <c r="L68" s="28" t="s">
        <v>173</v>
      </c>
      <c r="M68" s="28" t="s">
        <v>71</v>
      </c>
      <c r="N68" s="25">
        <v>1</v>
      </c>
      <c r="O68" s="29">
        <v>18.718181818181819</v>
      </c>
      <c r="P68" s="29">
        <v>18.718181818181819</v>
      </c>
      <c r="Q68" s="25" t="s">
        <v>476</v>
      </c>
      <c r="R68" s="25"/>
      <c r="S68" s="26" t="s">
        <v>568</v>
      </c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1"/>
        <v>18.718181818181819</v>
      </c>
      <c r="AF68" s="32">
        <f t="shared" si="12"/>
        <v>0</v>
      </c>
      <c r="AG68" s="30"/>
      <c r="AH68" s="33">
        <v>1</v>
      </c>
      <c r="AI68" s="34">
        <f t="shared" si="13"/>
        <v>18.718181818181819</v>
      </c>
      <c r="AJ68" s="35">
        <v>46157</v>
      </c>
      <c r="AK68" s="30">
        <v>1</v>
      </c>
      <c r="AL68" s="36">
        <f t="shared" si="14"/>
        <v>18.718181818181819</v>
      </c>
      <c r="AM68" s="35">
        <v>46159</v>
      </c>
      <c r="AN68" s="30">
        <v>1</v>
      </c>
      <c r="AO68" s="36">
        <f t="shared" si="15"/>
        <v>18.718181818181819</v>
      </c>
      <c r="AP68" s="35"/>
      <c r="AQ68" s="30"/>
      <c r="AR68" s="36">
        <f t="shared" si="16"/>
        <v>0</v>
      </c>
      <c r="AS68" s="27" t="s">
        <v>590</v>
      </c>
      <c r="AT68" s="37">
        <v>46168</v>
      </c>
      <c r="AU68" s="30">
        <v>1</v>
      </c>
      <c r="AV68" s="36">
        <f t="shared" si="17"/>
        <v>18.718181818181819</v>
      </c>
      <c r="AW68" s="35">
        <v>46171</v>
      </c>
      <c r="AX68" s="30">
        <v>1</v>
      </c>
      <c r="AY68" s="32">
        <f t="shared" si="28"/>
        <v>18.718181818181819</v>
      </c>
      <c r="AZ68" s="30" t="s">
        <v>580</v>
      </c>
      <c r="BA68" s="63" t="s">
        <v>590</v>
      </c>
      <c r="BB68" s="71" t="e">
        <f>SUMIFS([1]Form!$F$8:$F$21,[1]Form!$J$8:$J$21,K68)</f>
        <v>#VALUE!</v>
      </c>
      <c r="BC68" s="71"/>
      <c r="BD68" s="71"/>
    </row>
    <row r="69" spans="1:56" hidden="1" x14ac:dyDescent="0.25">
      <c r="A69" s="24">
        <f>IF(B69="","",SUBTOTAL(3,$B$4:B69))</f>
        <v>0</v>
      </c>
      <c r="B69" s="25" t="s">
        <v>569</v>
      </c>
      <c r="C69" s="25" t="str">
        <f t="shared" si="10"/>
        <v>Shipment 1 PAR-550-22 Main</v>
      </c>
      <c r="D69" s="25" t="s">
        <v>570</v>
      </c>
      <c r="E69" s="25" t="s">
        <v>571</v>
      </c>
      <c r="F69" s="25"/>
      <c r="G69" s="65">
        <v>46393</v>
      </c>
      <c r="H69" s="25" t="s">
        <v>572</v>
      </c>
      <c r="I69" s="25" t="s">
        <v>576</v>
      </c>
      <c r="J69" s="26" t="s">
        <v>623</v>
      </c>
      <c r="K69" s="27" t="s">
        <v>165</v>
      </c>
      <c r="L69" s="28" t="s">
        <v>174</v>
      </c>
      <c r="M69" s="28" t="s">
        <v>71</v>
      </c>
      <c r="N69" s="25">
        <v>1</v>
      </c>
      <c r="O69" s="29">
        <v>18.718181818181819</v>
      </c>
      <c r="P69" s="29">
        <v>18.718181818181819</v>
      </c>
      <c r="Q69" s="25" t="s">
        <v>476</v>
      </c>
      <c r="R69" s="25"/>
      <c r="S69" s="26" t="s">
        <v>568</v>
      </c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1"/>
        <v>18.718181818181819</v>
      </c>
      <c r="AF69" s="32">
        <f t="shared" si="12"/>
        <v>0</v>
      </c>
      <c r="AG69" s="30"/>
      <c r="AH69" s="33">
        <v>1</v>
      </c>
      <c r="AI69" s="34">
        <f t="shared" si="13"/>
        <v>18.718181818181819</v>
      </c>
      <c r="AJ69" s="35">
        <v>46157</v>
      </c>
      <c r="AK69" s="30">
        <v>1</v>
      </c>
      <c r="AL69" s="36">
        <f t="shared" si="14"/>
        <v>18.718181818181819</v>
      </c>
      <c r="AM69" s="35">
        <v>46159</v>
      </c>
      <c r="AN69" s="30">
        <v>1</v>
      </c>
      <c r="AO69" s="36">
        <f t="shared" si="15"/>
        <v>18.718181818181819</v>
      </c>
      <c r="AP69" s="35"/>
      <c r="AQ69" s="30"/>
      <c r="AR69" s="36">
        <f t="shared" si="16"/>
        <v>0</v>
      </c>
      <c r="AS69" s="27" t="s">
        <v>590</v>
      </c>
      <c r="AT69" s="37">
        <v>46168</v>
      </c>
      <c r="AU69" s="30">
        <v>1</v>
      </c>
      <c r="AV69" s="36">
        <f t="shared" si="17"/>
        <v>18.718181818181819</v>
      </c>
      <c r="AW69" s="35">
        <v>46171</v>
      </c>
      <c r="AX69" s="30">
        <v>1</v>
      </c>
      <c r="AY69" s="32">
        <f t="shared" si="28"/>
        <v>18.718181818181819</v>
      </c>
      <c r="AZ69" s="30" t="s">
        <v>580</v>
      </c>
      <c r="BA69" s="63" t="s">
        <v>590</v>
      </c>
      <c r="BB69" s="71" t="e">
        <f>SUMIFS([1]Form!$F$8:$F$21,[1]Form!$J$8:$J$21,K69)</f>
        <v>#VALUE!</v>
      </c>
      <c r="BC69" s="71"/>
      <c r="BD69" s="71"/>
    </row>
    <row r="70" spans="1:56" hidden="1" x14ac:dyDescent="0.25">
      <c r="A70" s="24">
        <f>IF(B70="","",SUBTOTAL(3,$B$4:B70))</f>
        <v>0</v>
      </c>
      <c r="B70" s="25" t="s">
        <v>569</v>
      </c>
      <c r="C70" s="25" t="str">
        <f t="shared" si="10"/>
        <v>Shipment 1 PAR-550-22 Main</v>
      </c>
      <c r="D70" s="25" t="s">
        <v>570</v>
      </c>
      <c r="E70" s="25" t="s">
        <v>571</v>
      </c>
      <c r="F70" s="25"/>
      <c r="G70" s="65">
        <v>46393</v>
      </c>
      <c r="H70" s="25" t="s">
        <v>572</v>
      </c>
      <c r="I70" s="25" t="s">
        <v>576</v>
      </c>
      <c r="J70" s="26" t="s">
        <v>623</v>
      </c>
      <c r="K70" s="27" t="s">
        <v>165</v>
      </c>
      <c r="L70" s="28" t="s">
        <v>175</v>
      </c>
      <c r="M70" s="28" t="s">
        <v>71</v>
      </c>
      <c r="N70" s="25">
        <v>1</v>
      </c>
      <c r="O70" s="29">
        <v>18.718181818181819</v>
      </c>
      <c r="P70" s="29">
        <v>18.718181818181819</v>
      </c>
      <c r="Q70" s="25" t="s">
        <v>476</v>
      </c>
      <c r="R70" s="25"/>
      <c r="S70" s="26" t="s">
        <v>568</v>
      </c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1"/>
        <v>18.718181818181819</v>
      </c>
      <c r="AF70" s="32">
        <f t="shared" si="12"/>
        <v>0</v>
      </c>
      <c r="AG70" s="30"/>
      <c r="AH70" s="33">
        <v>1</v>
      </c>
      <c r="AI70" s="34">
        <f t="shared" si="13"/>
        <v>18.718181818181819</v>
      </c>
      <c r="AJ70" s="35">
        <v>46157</v>
      </c>
      <c r="AK70" s="30">
        <v>1</v>
      </c>
      <c r="AL70" s="36">
        <f t="shared" si="14"/>
        <v>18.718181818181819</v>
      </c>
      <c r="AM70" s="35">
        <v>46159</v>
      </c>
      <c r="AN70" s="30">
        <v>1</v>
      </c>
      <c r="AO70" s="36">
        <f t="shared" si="15"/>
        <v>18.718181818181819</v>
      </c>
      <c r="AP70" s="35"/>
      <c r="AQ70" s="30"/>
      <c r="AR70" s="36">
        <f t="shared" si="16"/>
        <v>0</v>
      </c>
      <c r="AS70" s="27" t="s">
        <v>590</v>
      </c>
      <c r="AT70" s="37">
        <v>46168</v>
      </c>
      <c r="AU70" s="30">
        <v>1</v>
      </c>
      <c r="AV70" s="36">
        <f t="shared" si="17"/>
        <v>18.718181818181819</v>
      </c>
      <c r="AW70" s="35">
        <v>46171</v>
      </c>
      <c r="AX70" s="30">
        <v>1</v>
      </c>
      <c r="AY70" s="32">
        <f t="shared" si="28"/>
        <v>18.718181818181819</v>
      </c>
      <c r="AZ70" s="30" t="s">
        <v>580</v>
      </c>
      <c r="BA70" s="63" t="s">
        <v>590</v>
      </c>
      <c r="BB70" s="71" t="e">
        <f>SUMIFS([1]Form!$F$8:$F$21,[1]Form!$J$8:$J$21,K70)</f>
        <v>#VALUE!</v>
      </c>
      <c r="BC70" s="71"/>
      <c r="BD70" s="71"/>
    </row>
    <row r="71" spans="1:56" hidden="1" x14ac:dyDescent="0.25">
      <c r="A71" s="24">
        <f>IF(B71="","",SUBTOTAL(3,$B$4:B71))</f>
        <v>0</v>
      </c>
      <c r="B71" s="25" t="s">
        <v>569</v>
      </c>
      <c r="C71" s="25" t="str">
        <f t="shared" si="10"/>
        <v>Shipment 1 PAR-550-22 Main</v>
      </c>
      <c r="D71" s="25" t="s">
        <v>570</v>
      </c>
      <c r="E71" s="25" t="s">
        <v>571</v>
      </c>
      <c r="F71" s="25"/>
      <c r="G71" s="65">
        <v>46393</v>
      </c>
      <c r="H71" s="25" t="s">
        <v>572</v>
      </c>
      <c r="I71" s="25" t="s">
        <v>576</v>
      </c>
      <c r="J71" s="26" t="s">
        <v>623</v>
      </c>
      <c r="K71" s="27" t="s">
        <v>165</v>
      </c>
      <c r="L71" s="28" t="s">
        <v>176</v>
      </c>
      <c r="M71" s="28" t="s">
        <v>71</v>
      </c>
      <c r="N71" s="25">
        <v>1</v>
      </c>
      <c r="O71" s="29">
        <v>18.718181818181819</v>
      </c>
      <c r="P71" s="29">
        <v>18.718181818181819</v>
      </c>
      <c r="Q71" s="25" t="s">
        <v>476</v>
      </c>
      <c r="R71" s="25"/>
      <c r="S71" s="26" t="s">
        <v>568</v>
      </c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1"/>
        <v>18.718181818181819</v>
      </c>
      <c r="AF71" s="32">
        <f t="shared" si="12"/>
        <v>0</v>
      </c>
      <c r="AG71" s="30"/>
      <c r="AH71" s="33">
        <v>1</v>
      </c>
      <c r="AI71" s="34">
        <f t="shared" si="13"/>
        <v>18.718181818181819</v>
      </c>
      <c r="AJ71" s="35">
        <v>46157</v>
      </c>
      <c r="AK71" s="30">
        <v>1</v>
      </c>
      <c r="AL71" s="36">
        <f t="shared" si="14"/>
        <v>18.718181818181819</v>
      </c>
      <c r="AM71" s="35">
        <v>46159</v>
      </c>
      <c r="AN71" s="30">
        <v>1</v>
      </c>
      <c r="AO71" s="36">
        <f t="shared" si="15"/>
        <v>18.718181818181819</v>
      </c>
      <c r="AP71" s="35"/>
      <c r="AQ71" s="30"/>
      <c r="AR71" s="36">
        <f t="shared" si="16"/>
        <v>0</v>
      </c>
      <c r="AS71" s="27" t="s">
        <v>590</v>
      </c>
      <c r="AT71" s="37">
        <v>46168</v>
      </c>
      <c r="AU71" s="30">
        <v>1</v>
      </c>
      <c r="AV71" s="36">
        <f t="shared" si="17"/>
        <v>18.718181818181819</v>
      </c>
      <c r="AW71" s="35">
        <v>46171</v>
      </c>
      <c r="AX71" s="30">
        <v>1</v>
      </c>
      <c r="AY71" s="32">
        <f t="shared" si="28"/>
        <v>18.718181818181819</v>
      </c>
      <c r="AZ71" s="30" t="s">
        <v>580</v>
      </c>
      <c r="BA71" s="63" t="s">
        <v>590</v>
      </c>
      <c r="BB71" s="71" t="e">
        <f>SUMIFS([1]Form!$F$8:$F$21,[1]Form!$J$8:$J$21,K71)</f>
        <v>#VALUE!</v>
      </c>
      <c r="BC71" s="71"/>
      <c r="BD71" s="71"/>
    </row>
    <row r="72" spans="1:56" hidden="1" x14ac:dyDescent="0.25">
      <c r="A72" s="24">
        <f>IF(B72="","",SUBTOTAL(3,$B$4:B72))</f>
        <v>0</v>
      </c>
      <c r="B72" s="25" t="s">
        <v>569</v>
      </c>
      <c r="C72" s="25" t="str">
        <f t="shared" si="10"/>
        <v>Shipment 1 PAR-550-22 Main</v>
      </c>
      <c r="D72" s="25" t="s">
        <v>570</v>
      </c>
      <c r="E72" s="25" t="s">
        <v>571</v>
      </c>
      <c r="F72" s="25"/>
      <c r="G72" s="65">
        <v>46393</v>
      </c>
      <c r="H72" s="25" t="s">
        <v>572</v>
      </c>
      <c r="I72" s="25" t="s">
        <v>575</v>
      </c>
      <c r="J72" s="26" t="s">
        <v>623</v>
      </c>
      <c r="K72" s="27" t="s">
        <v>177</v>
      </c>
      <c r="L72" s="28" t="s">
        <v>178</v>
      </c>
      <c r="M72" s="28" t="s">
        <v>71</v>
      </c>
      <c r="N72" s="25">
        <v>1</v>
      </c>
      <c r="O72" s="29">
        <v>154.30000000000001</v>
      </c>
      <c r="P72" s="29">
        <v>154.30000000000001</v>
      </c>
      <c r="Q72" s="25" t="s">
        <v>477</v>
      </c>
      <c r="R72" s="25"/>
      <c r="S72" s="26" t="s">
        <v>568</v>
      </c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1"/>
        <v>154.30000000000001</v>
      </c>
      <c r="AF72" s="32">
        <f t="shared" si="12"/>
        <v>0</v>
      </c>
      <c r="AG72" s="30"/>
      <c r="AH72" s="33">
        <v>1</v>
      </c>
      <c r="AI72" s="34">
        <f t="shared" si="13"/>
        <v>154.30000000000001</v>
      </c>
      <c r="AJ72" s="35">
        <v>46149</v>
      </c>
      <c r="AK72" s="30">
        <v>1</v>
      </c>
      <c r="AL72" s="36">
        <f t="shared" si="14"/>
        <v>154.30000000000001</v>
      </c>
      <c r="AM72" s="35">
        <v>46156</v>
      </c>
      <c r="AN72" s="30">
        <v>1</v>
      </c>
      <c r="AO72" s="36">
        <f t="shared" si="15"/>
        <v>154.30000000000001</v>
      </c>
      <c r="AP72" s="35"/>
      <c r="AQ72" s="30"/>
      <c r="AR72" s="36">
        <f t="shared" si="16"/>
        <v>0</v>
      </c>
      <c r="AS72" s="27" t="s">
        <v>583</v>
      </c>
      <c r="AT72" s="37">
        <v>46164</v>
      </c>
      <c r="AU72" s="30">
        <v>1</v>
      </c>
      <c r="AV72" s="36">
        <f t="shared" si="17"/>
        <v>154.30000000000001</v>
      </c>
      <c r="AW72" s="35">
        <v>46167</v>
      </c>
      <c r="AX72" s="30">
        <v>1</v>
      </c>
      <c r="AY72" s="32">
        <f t="shared" ref="AY72:AY79" si="29">IFERROR(AX72*$P72/$N72,0)</f>
        <v>154.30000000000001</v>
      </c>
      <c r="AZ72" s="30" t="s">
        <v>580</v>
      </c>
      <c r="BA72" s="63" t="s">
        <v>582</v>
      </c>
      <c r="BB72" s="71" t="e">
        <f>SUMIFS([1]Form!$F$8:$F$21,[1]Form!$J$8:$J$21,K72)</f>
        <v>#VALUE!</v>
      </c>
      <c r="BC72" s="71"/>
      <c r="BD72" s="71"/>
    </row>
    <row r="73" spans="1:56" hidden="1" x14ac:dyDescent="0.25">
      <c r="A73" s="24">
        <f>IF(B73="","",SUBTOTAL(3,$B$4:B73))</f>
        <v>0</v>
      </c>
      <c r="B73" s="25" t="s">
        <v>569</v>
      </c>
      <c r="C73" s="25" t="str">
        <f t="shared" si="10"/>
        <v>Shipment 1 PAR-550-22 Main</v>
      </c>
      <c r="D73" s="25" t="s">
        <v>570</v>
      </c>
      <c r="E73" s="25" t="s">
        <v>571</v>
      </c>
      <c r="F73" s="25"/>
      <c r="G73" s="65">
        <v>46393</v>
      </c>
      <c r="H73" s="25" t="s">
        <v>572</v>
      </c>
      <c r="I73" s="25" t="s">
        <v>575</v>
      </c>
      <c r="J73" s="26" t="s">
        <v>623</v>
      </c>
      <c r="K73" s="27" t="s">
        <v>177</v>
      </c>
      <c r="L73" s="28" t="s">
        <v>179</v>
      </c>
      <c r="M73" s="28" t="s">
        <v>71</v>
      </c>
      <c r="N73" s="25">
        <v>1</v>
      </c>
      <c r="O73" s="29">
        <v>154.30000000000001</v>
      </c>
      <c r="P73" s="29">
        <v>154.30000000000001</v>
      </c>
      <c r="Q73" s="25" t="s">
        <v>477</v>
      </c>
      <c r="R73" s="25"/>
      <c r="S73" s="26" t="s">
        <v>568</v>
      </c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1"/>
        <v>154.30000000000001</v>
      </c>
      <c r="AF73" s="32">
        <f t="shared" si="12"/>
        <v>0</v>
      </c>
      <c r="AG73" s="30"/>
      <c r="AH73" s="33">
        <v>1</v>
      </c>
      <c r="AI73" s="34">
        <f t="shared" si="13"/>
        <v>154.30000000000001</v>
      </c>
      <c r="AJ73" s="35">
        <v>46149</v>
      </c>
      <c r="AK73" s="30">
        <v>1</v>
      </c>
      <c r="AL73" s="36">
        <f t="shared" si="14"/>
        <v>154.30000000000001</v>
      </c>
      <c r="AM73" s="35">
        <v>46156</v>
      </c>
      <c r="AN73" s="30">
        <v>1</v>
      </c>
      <c r="AO73" s="36">
        <f t="shared" si="15"/>
        <v>154.30000000000001</v>
      </c>
      <c r="AP73" s="35"/>
      <c r="AQ73" s="30"/>
      <c r="AR73" s="36">
        <f t="shared" si="16"/>
        <v>0</v>
      </c>
      <c r="AS73" s="27" t="s">
        <v>583</v>
      </c>
      <c r="AT73" s="37">
        <v>46164</v>
      </c>
      <c r="AU73" s="30">
        <v>1</v>
      </c>
      <c r="AV73" s="36">
        <f t="shared" si="17"/>
        <v>154.30000000000001</v>
      </c>
      <c r="AW73" s="35">
        <v>46167</v>
      </c>
      <c r="AX73" s="30">
        <v>1</v>
      </c>
      <c r="AY73" s="32">
        <f t="shared" si="29"/>
        <v>154.30000000000001</v>
      </c>
      <c r="AZ73" s="30" t="s">
        <v>580</v>
      </c>
      <c r="BA73" s="63" t="s">
        <v>582</v>
      </c>
      <c r="BB73" s="71" t="e">
        <f>SUMIFS([1]Form!$F$8:$F$21,[1]Form!$J$8:$J$21,K73)</f>
        <v>#VALUE!</v>
      </c>
      <c r="BC73" s="71"/>
      <c r="BD73" s="71"/>
    </row>
    <row r="74" spans="1:56" hidden="1" x14ac:dyDescent="0.25">
      <c r="A74" s="24">
        <f>IF(B74="","",SUBTOTAL(3,$B$4:B74))</f>
        <v>0</v>
      </c>
      <c r="B74" s="25" t="s">
        <v>569</v>
      </c>
      <c r="C74" s="25" t="str">
        <f t="shared" si="10"/>
        <v>Shipment 1 PAR-550-22 Main</v>
      </c>
      <c r="D74" s="25" t="s">
        <v>570</v>
      </c>
      <c r="E74" s="25" t="s">
        <v>571</v>
      </c>
      <c r="F74" s="25"/>
      <c r="G74" s="65">
        <v>46393</v>
      </c>
      <c r="H74" s="25" t="s">
        <v>572</v>
      </c>
      <c r="I74" s="25" t="s">
        <v>575</v>
      </c>
      <c r="J74" s="26" t="s">
        <v>623</v>
      </c>
      <c r="K74" s="27" t="s">
        <v>180</v>
      </c>
      <c r="L74" s="28" t="s">
        <v>181</v>
      </c>
      <c r="M74" s="28" t="s">
        <v>71</v>
      </c>
      <c r="N74" s="25">
        <v>1</v>
      </c>
      <c r="O74" s="29">
        <v>154.30000000000001</v>
      </c>
      <c r="P74" s="29">
        <v>154.30000000000001</v>
      </c>
      <c r="Q74" s="25" t="s">
        <v>477</v>
      </c>
      <c r="R74" s="25"/>
      <c r="S74" s="26" t="s">
        <v>568</v>
      </c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1"/>
        <v>154.30000000000001</v>
      </c>
      <c r="AF74" s="32">
        <f t="shared" si="12"/>
        <v>0</v>
      </c>
      <c r="AG74" s="30"/>
      <c r="AH74" s="33">
        <v>1</v>
      </c>
      <c r="AI74" s="34">
        <f t="shared" si="13"/>
        <v>154.30000000000001</v>
      </c>
      <c r="AJ74" s="35">
        <v>46153</v>
      </c>
      <c r="AK74" s="30">
        <v>1</v>
      </c>
      <c r="AL74" s="36">
        <f t="shared" si="14"/>
        <v>154.30000000000001</v>
      </c>
      <c r="AM74" s="35">
        <v>46159</v>
      </c>
      <c r="AN74" s="30">
        <v>1</v>
      </c>
      <c r="AO74" s="36">
        <f t="shared" si="15"/>
        <v>154.30000000000001</v>
      </c>
      <c r="AP74" s="35"/>
      <c r="AQ74" s="30"/>
      <c r="AR74" s="36">
        <f t="shared" si="16"/>
        <v>0</v>
      </c>
      <c r="AS74" s="27" t="s">
        <v>583</v>
      </c>
      <c r="AT74" s="37">
        <v>46164</v>
      </c>
      <c r="AU74" s="30">
        <v>1</v>
      </c>
      <c r="AV74" s="36">
        <f t="shared" si="17"/>
        <v>154.30000000000001</v>
      </c>
      <c r="AW74" s="35">
        <v>46167</v>
      </c>
      <c r="AX74" s="30">
        <v>1</v>
      </c>
      <c r="AY74" s="32">
        <f t="shared" si="29"/>
        <v>154.30000000000001</v>
      </c>
      <c r="AZ74" s="30" t="s">
        <v>580</v>
      </c>
      <c r="BA74" s="63" t="s">
        <v>582</v>
      </c>
      <c r="BB74" s="71" t="e">
        <f>SUMIFS([1]Form!$F$8:$F$21,[1]Form!$J$8:$J$21,K74)</f>
        <v>#VALUE!</v>
      </c>
      <c r="BC74" s="71"/>
      <c r="BD74" s="71"/>
    </row>
    <row r="75" spans="1:56" hidden="1" x14ac:dyDescent="0.25">
      <c r="A75" s="24">
        <f>IF(B75="","",SUBTOTAL(3,$B$4:B75))</f>
        <v>0</v>
      </c>
      <c r="B75" s="25" t="s">
        <v>569</v>
      </c>
      <c r="C75" s="25" t="str">
        <f t="shared" si="10"/>
        <v>Shipment 1 PAR-550-22 Main</v>
      </c>
      <c r="D75" s="25" t="s">
        <v>570</v>
      </c>
      <c r="E75" s="25" t="s">
        <v>571</v>
      </c>
      <c r="F75" s="25"/>
      <c r="G75" s="65">
        <v>46393</v>
      </c>
      <c r="H75" s="25" t="s">
        <v>572</v>
      </c>
      <c r="I75" s="25" t="s">
        <v>575</v>
      </c>
      <c r="J75" s="26" t="s">
        <v>623</v>
      </c>
      <c r="K75" s="27" t="s">
        <v>180</v>
      </c>
      <c r="L75" s="28" t="s">
        <v>182</v>
      </c>
      <c r="M75" s="28" t="s">
        <v>71</v>
      </c>
      <c r="N75" s="25">
        <v>1</v>
      </c>
      <c r="O75" s="29">
        <v>154.30000000000001</v>
      </c>
      <c r="P75" s="29">
        <v>154.30000000000001</v>
      </c>
      <c r="Q75" s="25" t="s">
        <v>477</v>
      </c>
      <c r="R75" s="25"/>
      <c r="S75" s="26" t="s">
        <v>568</v>
      </c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1"/>
        <v>154.30000000000001</v>
      </c>
      <c r="AF75" s="32">
        <f t="shared" si="12"/>
        <v>0</v>
      </c>
      <c r="AG75" s="30"/>
      <c r="AH75" s="33">
        <v>1</v>
      </c>
      <c r="AI75" s="34">
        <f t="shared" si="13"/>
        <v>154.30000000000001</v>
      </c>
      <c r="AJ75" s="35">
        <v>46153</v>
      </c>
      <c r="AK75" s="30">
        <v>1</v>
      </c>
      <c r="AL75" s="36">
        <f t="shared" si="14"/>
        <v>154.30000000000001</v>
      </c>
      <c r="AM75" s="35">
        <v>46159</v>
      </c>
      <c r="AN75" s="30">
        <v>1</v>
      </c>
      <c r="AO75" s="36">
        <f t="shared" si="15"/>
        <v>154.30000000000001</v>
      </c>
      <c r="AP75" s="35"/>
      <c r="AQ75" s="30"/>
      <c r="AR75" s="36">
        <f t="shared" si="16"/>
        <v>0</v>
      </c>
      <c r="AS75" s="27" t="s">
        <v>583</v>
      </c>
      <c r="AT75" s="37">
        <v>46164</v>
      </c>
      <c r="AU75" s="30">
        <v>1</v>
      </c>
      <c r="AV75" s="36">
        <f t="shared" si="17"/>
        <v>154.30000000000001</v>
      </c>
      <c r="AW75" s="35">
        <v>46167</v>
      </c>
      <c r="AX75" s="30">
        <v>1</v>
      </c>
      <c r="AY75" s="32">
        <f t="shared" si="29"/>
        <v>154.30000000000001</v>
      </c>
      <c r="AZ75" s="30" t="s">
        <v>580</v>
      </c>
      <c r="BA75" s="63" t="s">
        <v>582</v>
      </c>
      <c r="BB75" s="71" t="e">
        <f>SUMIFS([1]Form!$F$8:$F$21,[1]Form!$J$8:$J$21,K75)</f>
        <v>#VALUE!</v>
      </c>
      <c r="BC75" s="71"/>
      <c r="BD75" s="71"/>
    </row>
    <row r="76" spans="1:56" hidden="1" x14ac:dyDescent="0.25">
      <c r="A76" s="24">
        <f>IF(B76="","",SUBTOTAL(3,$B$4:B76))</f>
        <v>0</v>
      </c>
      <c r="B76" s="25" t="s">
        <v>569</v>
      </c>
      <c r="C76" s="25" t="str">
        <f t="shared" si="10"/>
        <v>Shipment 1 PAR-550-22 Main</v>
      </c>
      <c r="D76" s="25" t="s">
        <v>570</v>
      </c>
      <c r="E76" s="25" t="s">
        <v>571</v>
      </c>
      <c r="F76" s="25"/>
      <c r="G76" s="65">
        <v>46393</v>
      </c>
      <c r="H76" s="25" t="s">
        <v>572</v>
      </c>
      <c r="I76" s="25" t="s">
        <v>575</v>
      </c>
      <c r="J76" s="26" t="s">
        <v>623</v>
      </c>
      <c r="K76" s="27" t="s">
        <v>183</v>
      </c>
      <c r="L76" s="28" t="s">
        <v>184</v>
      </c>
      <c r="M76" s="28" t="s">
        <v>71</v>
      </c>
      <c r="N76" s="25">
        <v>1</v>
      </c>
      <c r="O76" s="29">
        <v>160.86666666666665</v>
      </c>
      <c r="P76" s="29">
        <v>160.86666666666665</v>
      </c>
      <c r="Q76" s="25" t="s">
        <v>478</v>
      </c>
      <c r="R76" s="25"/>
      <c r="S76" s="26" t="s">
        <v>568</v>
      </c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1"/>
        <v>160.86666666666665</v>
      </c>
      <c r="AF76" s="32">
        <f t="shared" si="12"/>
        <v>0</v>
      </c>
      <c r="AG76" s="30"/>
      <c r="AH76" s="33">
        <v>1</v>
      </c>
      <c r="AI76" s="34">
        <f t="shared" si="13"/>
        <v>160.86666666666665</v>
      </c>
      <c r="AJ76" s="35">
        <v>46153</v>
      </c>
      <c r="AK76" s="30">
        <v>1</v>
      </c>
      <c r="AL76" s="36">
        <f t="shared" si="14"/>
        <v>160.86666666666665</v>
      </c>
      <c r="AM76" s="35">
        <v>46159</v>
      </c>
      <c r="AN76" s="30">
        <v>1</v>
      </c>
      <c r="AO76" s="36">
        <f t="shared" si="15"/>
        <v>160.86666666666665</v>
      </c>
      <c r="AP76" s="35"/>
      <c r="AQ76" s="30"/>
      <c r="AR76" s="36">
        <f t="shared" si="16"/>
        <v>0</v>
      </c>
      <c r="AS76" s="27" t="s">
        <v>583</v>
      </c>
      <c r="AT76" s="37">
        <v>46164</v>
      </c>
      <c r="AU76" s="30">
        <v>1</v>
      </c>
      <c r="AV76" s="36">
        <f t="shared" si="17"/>
        <v>160.86666666666665</v>
      </c>
      <c r="AW76" s="35">
        <v>46167</v>
      </c>
      <c r="AX76" s="30">
        <v>1</v>
      </c>
      <c r="AY76" s="32">
        <f t="shared" si="29"/>
        <v>160.86666666666665</v>
      </c>
      <c r="AZ76" s="30" t="s">
        <v>580</v>
      </c>
      <c r="BA76" s="63" t="s">
        <v>582</v>
      </c>
      <c r="BB76" s="71" t="e">
        <f>SUMIFS([1]Form!$F$8:$F$21,[1]Form!$J$8:$J$21,K76)</f>
        <v>#VALUE!</v>
      </c>
      <c r="BC76" s="71"/>
      <c r="BD76" s="71"/>
    </row>
    <row r="77" spans="1:56" hidden="1" x14ac:dyDescent="0.25">
      <c r="A77" s="24">
        <f>IF(B77="","",SUBTOTAL(3,$B$4:B77))</f>
        <v>0</v>
      </c>
      <c r="B77" s="25" t="s">
        <v>569</v>
      </c>
      <c r="C77" s="25" t="str">
        <f t="shared" ref="C77:C149" si="30">D77&amp;" "&amp;E77</f>
        <v>Shipment 1 PAR-550-22 Main</v>
      </c>
      <c r="D77" s="25" t="s">
        <v>570</v>
      </c>
      <c r="E77" s="25" t="s">
        <v>571</v>
      </c>
      <c r="F77" s="25"/>
      <c r="G77" s="65">
        <v>46393</v>
      </c>
      <c r="H77" s="25" t="s">
        <v>572</v>
      </c>
      <c r="I77" s="25" t="s">
        <v>575</v>
      </c>
      <c r="J77" s="26" t="s">
        <v>623</v>
      </c>
      <c r="K77" s="27" t="s">
        <v>183</v>
      </c>
      <c r="L77" s="28" t="s">
        <v>185</v>
      </c>
      <c r="M77" s="28" t="s">
        <v>71</v>
      </c>
      <c r="N77" s="25">
        <v>1</v>
      </c>
      <c r="O77" s="29">
        <v>160.86666666666665</v>
      </c>
      <c r="P77" s="29">
        <v>160.86666666666665</v>
      </c>
      <c r="Q77" s="25" t="s">
        <v>478</v>
      </c>
      <c r="R77" s="25"/>
      <c r="S77" s="26" t="s">
        <v>568</v>
      </c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ref="AE77:AE149" si="31">+AL77*0.5+AO77*0.4+AV77*0.1</f>
        <v>160.86666666666665</v>
      </c>
      <c r="AF77" s="32">
        <f t="shared" ref="AF77:AF149" si="32">+P77-AE77</f>
        <v>0</v>
      </c>
      <c r="AG77" s="30"/>
      <c r="AH77" s="33">
        <v>1</v>
      </c>
      <c r="AI77" s="34">
        <f t="shared" ref="AI77:AI149" si="33">+AH77*P77</f>
        <v>160.86666666666665</v>
      </c>
      <c r="AJ77" s="35">
        <v>46153</v>
      </c>
      <c r="AK77" s="30">
        <v>1</v>
      </c>
      <c r="AL77" s="36">
        <f t="shared" ref="AL77:AL149" si="34">IFERROR(AK77*$P77/$N77,0)</f>
        <v>160.86666666666665</v>
      </c>
      <c r="AM77" s="35">
        <v>46159</v>
      </c>
      <c r="AN77" s="30">
        <v>1</v>
      </c>
      <c r="AO77" s="36">
        <f t="shared" ref="AO77:AO149" si="35">IFERROR(AN77*$P77/$N77,0)</f>
        <v>160.86666666666665</v>
      </c>
      <c r="AP77" s="35"/>
      <c r="AQ77" s="30"/>
      <c r="AR77" s="36">
        <f t="shared" ref="AR77:AR149" si="36">IFERROR(AQ77*$P77/$N77,0)</f>
        <v>0</v>
      </c>
      <c r="AS77" s="27" t="s">
        <v>583</v>
      </c>
      <c r="AT77" s="37">
        <v>46164</v>
      </c>
      <c r="AU77" s="30">
        <v>1</v>
      </c>
      <c r="AV77" s="36">
        <f t="shared" ref="AV77:AV149" si="37">IFERROR(AU77*$P77/$N77,0)</f>
        <v>160.86666666666665</v>
      </c>
      <c r="AW77" s="35">
        <v>46167</v>
      </c>
      <c r="AX77" s="30">
        <v>1</v>
      </c>
      <c r="AY77" s="32">
        <f t="shared" si="29"/>
        <v>160.86666666666665</v>
      </c>
      <c r="AZ77" s="30" t="s">
        <v>580</v>
      </c>
      <c r="BA77" s="63" t="s">
        <v>582</v>
      </c>
      <c r="BB77" s="71" t="e">
        <f>SUMIFS([1]Form!$F$8:$F$21,[1]Form!$J$8:$J$21,K77)</f>
        <v>#VALUE!</v>
      </c>
      <c r="BC77" s="71"/>
      <c r="BD77" s="71"/>
    </row>
    <row r="78" spans="1:56" hidden="1" x14ac:dyDescent="0.25">
      <c r="A78" s="24">
        <f>IF(B78="","",SUBTOTAL(3,$B$4:B78))</f>
        <v>0</v>
      </c>
      <c r="B78" s="25" t="s">
        <v>569</v>
      </c>
      <c r="C78" s="25" t="str">
        <f t="shared" si="30"/>
        <v>Shipment 1 PAR-550-22 Main</v>
      </c>
      <c r="D78" s="25" t="s">
        <v>570</v>
      </c>
      <c r="E78" s="25" t="s">
        <v>571</v>
      </c>
      <c r="F78" s="25"/>
      <c r="G78" s="65">
        <v>46393</v>
      </c>
      <c r="H78" s="25" t="s">
        <v>572</v>
      </c>
      <c r="I78" s="25" t="s">
        <v>575</v>
      </c>
      <c r="J78" s="26" t="s">
        <v>623</v>
      </c>
      <c r="K78" s="27" t="s">
        <v>183</v>
      </c>
      <c r="L78" s="28" t="s">
        <v>186</v>
      </c>
      <c r="M78" s="28" t="s">
        <v>71</v>
      </c>
      <c r="N78" s="25">
        <v>1</v>
      </c>
      <c r="O78" s="29">
        <v>160.86666666666665</v>
      </c>
      <c r="P78" s="29">
        <v>160.86666666666665</v>
      </c>
      <c r="Q78" s="25" t="s">
        <v>478</v>
      </c>
      <c r="R78" s="25"/>
      <c r="S78" s="26" t="s">
        <v>568</v>
      </c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31"/>
        <v>160.86666666666665</v>
      </c>
      <c r="AF78" s="32">
        <f t="shared" si="32"/>
        <v>0</v>
      </c>
      <c r="AG78" s="30"/>
      <c r="AH78" s="33">
        <v>1</v>
      </c>
      <c r="AI78" s="34">
        <f t="shared" si="33"/>
        <v>160.86666666666665</v>
      </c>
      <c r="AJ78" s="35">
        <v>46153</v>
      </c>
      <c r="AK78" s="30">
        <v>1</v>
      </c>
      <c r="AL78" s="36">
        <f t="shared" si="34"/>
        <v>160.86666666666665</v>
      </c>
      <c r="AM78" s="35">
        <v>46159</v>
      </c>
      <c r="AN78" s="30">
        <v>1</v>
      </c>
      <c r="AO78" s="36">
        <f t="shared" si="35"/>
        <v>160.86666666666665</v>
      </c>
      <c r="AP78" s="35"/>
      <c r="AQ78" s="30"/>
      <c r="AR78" s="36">
        <f t="shared" si="36"/>
        <v>0</v>
      </c>
      <c r="AS78" s="27" t="s">
        <v>583</v>
      </c>
      <c r="AT78" s="37">
        <v>46164</v>
      </c>
      <c r="AU78" s="30">
        <v>1</v>
      </c>
      <c r="AV78" s="36">
        <f t="shared" si="37"/>
        <v>160.86666666666665</v>
      </c>
      <c r="AW78" s="35">
        <v>46167</v>
      </c>
      <c r="AX78" s="30">
        <v>1</v>
      </c>
      <c r="AY78" s="32">
        <f t="shared" si="29"/>
        <v>160.86666666666665</v>
      </c>
      <c r="AZ78" s="30" t="s">
        <v>580</v>
      </c>
      <c r="BA78" s="63" t="s">
        <v>582</v>
      </c>
      <c r="BB78" s="71" t="e">
        <f>SUMIFS([1]Form!$F$8:$F$21,[1]Form!$J$8:$J$21,K78)</f>
        <v>#VALUE!</v>
      </c>
      <c r="BC78" s="71"/>
      <c r="BD78" s="71"/>
    </row>
    <row r="79" spans="1:56" hidden="1" x14ac:dyDescent="0.25">
      <c r="A79" s="24">
        <f>IF(B79="","",SUBTOTAL(3,$B$4:B79))</f>
        <v>0</v>
      </c>
      <c r="B79" s="25" t="s">
        <v>569</v>
      </c>
      <c r="C79" s="25" t="str">
        <f t="shared" si="30"/>
        <v>Shipment 1 PAR-550-22 Main</v>
      </c>
      <c r="D79" s="25" t="s">
        <v>570</v>
      </c>
      <c r="E79" s="25" t="s">
        <v>571</v>
      </c>
      <c r="F79" s="25"/>
      <c r="G79" s="65">
        <v>46393</v>
      </c>
      <c r="H79" s="25" t="s">
        <v>572</v>
      </c>
      <c r="I79" s="25" t="s">
        <v>575</v>
      </c>
      <c r="J79" s="26" t="s">
        <v>623</v>
      </c>
      <c r="K79" s="27" t="s">
        <v>187</v>
      </c>
      <c r="L79" s="28" t="s">
        <v>188</v>
      </c>
      <c r="M79" s="28" t="s">
        <v>71</v>
      </c>
      <c r="N79" s="25">
        <v>1</v>
      </c>
      <c r="O79" s="29">
        <v>156.1</v>
      </c>
      <c r="P79" s="29">
        <v>156.1</v>
      </c>
      <c r="Q79" s="25" t="s">
        <v>479</v>
      </c>
      <c r="R79" s="25"/>
      <c r="S79" s="26" t="s">
        <v>568</v>
      </c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31"/>
        <v>156.10000000000002</v>
      </c>
      <c r="AF79" s="32">
        <f t="shared" si="32"/>
        <v>0</v>
      </c>
      <c r="AG79" s="30"/>
      <c r="AH79" s="33">
        <v>1</v>
      </c>
      <c r="AI79" s="34">
        <f t="shared" si="33"/>
        <v>156.1</v>
      </c>
      <c r="AJ79" s="35">
        <v>46153</v>
      </c>
      <c r="AK79" s="30">
        <v>1</v>
      </c>
      <c r="AL79" s="36">
        <f t="shared" si="34"/>
        <v>156.1</v>
      </c>
      <c r="AM79" s="35">
        <v>46159</v>
      </c>
      <c r="AN79" s="30">
        <v>1</v>
      </c>
      <c r="AO79" s="36">
        <f t="shared" si="35"/>
        <v>156.1</v>
      </c>
      <c r="AP79" s="35"/>
      <c r="AQ79" s="30"/>
      <c r="AR79" s="36">
        <f t="shared" si="36"/>
        <v>0</v>
      </c>
      <c r="AS79" s="27" t="s">
        <v>583</v>
      </c>
      <c r="AT79" s="37">
        <v>46164</v>
      </c>
      <c r="AU79" s="30">
        <v>1</v>
      </c>
      <c r="AV79" s="36">
        <f t="shared" si="37"/>
        <v>156.1</v>
      </c>
      <c r="AW79" s="35">
        <v>46167</v>
      </c>
      <c r="AX79" s="30">
        <v>1</v>
      </c>
      <c r="AY79" s="32">
        <f t="shared" si="29"/>
        <v>156.1</v>
      </c>
      <c r="AZ79" s="30" t="s">
        <v>580</v>
      </c>
      <c r="BA79" s="63" t="s">
        <v>582</v>
      </c>
      <c r="BB79" s="71" t="e">
        <f>SUMIFS([1]Form!$F$8:$F$21,[1]Form!$J$8:$J$21,K79)</f>
        <v>#VALUE!</v>
      </c>
      <c r="BC79" s="71"/>
      <c r="BD79" s="71"/>
    </row>
    <row r="80" spans="1:56" hidden="1" x14ac:dyDescent="0.25">
      <c r="A80" s="24">
        <f>IF(B80="","",SUBTOTAL(3,$B$4:B80))</f>
        <v>0</v>
      </c>
      <c r="B80" s="25" t="s">
        <v>569</v>
      </c>
      <c r="C80" s="25" t="str">
        <f t="shared" si="30"/>
        <v>Shipment 1 PAR-550-22 Main</v>
      </c>
      <c r="D80" s="25" t="s">
        <v>570</v>
      </c>
      <c r="E80" s="25" t="s">
        <v>571</v>
      </c>
      <c r="F80" s="25"/>
      <c r="G80" s="65">
        <v>46393</v>
      </c>
      <c r="H80" s="25" t="s">
        <v>572</v>
      </c>
      <c r="I80" s="25" t="s">
        <v>575</v>
      </c>
      <c r="J80" s="26" t="s">
        <v>622</v>
      </c>
      <c r="K80" s="27" t="s">
        <v>189</v>
      </c>
      <c r="L80" s="28" t="s">
        <v>190</v>
      </c>
      <c r="M80" s="28" t="s">
        <v>71</v>
      </c>
      <c r="N80" s="25">
        <v>1</v>
      </c>
      <c r="O80" s="29">
        <v>328.90000000000003</v>
      </c>
      <c r="P80" s="29">
        <v>328.90000000000003</v>
      </c>
      <c r="Q80" s="25" t="s">
        <v>480</v>
      </c>
      <c r="R80" s="25"/>
      <c r="S80" s="26" t="s">
        <v>568</v>
      </c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31"/>
        <v>328.90000000000003</v>
      </c>
      <c r="AF80" s="32">
        <f t="shared" si="32"/>
        <v>0</v>
      </c>
      <c r="AG80" s="30"/>
      <c r="AH80" s="33">
        <v>1</v>
      </c>
      <c r="AI80" s="34">
        <f t="shared" si="33"/>
        <v>328.90000000000003</v>
      </c>
      <c r="AJ80" s="35">
        <v>46153</v>
      </c>
      <c r="AK80" s="30">
        <v>1</v>
      </c>
      <c r="AL80" s="36">
        <f t="shared" si="34"/>
        <v>328.90000000000003</v>
      </c>
      <c r="AM80" s="35">
        <v>46157</v>
      </c>
      <c r="AN80" s="30">
        <v>1</v>
      </c>
      <c r="AO80" s="36">
        <f t="shared" si="35"/>
        <v>328.90000000000003</v>
      </c>
      <c r="AP80" s="35"/>
      <c r="AQ80" s="30"/>
      <c r="AR80" s="36">
        <f t="shared" si="36"/>
        <v>0</v>
      </c>
      <c r="AS80" s="27" t="s">
        <v>612</v>
      </c>
      <c r="AT80" s="37">
        <v>46176</v>
      </c>
      <c r="AU80" s="30">
        <v>1</v>
      </c>
      <c r="AV80" s="36">
        <f t="shared" si="37"/>
        <v>328.90000000000003</v>
      </c>
      <c r="AW80" s="35">
        <v>46180</v>
      </c>
      <c r="AX80" s="30">
        <v>1</v>
      </c>
      <c r="AY80" s="32">
        <f t="shared" ref="AY80:AY147" si="38">IFERROR(AX80*$P80/$N80,0)</f>
        <v>328.90000000000003</v>
      </c>
      <c r="AZ80" s="30" t="s">
        <v>611</v>
      </c>
      <c r="BA80" s="63" t="s">
        <v>591</v>
      </c>
      <c r="BB80" s="71" t="e">
        <f>SUMIFS([1]Form!$F$8:$F$21,[1]Form!$J$8:$J$21,K80)</f>
        <v>#VALUE!</v>
      </c>
      <c r="BC80" s="71"/>
      <c r="BD80" s="71"/>
    </row>
    <row r="81" spans="1:56" hidden="1" x14ac:dyDescent="0.25">
      <c r="A81" s="24">
        <f>IF(B81="","",SUBTOTAL(3,$B$4:B81))</f>
        <v>0</v>
      </c>
      <c r="B81" s="25" t="s">
        <v>569</v>
      </c>
      <c r="C81" s="25" t="str">
        <f t="shared" si="30"/>
        <v>Shipment 1 PAR-550-22 Main</v>
      </c>
      <c r="D81" s="25" t="s">
        <v>570</v>
      </c>
      <c r="E81" s="25" t="s">
        <v>571</v>
      </c>
      <c r="F81" s="25"/>
      <c r="G81" s="65">
        <v>46393</v>
      </c>
      <c r="H81" s="25" t="s">
        <v>572</v>
      </c>
      <c r="I81" s="25" t="s">
        <v>575</v>
      </c>
      <c r="J81" s="26" t="s">
        <v>623</v>
      </c>
      <c r="K81" s="27" t="s">
        <v>191</v>
      </c>
      <c r="L81" s="28" t="s">
        <v>192</v>
      </c>
      <c r="M81" s="28" t="s">
        <v>71</v>
      </c>
      <c r="N81" s="25">
        <v>1</v>
      </c>
      <c r="O81" s="29">
        <v>160.85</v>
      </c>
      <c r="P81" s="29">
        <v>160.85</v>
      </c>
      <c r="Q81" s="25" t="s">
        <v>478</v>
      </c>
      <c r="R81" s="25"/>
      <c r="S81" s="26" t="s">
        <v>568</v>
      </c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31"/>
        <v>160.85</v>
      </c>
      <c r="AF81" s="32">
        <f t="shared" si="32"/>
        <v>0</v>
      </c>
      <c r="AG81" s="30"/>
      <c r="AH81" s="33">
        <v>1</v>
      </c>
      <c r="AI81" s="34">
        <f t="shared" si="33"/>
        <v>160.85</v>
      </c>
      <c r="AJ81" s="35">
        <v>46153</v>
      </c>
      <c r="AK81" s="30">
        <v>1</v>
      </c>
      <c r="AL81" s="36">
        <f t="shared" si="34"/>
        <v>160.85</v>
      </c>
      <c r="AM81" s="35">
        <v>46159</v>
      </c>
      <c r="AN81" s="30">
        <v>1</v>
      </c>
      <c r="AO81" s="36">
        <f t="shared" si="35"/>
        <v>160.85</v>
      </c>
      <c r="AP81" s="35"/>
      <c r="AQ81" s="30"/>
      <c r="AR81" s="36">
        <f t="shared" si="36"/>
        <v>0</v>
      </c>
      <c r="AS81" s="27" t="s">
        <v>583</v>
      </c>
      <c r="AT81" s="37">
        <v>46164</v>
      </c>
      <c r="AU81" s="30">
        <v>1</v>
      </c>
      <c r="AV81" s="36">
        <f t="shared" si="37"/>
        <v>160.85</v>
      </c>
      <c r="AW81" s="35">
        <v>46167</v>
      </c>
      <c r="AX81" s="30">
        <v>1</v>
      </c>
      <c r="AY81" s="32">
        <f t="shared" si="38"/>
        <v>160.85</v>
      </c>
      <c r="AZ81" s="30" t="s">
        <v>580</v>
      </c>
      <c r="BA81" s="63" t="s">
        <v>582</v>
      </c>
      <c r="BB81" s="71" t="e">
        <f>SUMIFS([1]Form!$F$8:$F$21,[1]Form!$J$8:$J$21,K81)</f>
        <v>#VALUE!</v>
      </c>
      <c r="BC81" s="71"/>
      <c r="BD81" s="71"/>
    </row>
    <row r="82" spans="1:56" hidden="1" x14ac:dyDescent="0.25">
      <c r="A82" s="24">
        <f>IF(B82="","",SUBTOTAL(3,$B$4:B82))</f>
        <v>0</v>
      </c>
      <c r="B82" s="25" t="s">
        <v>569</v>
      </c>
      <c r="C82" s="25" t="str">
        <f t="shared" si="30"/>
        <v>Shipment 1 PAR-550-22 Main</v>
      </c>
      <c r="D82" s="25" t="s">
        <v>570</v>
      </c>
      <c r="E82" s="25" t="s">
        <v>571</v>
      </c>
      <c r="F82" s="25"/>
      <c r="G82" s="65">
        <v>46393</v>
      </c>
      <c r="H82" s="25" t="s">
        <v>572</v>
      </c>
      <c r="I82" s="25" t="s">
        <v>575</v>
      </c>
      <c r="J82" s="26" t="s">
        <v>623</v>
      </c>
      <c r="K82" s="27" t="s">
        <v>191</v>
      </c>
      <c r="L82" s="28" t="s">
        <v>193</v>
      </c>
      <c r="M82" s="28" t="s">
        <v>71</v>
      </c>
      <c r="N82" s="25">
        <v>1</v>
      </c>
      <c r="O82" s="29">
        <v>160.85</v>
      </c>
      <c r="P82" s="29">
        <v>160.85</v>
      </c>
      <c r="Q82" s="25" t="s">
        <v>478</v>
      </c>
      <c r="R82" s="25"/>
      <c r="S82" s="26" t="s">
        <v>568</v>
      </c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31"/>
        <v>160.85</v>
      </c>
      <c r="AF82" s="32">
        <f t="shared" si="32"/>
        <v>0</v>
      </c>
      <c r="AG82" s="30"/>
      <c r="AH82" s="33">
        <v>1</v>
      </c>
      <c r="AI82" s="34">
        <f t="shared" si="33"/>
        <v>160.85</v>
      </c>
      <c r="AJ82" s="35">
        <v>46153</v>
      </c>
      <c r="AK82" s="30">
        <v>1</v>
      </c>
      <c r="AL82" s="36">
        <f t="shared" si="34"/>
        <v>160.85</v>
      </c>
      <c r="AM82" s="35">
        <v>46159</v>
      </c>
      <c r="AN82" s="30">
        <v>1</v>
      </c>
      <c r="AO82" s="36">
        <f t="shared" si="35"/>
        <v>160.85</v>
      </c>
      <c r="AP82" s="35"/>
      <c r="AQ82" s="30"/>
      <c r="AR82" s="36">
        <f t="shared" si="36"/>
        <v>0</v>
      </c>
      <c r="AS82" s="27" t="s">
        <v>583</v>
      </c>
      <c r="AT82" s="37">
        <v>46164</v>
      </c>
      <c r="AU82" s="30">
        <v>1</v>
      </c>
      <c r="AV82" s="36">
        <f t="shared" si="37"/>
        <v>160.85</v>
      </c>
      <c r="AW82" s="35">
        <v>46167</v>
      </c>
      <c r="AX82" s="30">
        <v>1</v>
      </c>
      <c r="AY82" s="32">
        <f t="shared" si="38"/>
        <v>160.85</v>
      </c>
      <c r="AZ82" s="30" t="s">
        <v>580</v>
      </c>
      <c r="BA82" s="63" t="s">
        <v>582</v>
      </c>
      <c r="BB82" s="71" t="e">
        <f>SUMIFS([1]Form!$F$8:$F$21,[1]Form!$J$8:$J$21,K82)</f>
        <v>#VALUE!</v>
      </c>
      <c r="BC82" s="71"/>
      <c r="BD82" s="71"/>
    </row>
    <row r="83" spans="1:56" hidden="1" x14ac:dyDescent="0.25">
      <c r="A83" s="24">
        <f>IF(B83="","",SUBTOTAL(3,$B$4:B83))</f>
        <v>0</v>
      </c>
      <c r="B83" s="25" t="s">
        <v>569</v>
      </c>
      <c r="C83" s="25" t="str">
        <f t="shared" si="30"/>
        <v>Shipment 1 PAR-550-22 Main</v>
      </c>
      <c r="D83" s="25" t="s">
        <v>570</v>
      </c>
      <c r="E83" s="25" t="s">
        <v>571</v>
      </c>
      <c r="F83" s="25"/>
      <c r="G83" s="65">
        <v>46393</v>
      </c>
      <c r="H83" s="25" t="s">
        <v>572</v>
      </c>
      <c r="I83" s="25" t="s">
        <v>575</v>
      </c>
      <c r="J83" s="26" t="s">
        <v>623</v>
      </c>
      <c r="K83" s="27" t="s">
        <v>194</v>
      </c>
      <c r="L83" s="28" t="s">
        <v>195</v>
      </c>
      <c r="M83" s="28" t="s">
        <v>71</v>
      </c>
      <c r="N83" s="25">
        <v>1</v>
      </c>
      <c r="O83" s="29">
        <v>168.29999999999998</v>
      </c>
      <c r="P83" s="29">
        <v>168.29999999999998</v>
      </c>
      <c r="Q83" s="25" t="s">
        <v>481</v>
      </c>
      <c r="R83" s="25"/>
      <c r="S83" s="26" t="s">
        <v>568</v>
      </c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31"/>
        <v>168.29999999999995</v>
      </c>
      <c r="AF83" s="32">
        <f t="shared" si="32"/>
        <v>0</v>
      </c>
      <c r="AG83" s="30"/>
      <c r="AH83" s="33">
        <v>1</v>
      </c>
      <c r="AI83" s="34">
        <f t="shared" si="33"/>
        <v>168.29999999999998</v>
      </c>
      <c r="AJ83" s="35">
        <v>46153</v>
      </c>
      <c r="AK83" s="30">
        <v>1</v>
      </c>
      <c r="AL83" s="36">
        <f t="shared" si="34"/>
        <v>168.29999999999998</v>
      </c>
      <c r="AM83" s="35">
        <v>46159</v>
      </c>
      <c r="AN83" s="30">
        <v>1</v>
      </c>
      <c r="AO83" s="36">
        <f t="shared" si="35"/>
        <v>168.29999999999998</v>
      </c>
      <c r="AP83" s="35"/>
      <c r="AQ83" s="30"/>
      <c r="AR83" s="36">
        <f t="shared" si="36"/>
        <v>0</v>
      </c>
      <c r="AS83" s="27" t="s">
        <v>583</v>
      </c>
      <c r="AT83" s="37">
        <v>46164</v>
      </c>
      <c r="AU83" s="30">
        <v>1</v>
      </c>
      <c r="AV83" s="36">
        <f t="shared" si="37"/>
        <v>168.29999999999998</v>
      </c>
      <c r="AW83" s="35">
        <v>46167</v>
      </c>
      <c r="AX83" s="30">
        <v>1</v>
      </c>
      <c r="AY83" s="32">
        <f t="shared" si="38"/>
        <v>168.29999999999998</v>
      </c>
      <c r="AZ83" s="30" t="s">
        <v>580</v>
      </c>
      <c r="BA83" s="63" t="s">
        <v>582</v>
      </c>
      <c r="BB83" s="71" t="e">
        <f>SUMIFS([1]Form!$F$8:$F$21,[1]Form!$J$8:$J$21,K83)</f>
        <v>#VALUE!</v>
      </c>
      <c r="BC83" s="71"/>
      <c r="BD83" s="71"/>
    </row>
    <row r="84" spans="1:56" hidden="1" x14ac:dyDescent="0.25">
      <c r="A84" s="24">
        <f>IF(B84="","",SUBTOTAL(3,$B$4:B84))</f>
        <v>0</v>
      </c>
      <c r="B84" s="25" t="s">
        <v>569</v>
      </c>
      <c r="C84" s="25" t="str">
        <f t="shared" si="30"/>
        <v>Shipment 1 PAR-550-22 Main</v>
      </c>
      <c r="D84" s="25" t="s">
        <v>570</v>
      </c>
      <c r="E84" s="25" t="s">
        <v>571</v>
      </c>
      <c r="F84" s="25"/>
      <c r="G84" s="65">
        <v>46393</v>
      </c>
      <c r="H84" s="25" t="s">
        <v>572</v>
      </c>
      <c r="I84" s="25" t="s">
        <v>575</v>
      </c>
      <c r="J84" s="26" t="s">
        <v>622</v>
      </c>
      <c r="K84" s="27" t="s">
        <v>196</v>
      </c>
      <c r="L84" s="28" t="s">
        <v>197</v>
      </c>
      <c r="M84" s="28" t="s">
        <v>71</v>
      </c>
      <c r="N84" s="25">
        <v>1</v>
      </c>
      <c r="O84" s="29">
        <v>125.1</v>
      </c>
      <c r="P84" s="29">
        <v>125.1</v>
      </c>
      <c r="Q84" s="25" t="s">
        <v>482</v>
      </c>
      <c r="R84" s="25"/>
      <c r="S84" s="26" t="s">
        <v>568</v>
      </c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31"/>
        <v>125.10000000000001</v>
      </c>
      <c r="AF84" s="32">
        <f t="shared" si="32"/>
        <v>0</v>
      </c>
      <c r="AG84" s="30"/>
      <c r="AH84" s="33">
        <v>1</v>
      </c>
      <c r="AI84" s="34">
        <f t="shared" si="33"/>
        <v>125.1</v>
      </c>
      <c r="AJ84" s="35">
        <v>46151</v>
      </c>
      <c r="AK84" s="30">
        <v>1</v>
      </c>
      <c r="AL84" s="36">
        <f t="shared" si="34"/>
        <v>125.1</v>
      </c>
      <c r="AM84" s="35">
        <v>46158</v>
      </c>
      <c r="AN84" s="30">
        <v>1</v>
      </c>
      <c r="AO84" s="36">
        <f t="shared" si="35"/>
        <v>125.1</v>
      </c>
      <c r="AP84" s="35"/>
      <c r="AQ84" s="30"/>
      <c r="AR84" s="36">
        <f t="shared" si="36"/>
        <v>0</v>
      </c>
      <c r="AS84" s="27" t="s">
        <v>612</v>
      </c>
      <c r="AT84" s="37">
        <v>46176</v>
      </c>
      <c r="AU84" s="30">
        <v>1</v>
      </c>
      <c r="AV84" s="36">
        <f t="shared" si="37"/>
        <v>125.1</v>
      </c>
      <c r="AW84" s="35">
        <v>46180</v>
      </c>
      <c r="AX84" s="30">
        <v>1</v>
      </c>
      <c r="AY84" s="32">
        <f t="shared" ref="AY84" si="39">IFERROR(AX84*$P84/$N84,0)</f>
        <v>125.1</v>
      </c>
      <c r="AZ84" s="30" t="s">
        <v>611</v>
      </c>
      <c r="BA84" s="63" t="s">
        <v>591</v>
      </c>
      <c r="BB84" s="71" t="e">
        <f>SUMIFS([1]Form!$F$8:$F$21,[1]Form!$J$8:$J$21,K84)</f>
        <v>#VALUE!</v>
      </c>
      <c r="BC84" s="71"/>
      <c r="BD84" s="71"/>
    </row>
    <row r="85" spans="1:56" hidden="1" x14ac:dyDescent="0.25">
      <c r="A85" s="24">
        <f>IF(B85="","",SUBTOTAL(3,$B$4:B85))</f>
        <v>0</v>
      </c>
      <c r="B85" s="25" t="s">
        <v>569</v>
      </c>
      <c r="C85" s="25" t="str">
        <f t="shared" si="30"/>
        <v>Shipment 1 PAR-550-22 Main</v>
      </c>
      <c r="D85" s="25" t="s">
        <v>570</v>
      </c>
      <c r="E85" s="25" t="s">
        <v>571</v>
      </c>
      <c r="F85" s="25"/>
      <c r="G85" s="65">
        <v>46393</v>
      </c>
      <c r="H85" s="25" t="s">
        <v>572</v>
      </c>
      <c r="I85" s="25" t="s">
        <v>577</v>
      </c>
      <c r="J85" s="26" t="s">
        <v>622</v>
      </c>
      <c r="K85" s="27" t="s">
        <v>198</v>
      </c>
      <c r="L85" s="28" t="s">
        <v>592</v>
      </c>
      <c r="M85" s="28" t="s">
        <v>199</v>
      </c>
      <c r="N85" s="25">
        <v>1</v>
      </c>
      <c r="O85" s="29">
        <v>6857.7</v>
      </c>
      <c r="P85" s="29">
        <v>6857.7</v>
      </c>
      <c r="Q85" s="25" t="s">
        <v>483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31"/>
        <v>6857.7000000000007</v>
      </c>
      <c r="AF85" s="32">
        <f t="shared" si="32"/>
        <v>0</v>
      </c>
      <c r="AG85" s="30"/>
      <c r="AH85" s="33">
        <v>1</v>
      </c>
      <c r="AI85" s="34">
        <f t="shared" si="33"/>
        <v>6857.7</v>
      </c>
      <c r="AJ85" s="35">
        <v>46155</v>
      </c>
      <c r="AK85" s="30">
        <v>1</v>
      </c>
      <c r="AL85" s="36">
        <f t="shared" si="34"/>
        <v>6857.7</v>
      </c>
      <c r="AM85" s="35">
        <v>46161</v>
      </c>
      <c r="AN85" s="30">
        <v>1</v>
      </c>
      <c r="AO85" s="36">
        <f t="shared" si="35"/>
        <v>6857.7</v>
      </c>
      <c r="AP85" s="35"/>
      <c r="AQ85" s="30"/>
      <c r="AR85" s="36">
        <f t="shared" si="36"/>
        <v>0</v>
      </c>
      <c r="AS85" s="27" t="s">
        <v>614</v>
      </c>
      <c r="AT85" s="37">
        <v>46182</v>
      </c>
      <c r="AU85" s="30">
        <v>1</v>
      </c>
      <c r="AV85" s="36">
        <f t="shared" si="37"/>
        <v>6857.7</v>
      </c>
      <c r="AW85" s="35">
        <v>46184</v>
      </c>
      <c r="AX85" s="30">
        <v>1</v>
      </c>
      <c r="AY85" s="32">
        <f t="shared" si="38"/>
        <v>6857.7</v>
      </c>
      <c r="AZ85" s="30" t="s">
        <v>611</v>
      </c>
      <c r="BA85" s="63" t="s">
        <v>612</v>
      </c>
      <c r="BB85" s="71" t="e">
        <f>SUMIFS([1]Form!$F$8:$F$21,[1]Form!$J$8:$J$21,K85)</f>
        <v>#VALUE!</v>
      </c>
      <c r="BC85" s="71"/>
      <c r="BD85" s="71"/>
    </row>
    <row r="86" spans="1:56" hidden="1" x14ac:dyDescent="0.25">
      <c r="A86" s="24">
        <f>IF(B86="","",SUBTOTAL(3,$B$4:B86))</f>
        <v>0</v>
      </c>
      <c r="B86" s="25" t="s">
        <v>569</v>
      </c>
      <c r="C86" s="25" t="str">
        <f t="shared" ref="C86" si="40">D86&amp;" "&amp;E86</f>
        <v>Shipment 1 PAR-550-22 Main</v>
      </c>
      <c r="D86" s="25" t="s">
        <v>570</v>
      </c>
      <c r="E86" s="25" t="s">
        <v>571</v>
      </c>
      <c r="F86" s="25"/>
      <c r="G86" s="65">
        <v>46393</v>
      </c>
      <c r="H86" s="25" t="s">
        <v>572</v>
      </c>
      <c r="I86" s="25" t="s">
        <v>577</v>
      </c>
      <c r="J86" s="26" t="s">
        <v>622</v>
      </c>
      <c r="K86" s="27" t="s">
        <v>198</v>
      </c>
      <c r="L86" s="28" t="s">
        <v>593</v>
      </c>
      <c r="M86" s="28" t="s">
        <v>199</v>
      </c>
      <c r="N86" s="25">
        <v>1</v>
      </c>
      <c r="O86" s="29">
        <v>0</v>
      </c>
      <c r="P86" s="29">
        <v>0</v>
      </c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ref="AE86:AE110" si="41">+AL86*0.5+AO86*0.4+AV86*0.1</f>
        <v>0</v>
      </c>
      <c r="AF86" s="32">
        <f t="shared" ref="AF86:AF110" si="42">+P86-AE86</f>
        <v>0</v>
      </c>
      <c r="AG86" s="30"/>
      <c r="AH86" s="33">
        <v>1</v>
      </c>
      <c r="AI86" s="34">
        <f t="shared" ref="AI86:AI110" si="43">+AH86*P86</f>
        <v>0</v>
      </c>
      <c r="AJ86" s="35">
        <v>46155</v>
      </c>
      <c r="AK86" s="30">
        <v>1</v>
      </c>
      <c r="AL86" s="36">
        <f t="shared" si="34"/>
        <v>0</v>
      </c>
      <c r="AM86" s="35">
        <v>46155</v>
      </c>
      <c r="AN86" s="30">
        <v>1</v>
      </c>
      <c r="AO86" s="36">
        <f t="shared" si="35"/>
        <v>0</v>
      </c>
      <c r="AP86" s="35"/>
      <c r="AQ86" s="30"/>
      <c r="AR86" s="36">
        <f t="shared" si="36"/>
        <v>0</v>
      </c>
      <c r="AS86" s="27" t="s">
        <v>610</v>
      </c>
      <c r="AT86" s="37">
        <v>46175</v>
      </c>
      <c r="AU86" s="30">
        <v>1</v>
      </c>
      <c r="AV86" s="36">
        <f t="shared" si="37"/>
        <v>0</v>
      </c>
      <c r="AW86" s="35">
        <v>46177</v>
      </c>
      <c r="AX86" s="30">
        <v>1</v>
      </c>
      <c r="AY86" s="32">
        <f t="shared" si="38"/>
        <v>0</v>
      </c>
      <c r="AZ86" s="30" t="s">
        <v>611</v>
      </c>
      <c r="BA86" s="63" t="s">
        <v>588</v>
      </c>
      <c r="BB86" s="71" t="e">
        <f>SUMIFS([1]Form!$F$8:$F$21,[1]Form!$J$8:$J$21,K86)</f>
        <v>#VALUE!</v>
      </c>
      <c r="BC86" s="71"/>
      <c r="BD86" s="71"/>
    </row>
    <row r="87" spans="1:56" hidden="1" x14ac:dyDescent="0.25">
      <c r="A87" s="24">
        <f>IF(B87="","",SUBTOTAL(3,$B$4:B87))</f>
        <v>0</v>
      </c>
      <c r="B87" s="25" t="s">
        <v>569</v>
      </c>
      <c r="C87" s="25" t="str">
        <f t="shared" si="30"/>
        <v>Shipment 1 PAR-550-22 Main</v>
      </c>
      <c r="D87" s="25" t="s">
        <v>570</v>
      </c>
      <c r="E87" s="25" t="s">
        <v>571</v>
      </c>
      <c r="F87" s="25"/>
      <c r="G87" s="65">
        <v>46393</v>
      </c>
      <c r="H87" s="25" t="s">
        <v>572</v>
      </c>
      <c r="I87" s="25" t="s">
        <v>578</v>
      </c>
      <c r="J87" s="26" t="s">
        <v>622</v>
      </c>
      <c r="K87" s="27" t="s">
        <v>200</v>
      </c>
      <c r="L87" s="28" t="s">
        <v>201</v>
      </c>
      <c r="M87" s="28" t="s">
        <v>199</v>
      </c>
      <c r="N87" s="25">
        <v>1</v>
      </c>
      <c r="O87" s="29">
        <v>1086.4000000000001</v>
      </c>
      <c r="P87" s="29">
        <v>1086.4000000000001</v>
      </c>
      <c r="Q87" s="25" t="s">
        <v>484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41"/>
        <v>1086.4000000000001</v>
      </c>
      <c r="AF87" s="32">
        <f t="shared" si="42"/>
        <v>0</v>
      </c>
      <c r="AG87" s="30"/>
      <c r="AH87" s="33">
        <v>1</v>
      </c>
      <c r="AI87" s="34">
        <f t="shared" si="43"/>
        <v>1086.4000000000001</v>
      </c>
      <c r="AJ87" s="35">
        <v>46161</v>
      </c>
      <c r="AK87" s="30">
        <v>1</v>
      </c>
      <c r="AL87" s="36">
        <f t="shared" si="34"/>
        <v>1086.4000000000001</v>
      </c>
      <c r="AM87" s="35">
        <v>46168</v>
      </c>
      <c r="AN87" s="30">
        <v>1</v>
      </c>
      <c r="AO87" s="36">
        <f t="shared" si="35"/>
        <v>1086.4000000000001</v>
      </c>
      <c r="AP87" s="35"/>
      <c r="AQ87" s="30"/>
      <c r="AR87" s="36">
        <f t="shared" si="36"/>
        <v>0</v>
      </c>
      <c r="AS87" s="27" t="s">
        <v>591</v>
      </c>
      <c r="AT87" s="37">
        <v>46172</v>
      </c>
      <c r="AU87" s="30">
        <v>1</v>
      </c>
      <c r="AV87" s="36">
        <f t="shared" si="37"/>
        <v>1086.4000000000001</v>
      </c>
      <c r="AW87" s="35">
        <v>46177</v>
      </c>
      <c r="AX87" s="30">
        <v>1</v>
      </c>
      <c r="AY87" s="32">
        <f t="shared" si="38"/>
        <v>1086.4000000000001</v>
      </c>
      <c r="AZ87" s="30" t="s">
        <v>611</v>
      </c>
      <c r="BA87" s="63" t="s">
        <v>587</v>
      </c>
      <c r="BB87" s="71" t="e">
        <f>SUMIFS([1]Form!$F$8:$F$21,[1]Form!$J$8:$J$21,K87)</f>
        <v>#VALUE!</v>
      </c>
      <c r="BC87" s="71"/>
      <c r="BD87" s="71"/>
    </row>
    <row r="88" spans="1:56" hidden="1" x14ac:dyDescent="0.25">
      <c r="A88" s="24">
        <f>IF(B88="","",SUBTOTAL(3,$B$4:B88))</f>
        <v>0</v>
      </c>
      <c r="B88" s="25" t="s">
        <v>569</v>
      </c>
      <c r="C88" s="25" t="str">
        <f t="shared" ref="C88:C110" si="44">D88&amp;" "&amp;E88</f>
        <v>Shipment 1 PAR-550-22 Main</v>
      </c>
      <c r="D88" s="25" t="s">
        <v>570</v>
      </c>
      <c r="E88" s="25" t="s">
        <v>571</v>
      </c>
      <c r="F88" s="25"/>
      <c r="G88" s="65">
        <v>46393</v>
      </c>
      <c r="H88" s="25" t="s">
        <v>572</v>
      </c>
      <c r="I88" s="25" t="s">
        <v>577</v>
      </c>
      <c r="J88" s="26" t="s">
        <v>622</v>
      </c>
      <c r="K88" s="27" t="s">
        <v>202</v>
      </c>
      <c r="L88" s="28" t="s">
        <v>594</v>
      </c>
      <c r="M88" s="28" t="s">
        <v>199</v>
      </c>
      <c r="N88" s="25">
        <v>1</v>
      </c>
      <c r="O88" s="29">
        <v>6957.7999999999993</v>
      </c>
      <c r="P88" s="29">
        <v>6957.7999999999993</v>
      </c>
      <c r="Q88" s="25" t="s">
        <v>485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41"/>
        <v>6957.7999999999993</v>
      </c>
      <c r="AF88" s="32">
        <f t="shared" si="42"/>
        <v>0</v>
      </c>
      <c r="AG88" s="30"/>
      <c r="AH88" s="33">
        <v>1</v>
      </c>
      <c r="AI88" s="34">
        <f t="shared" si="43"/>
        <v>6957.7999999999993</v>
      </c>
      <c r="AJ88" s="35">
        <v>46178</v>
      </c>
      <c r="AK88" s="30">
        <v>1</v>
      </c>
      <c r="AL88" s="36">
        <f t="shared" si="34"/>
        <v>6957.7999999999993</v>
      </c>
      <c r="AM88" s="35">
        <v>46182</v>
      </c>
      <c r="AN88" s="30">
        <v>1</v>
      </c>
      <c r="AO88" s="36">
        <f t="shared" si="35"/>
        <v>6957.7999999999993</v>
      </c>
      <c r="AP88" s="35"/>
      <c r="AQ88" s="30"/>
      <c r="AR88" s="36">
        <f t="shared" si="36"/>
        <v>0</v>
      </c>
      <c r="AS88" s="27" t="s">
        <v>614</v>
      </c>
      <c r="AT88" s="37">
        <v>46182</v>
      </c>
      <c r="AU88" s="30">
        <v>1</v>
      </c>
      <c r="AV88" s="36">
        <f t="shared" si="37"/>
        <v>6957.7999999999993</v>
      </c>
      <c r="AW88" s="35">
        <v>46184</v>
      </c>
      <c r="AX88" s="30">
        <v>1</v>
      </c>
      <c r="AY88" s="32">
        <f t="shared" ref="AY88" si="45">IFERROR(AX88*$P88/$N88,0)</f>
        <v>6957.7999999999993</v>
      </c>
      <c r="AZ88" s="30" t="s">
        <v>611</v>
      </c>
      <c r="BA88" s="63" t="s">
        <v>612</v>
      </c>
      <c r="BB88" s="71" t="e">
        <f>SUMIFS([1]Form!$F$8:$F$21,[1]Form!$J$8:$J$21,K88)</f>
        <v>#VALUE!</v>
      </c>
      <c r="BC88" s="71"/>
      <c r="BD88" s="71"/>
    </row>
    <row r="89" spans="1:56" hidden="1" x14ac:dyDescent="0.25">
      <c r="A89" s="24">
        <f>IF(B89="","",SUBTOTAL(3,$B$4:B89))</f>
        <v>0</v>
      </c>
      <c r="B89" s="25" t="s">
        <v>569</v>
      </c>
      <c r="C89" s="25" t="str">
        <f t="shared" ref="C89" si="46">D89&amp;" "&amp;E89</f>
        <v>Shipment 1 PAR-550-22 Main</v>
      </c>
      <c r="D89" s="25" t="s">
        <v>570</v>
      </c>
      <c r="E89" s="25" t="s">
        <v>571</v>
      </c>
      <c r="F89" s="25"/>
      <c r="G89" s="65">
        <v>46393</v>
      </c>
      <c r="H89" s="25" t="s">
        <v>572</v>
      </c>
      <c r="I89" s="25" t="s">
        <v>577</v>
      </c>
      <c r="J89" s="26" t="s">
        <v>622</v>
      </c>
      <c r="K89" s="27" t="s">
        <v>202</v>
      </c>
      <c r="L89" s="28" t="s">
        <v>595</v>
      </c>
      <c r="M89" s="28" t="s">
        <v>199</v>
      </c>
      <c r="N89" s="25">
        <v>1</v>
      </c>
      <c r="O89" s="29">
        <v>0</v>
      </c>
      <c r="P89" s="29">
        <v>0</v>
      </c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41"/>
        <v>0</v>
      </c>
      <c r="AF89" s="32">
        <f t="shared" si="42"/>
        <v>0</v>
      </c>
      <c r="AG89" s="30"/>
      <c r="AH89" s="33">
        <v>1</v>
      </c>
      <c r="AI89" s="34">
        <f t="shared" si="43"/>
        <v>0</v>
      </c>
      <c r="AJ89" s="35">
        <v>46178</v>
      </c>
      <c r="AK89" s="30">
        <v>1</v>
      </c>
      <c r="AL89" s="36">
        <f t="shared" si="34"/>
        <v>0</v>
      </c>
      <c r="AM89" s="35">
        <v>46182</v>
      </c>
      <c r="AN89" s="30">
        <v>1</v>
      </c>
      <c r="AO89" s="36">
        <f t="shared" si="35"/>
        <v>0</v>
      </c>
      <c r="AP89" s="35"/>
      <c r="AQ89" s="30"/>
      <c r="AR89" s="36">
        <f t="shared" si="36"/>
        <v>0</v>
      </c>
      <c r="AS89" s="27" t="s">
        <v>615</v>
      </c>
      <c r="AT89" s="37">
        <v>46182</v>
      </c>
      <c r="AU89" s="30">
        <v>1</v>
      </c>
      <c r="AV89" s="36">
        <f t="shared" si="37"/>
        <v>0</v>
      </c>
      <c r="AW89" s="35">
        <v>46188</v>
      </c>
      <c r="AX89" s="30">
        <v>1</v>
      </c>
      <c r="AY89" s="32">
        <f t="shared" si="38"/>
        <v>0</v>
      </c>
      <c r="AZ89" s="30" t="s">
        <v>616</v>
      </c>
      <c r="BA89" s="63" t="s">
        <v>613</v>
      </c>
      <c r="BB89" s="71" t="e">
        <f>SUMIFS([1]Form!$F$8:$F$21,[1]Form!$J$8:$J$21,K89)</f>
        <v>#VALUE!</v>
      </c>
      <c r="BC89" s="71"/>
      <c r="BD89" s="71"/>
    </row>
    <row r="90" spans="1:56" hidden="1" x14ac:dyDescent="0.25">
      <c r="A90" s="24">
        <f>IF(B90="","",SUBTOTAL(3,$B$4:B90))</f>
        <v>0</v>
      </c>
      <c r="B90" s="25" t="s">
        <v>569</v>
      </c>
      <c r="C90" s="25" t="str">
        <f t="shared" si="44"/>
        <v>Shipment 1 PAR-550-22 Main</v>
      </c>
      <c r="D90" s="25" t="s">
        <v>570</v>
      </c>
      <c r="E90" s="25" t="s">
        <v>571</v>
      </c>
      <c r="F90" s="25"/>
      <c r="G90" s="65">
        <v>46393</v>
      </c>
      <c r="H90" s="25" t="s">
        <v>572</v>
      </c>
      <c r="I90" s="25" t="s">
        <v>578</v>
      </c>
      <c r="J90" s="26" t="s">
        <v>622</v>
      </c>
      <c r="K90" s="27" t="s">
        <v>203</v>
      </c>
      <c r="L90" s="28" t="s">
        <v>204</v>
      </c>
      <c r="M90" s="28" t="s">
        <v>199</v>
      </c>
      <c r="N90" s="25">
        <v>1</v>
      </c>
      <c r="O90" s="29">
        <v>1068.6999999999998</v>
      </c>
      <c r="P90" s="29">
        <v>1068.6999999999998</v>
      </c>
      <c r="Q90" s="25" t="s">
        <v>486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41"/>
        <v>1068.6999999999998</v>
      </c>
      <c r="AF90" s="32">
        <f t="shared" si="42"/>
        <v>0</v>
      </c>
      <c r="AG90" s="30"/>
      <c r="AH90" s="33">
        <v>1</v>
      </c>
      <c r="AI90" s="34">
        <f t="shared" si="43"/>
        <v>1068.6999999999998</v>
      </c>
      <c r="AJ90" s="35">
        <v>46163</v>
      </c>
      <c r="AK90" s="30">
        <v>1</v>
      </c>
      <c r="AL90" s="36">
        <f t="shared" si="34"/>
        <v>1068.6999999999998</v>
      </c>
      <c r="AM90" s="35">
        <v>46169</v>
      </c>
      <c r="AN90" s="30">
        <v>1</v>
      </c>
      <c r="AO90" s="36">
        <f t="shared" si="35"/>
        <v>1068.6999999999998</v>
      </c>
      <c r="AP90" s="35"/>
      <c r="AQ90" s="30"/>
      <c r="AR90" s="36">
        <f t="shared" si="36"/>
        <v>0</v>
      </c>
      <c r="AS90" s="27" t="s">
        <v>591</v>
      </c>
      <c r="AT90" s="37">
        <v>46172</v>
      </c>
      <c r="AU90" s="30">
        <v>1</v>
      </c>
      <c r="AV90" s="36">
        <f t="shared" si="37"/>
        <v>1068.6999999999998</v>
      </c>
      <c r="AW90" s="35">
        <v>46177</v>
      </c>
      <c r="AX90" s="30">
        <v>1</v>
      </c>
      <c r="AY90" s="32">
        <f t="shared" ref="AY90:AY91" si="47">IFERROR(AX90*$P90/$N90,0)</f>
        <v>1068.6999999999998</v>
      </c>
      <c r="AZ90" s="30" t="s">
        <v>611</v>
      </c>
      <c r="BA90" s="63" t="s">
        <v>587</v>
      </c>
      <c r="BB90" s="71" t="e">
        <f>SUMIFS([1]Form!$F$8:$F$21,[1]Form!$J$8:$J$21,K90)</f>
        <v>#VALUE!</v>
      </c>
      <c r="BC90" s="71"/>
      <c r="BD90" s="71"/>
    </row>
    <row r="91" spans="1:56" hidden="1" x14ac:dyDescent="0.25">
      <c r="A91" s="24">
        <f>IF(B91="","",SUBTOTAL(3,$B$4:B91))</f>
        <v>0</v>
      </c>
      <c r="B91" s="25" t="s">
        <v>569</v>
      </c>
      <c r="C91" s="25" t="str">
        <f t="shared" si="44"/>
        <v>Shipment 1 PAR-550-22 Main</v>
      </c>
      <c r="D91" s="25" t="s">
        <v>570</v>
      </c>
      <c r="E91" s="25" t="s">
        <v>571</v>
      </c>
      <c r="F91" s="25"/>
      <c r="G91" s="65">
        <v>46393</v>
      </c>
      <c r="H91" s="25" t="s">
        <v>572</v>
      </c>
      <c r="I91" s="25" t="s">
        <v>577</v>
      </c>
      <c r="J91" s="26" t="s">
        <v>622</v>
      </c>
      <c r="K91" s="27" t="s">
        <v>205</v>
      </c>
      <c r="L91" s="28" t="s">
        <v>596</v>
      </c>
      <c r="M91" s="28" t="s">
        <v>199</v>
      </c>
      <c r="N91" s="25">
        <v>1</v>
      </c>
      <c r="O91" s="29">
        <v>7842.5</v>
      </c>
      <c r="P91" s="29">
        <v>7842.5</v>
      </c>
      <c r="Q91" s="25" t="s">
        <v>487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41"/>
        <v>7842.5</v>
      </c>
      <c r="AF91" s="32">
        <f t="shared" si="42"/>
        <v>0</v>
      </c>
      <c r="AG91" s="30"/>
      <c r="AH91" s="33">
        <v>1</v>
      </c>
      <c r="AI91" s="34">
        <f t="shared" si="43"/>
        <v>7842.5</v>
      </c>
      <c r="AJ91" s="35">
        <v>46156</v>
      </c>
      <c r="AK91" s="30">
        <v>1</v>
      </c>
      <c r="AL91" s="36">
        <f t="shared" si="34"/>
        <v>7842.5</v>
      </c>
      <c r="AM91" s="35">
        <v>46161</v>
      </c>
      <c r="AN91" s="30">
        <v>1</v>
      </c>
      <c r="AO91" s="36">
        <f t="shared" si="35"/>
        <v>7842.5</v>
      </c>
      <c r="AP91" s="35"/>
      <c r="AQ91" s="30"/>
      <c r="AR91" s="36">
        <f t="shared" si="36"/>
        <v>0</v>
      </c>
      <c r="AS91" s="27" t="s">
        <v>618</v>
      </c>
      <c r="AT91" s="37">
        <v>46199</v>
      </c>
      <c r="AU91" s="30">
        <v>1</v>
      </c>
      <c r="AV91" s="36">
        <f t="shared" si="37"/>
        <v>7842.5</v>
      </c>
      <c r="AW91" s="35">
        <v>46203</v>
      </c>
      <c r="AX91" s="30">
        <v>1</v>
      </c>
      <c r="AY91" s="32">
        <f t="shared" si="47"/>
        <v>7842.5</v>
      </c>
      <c r="AZ91" s="30" t="s">
        <v>616</v>
      </c>
      <c r="BA91" s="63" t="s">
        <v>619</v>
      </c>
      <c r="BB91" s="71"/>
      <c r="BC91" s="71"/>
      <c r="BD91" s="71"/>
    </row>
    <row r="92" spans="1:56" hidden="1" x14ac:dyDescent="0.25">
      <c r="A92" s="24">
        <f>IF(B92="","",SUBTOTAL(3,$B$4:B92))</f>
        <v>0</v>
      </c>
      <c r="B92" s="25" t="s">
        <v>569</v>
      </c>
      <c r="C92" s="25" t="str">
        <f t="shared" ref="C92" si="48">D92&amp;" "&amp;E92</f>
        <v>Shipment 1 PAR-550-22 Main</v>
      </c>
      <c r="D92" s="25" t="s">
        <v>570</v>
      </c>
      <c r="E92" s="25" t="s">
        <v>571</v>
      </c>
      <c r="F92" s="25"/>
      <c r="G92" s="65">
        <v>46393</v>
      </c>
      <c r="H92" s="25" t="s">
        <v>572</v>
      </c>
      <c r="I92" s="25" t="s">
        <v>577</v>
      </c>
      <c r="J92" s="26" t="s">
        <v>622</v>
      </c>
      <c r="K92" s="27" t="s">
        <v>205</v>
      </c>
      <c r="L92" s="28" t="s">
        <v>597</v>
      </c>
      <c r="M92" s="28" t="s">
        <v>199</v>
      </c>
      <c r="N92" s="25">
        <v>1</v>
      </c>
      <c r="O92" s="29">
        <v>0</v>
      </c>
      <c r="P92" s="29">
        <v>0</v>
      </c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41"/>
        <v>0</v>
      </c>
      <c r="AF92" s="32">
        <f t="shared" si="42"/>
        <v>0</v>
      </c>
      <c r="AG92" s="30"/>
      <c r="AH92" s="33">
        <v>1</v>
      </c>
      <c r="AI92" s="34">
        <f t="shared" si="43"/>
        <v>0</v>
      </c>
      <c r="AJ92" s="35">
        <v>46178</v>
      </c>
      <c r="AK92" s="30">
        <v>1</v>
      </c>
      <c r="AL92" s="36">
        <f t="shared" si="34"/>
        <v>0</v>
      </c>
      <c r="AM92" s="35">
        <v>46182</v>
      </c>
      <c r="AN92" s="30">
        <v>1</v>
      </c>
      <c r="AO92" s="36">
        <f t="shared" si="35"/>
        <v>0</v>
      </c>
      <c r="AP92" s="35"/>
      <c r="AQ92" s="30"/>
      <c r="AR92" s="36">
        <f t="shared" si="36"/>
        <v>0</v>
      </c>
      <c r="AS92" s="27" t="s">
        <v>615</v>
      </c>
      <c r="AT92" s="37">
        <v>46182</v>
      </c>
      <c r="AU92" s="30">
        <v>1</v>
      </c>
      <c r="AV92" s="36">
        <f t="shared" si="37"/>
        <v>0</v>
      </c>
      <c r="AW92" s="35">
        <v>46188</v>
      </c>
      <c r="AX92" s="30">
        <v>1</v>
      </c>
      <c r="AY92" s="32">
        <f t="shared" ref="AY92" si="49">IFERROR(AX92*$P92/$N92,0)</f>
        <v>0</v>
      </c>
      <c r="AZ92" s="30" t="s">
        <v>616</v>
      </c>
      <c r="BA92" s="63" t="s">
        <v>613</v>
      </c>
      <c r="BB92" s="71" t="e">
        <f>SUMIFS([1]Form!$F$8:$F$21,[1]Form!$J$8:$J$21,K92)</f>
        <v>#VALUE!</v>
      </c>
      <c r="BC92" s="71"/>
      <c r="BD92" s="71"/>
    </row>
    <row r="93" spans="1:56" hidden="1" x14ac:dyDescent="0.25">
      <c r="A93" s="24">
        <f>IF(B93="","",SUBTOTAL(3,$B$4:B93))</f>
        <v>0</v>
      </c>
      <c r="B93" s="25" t="s">
        <v>569</v>
      </c>
      <c r="C93" s="25" t="str">
        <f t="shared" si="44"/>
        <v>Shipment 1 PAR-550-22 Main</v>
      </c>
      <c r="D93" s="25" t="s">
        <v>570</v>
      </c>
      <c r="E93" s="25" t="s">
        <v>571</v>
      </c>
      <c r="F93" s="25"/>
      <c r="G93" s="65">
        <v>46393</v>
      </c>
      <c r="H93" s="25" t="s">
        <v>572</v>
      </c>
      <c r="I93" s="25" t="s">
        <v>578</v>
      </c>
      <c r="J93" s="26" t="s">
        <v>622</v>
      </c>
      <c r="K93" s="27" t="s">
        <v>206</v>
      </c>
      <c r="L93" s="28" t="s">
        <v>207</v>
      </c>
      <c r="M93" s="28" t="s">
        <v>199</v>
      </c>
      <c r="N93" s="25">
        <v>1</v>
      </c>
      <c r="O93" s="29">
        <v>1114.2</v>
      </c>
      <c r="P93" s="29">
        <v>1114.2</v>
      </c>
      <c r="Q93" s="25" t="s">
        <v>488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41"/>
        <v>1114.2</v>
      </c>
      <c r="AF93" s="32">
        <f t="shared" si="42"/>
        <v>0</v>
      </c>
      <c r="AG93" s="30"/>
      <c r="AH93" s="33">
        <v>1</v>
      </c>
      <c r="AI93" s="34">
        <f t="shared" si="43"/>
        <v>1114.2</v>
      </c>
      <c r="AJ93" s="35">
        <v>46163</v>
      </c>
      <c r="AK93" s="30">
        <v>1</v>
      </c>
      <c r="AL93" s="36">
        <f t="shared" si="34"/>
        <v>1114.2</v>
      </c>
      <c r="AM93" s="35">
        <v>46169</v>
      </c>
      <c r="AN93" s="30">
        <v>1</v>
      </c>
      <c r="AO93" s="36">
        <f t="shared" si="35"/>
        <v>1114.2</v>
      </c>
      <c r="AP93" s="35"/>
      <c r="AQ93" s="30"/>
      <c r="AR93" s="36">
        <f t="shared" si="36"/>
        <v>0</v>
      </c>
      <c r="AS93" s="27" t="s">
        <v>591</v>
      </c>
      <c r="AT93" s="37">
        <v>46172</v>
      </c>
      <c r="AU93" s="30">
        <v>1</v>
      </c>
      <c r="AV93" s="36">
        <f t="shared" si="37"/>
        <v>1114.2</v>
      </c>
      <c r="AW93" s="35">
        <v>46177</v>
      </c>
      <c r="AX93" s="30">
        <v>1</v>
      </c>
      <c r="AY93" s="32">
        <f t="shared" ref="AY93" si="50">IFERROR(AX93*$P93/$N93,0)</f>
        <v>1114.2</v>
      </c>
      <c r="AZ93" s="30" t="s">
        <v>611</v>
      </c>
      <c r="BA93" s="63" t="s">
        <v>587</v>
      </c>
      <c r="BB93" s="71" t="e">
        <f>SUMIFS([1]Form!$F$8:$F$21,[1]Form!$J$8:$J$21,K93)</f>
        <v>#VALUE!</v>
      </c>
      <c r="BC93" s="71"/>
      <c r="BD93" s="71"/>
    </row>
    <row r="94" spans="1:56" hidden="1" x14ac:dyDescent="0.25">
      <c r="A94" s="24">
        <f>IF(B94="","",SUBTOTAL(3,$B$4:B94))</f>
        <v>0</v>
      </c>
      <c r="B94" s="25" t="s">
        <v>569</v>
      </c>
      <c r="C94" s="25" t="str">
        <f t="shared" si="44"/>
        <v>Shipment 1 PAR-550-22 Main</v>
      </c>
      <c r="D94" s="25" t="s">
        <v>570</v>
      </c>
      <c r="E94" s="25" t="s">
        <v>571</v>
      </c>
      <c r="F94" s="25"/>
      <c r="G94" s="65">
        <v>46393</v>
      </c>
      <c r="H94" s="25" t="s">
        <v>572</v>
      </c>
      <c r="I94" s="25" t="s">
        <v>577</v>
      </c>
      <c r="J94" s="26" t="s">
        <v>622</v>
      </c>
      <c r="K94" s="27" t="s">
        <v>208</v>
      </c>
      <c r="L94" s="28" t="s">
        <v>598</v>
      </c>
      <c r="M94" s="28" t="s">
        <v>199</v>
      </c>
      <c r="N94" s="25">
        <v>1</v>
      </c>
      <c r="O94" s="29">
        <v>7008.4</v>
      </c>
      <c r="P94" s="29">
        <v>7008.4</v>
      </c>
      <c r="Q94" s="25" t="s">
        <v>489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41"/>
        <v>7008.4</v>
      </c>
      <c r="AF94" s="32">
        <f t="shared" si="42"/>
        <v>0</v>
      </c>
      <c r="AG94" s="30"/>
      <c r="AH94" s="33">
        <v>1</v>
      </c>
      <c r="AI94" s="34">
        <f t="shared" si="43"/>
        <v>7008.4</v>
      </c>
      <c r="AJ94" s="35">
        <v>46167</v>
      </c>
      <c r="AK94" s="30">
        <v>1</v>
      </c>
      <c r="AL94" s="36">
        <f t="shared" si="34"/>
        <v>7008.4</v>
      </c>
      <c r="AM94" s="35">
        <v>46178</v>
      </c>
      <c r="AN94" s="30">
        <v>1</v>
      </c>
      <c r="AO94" s="36">
        <f t="shared" si="35"/>
        <v>7008.4</v>
      </c>
      <c r="AP94" s="35"/>
      <c r="AQ94" s="30"/>
      <c r="AR94" s="36">
        <f t="shared" si="36"/>
        <v>0</v>
      </c>
      <c r="AS94" s="27" t="s">
        <v>620</v>
      </c>
      <c r="AT94" s="37">
        <v>46203</v>
      </c>
      <c r="AU94" s="30">
        <v>1</v>
      </c>
      <c r="AV94" s="36">
        <f t="shared" si="37"/>
        <v>7008.4</v>
      </c>
      <c r="AW94" s="35">
        <v>46208</v>
      </c>
      <c r="AX94" s="30">
        <v>1</v>
      </c>
      <c r="AY94" s="32">
        <f t="shared" si="38"/>
        <v>7008.4</v>
      </c>
      <c r="AZ94" s="30" t="s">
        <v>616</v>
      </c>
      <c r="BA94" s="63" t="s">
        <v>617</v>
      </c>
      <c r="BB94" s="71"/>
      <c r="BC94" s="71"/>
      <c r="BD94" s="71"/>
    </row>
    <row r="95" spans="1:56" hidden="1" x14ac:dyDescent="0.25">
      <c r="A95" s="24">
        <f>IF(B95="","",SUBTOTAL(3,$B$4:B95))</f>
        <v>0</v>
      </c>
      <c r="B95" s="25" t="s">
        <v>569</v>
      </c>
      <c r="C95" s="25" t="str">
        <f t="shared" si="44"/>
        <v>Shipment 1 PAR-550-22 Main</v>
      </c>
      <c r="D95" s="25" t="s">
        <v>570</v>
      </c>
      <c r="E95" s="25" t="s">
        <v>571</v>
      </c>
      <c r="F95" s="25"/>
      <c r="G95" s="65">
        <v>46393</v>
      </c>
      <c r="H95" s="25" t="s">
        <v>572</v>
      </c>
      <c r="I95" s="25" t="s">
        <v>577</v>
      </c>
      <c r="J95" s="26" t="s">
        <v>622</v>
      </c>
      <c r="K95" s="27" t="s">
        <v>208</v>
      </c>
      <c r="L95" s="28" t="s">
        <v>599</v>
      </c>
      <c r="M95" s="28" t="s">
        <v>199</v>
      </c>
      <c r="N95" s="25">
        <v>1</v>
      </c>
      <c r="O95" s="29">
        <v>0</v>
      </c>
      <c r="P95" s="29">
        <v>0</v>
      </c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41"/>
        <v>0</v>
      </c>
      <c r="AF95" s="32">
        <f t="shared" si="42"/>
        <v>0</v>
      </c>
      <c r="AG95" s="30"/>
      <c r="AH95" s="33">
        <v>1</v>
      </c>
      <c r="AI95" s="34">
        <f t="shared" si="43"/>
        <v>0</v>
      </c>
      <c r="AJ95" s="35">
        <v>46167</v>
      </c>
      <c r="AK95" s="30">
        <v>1</v>
      </c>
      <c r="AL95" s="36">
        <f t="shared" si="34"/>
        <v>0</v>
      </c>
      <c r="AM95" s="35">
        <v>46175</v>
      </c>
      <c r="AN95" s="30">
        <v>1</v>
      </c>
      <c r="AO95" s="36">
        <f t="shared" si="35"/>
        <v>0</v>
      </c>
      <c r="AP95" s="35"/>
      <c r="AQ95" s="30"/>
      <c r="AR95" s="36">
        <f t="shared" si="36"/>
        <v>0</v>
      </c>
      <c r="AS95" s="27" t="s">
        <v>610</v>
      </c>
      <c r="AT95" s="37">
        <v>46175</v>
      </c>
      <c r="AU95" s="30">
        <v>1</v>
      </c>
      <c r="AV95" s="36">
        <f t="shared" si="37"/>
        <v>0</v>
      </c>
      <c r="AW95" s="35">
        <v>46177</v>
      </c>
      <c r="AX95" s="30">
        <v>1</v>
      </c>
      <c r="AY95" s="32">
        <f t="shared" ref="AY95:AY98" si="51">IFERROR(AX95*$P95/$N95,0)</f>
        <v>0</v>
      </c>
      <c r="AZ95" s="30" t="s">
        <v>611</v>
      </c>
      <c r="BA95" s="63" t="s">
        <v>588</v>
      </c>
      <c r="BB95" s="71" t="e">
        <f>SUMIFS([1]Form!$F$8:$F$21,[1]Form!$J$8:$J$21,K95)</f>
        <v>#VALUE!</v>
      </c>
      <c r="BC95" s="71"/>
      <c r="BD95" s="71"/>
    </row>
    <row r="96" spans="1:56" hidden="1" x14ac:dyDescent="0.25">
      <c r="A96" s="24">
        <f>IF(B96="","",SUBTOTAL(3,$B$4:B96))</f>
        <v>0</v>
      </c>
      <c r="B96" s="25" t="s">
        <v>569</v>
      </c>
      <c r="C96" s="25" t="str">
        <f t="shared" si="44"/>
        <v>Shipment 1 PAR-550-22 Main</v>
      </c>
      <c r="D96" s="25" t="s">
        <v>570</v>
      </c>
      <c r="E96" s="25" t="s">
        <v>571</v>
      </c>
      <c r="F96" s="25"/>
      <c r="G96" s="65">
        <v>46393</v>
      </c>
      <c r="H96" s="25" t="s">
        <v>572</v>
      </c>
      <c r="I96" s="25" t="s">
        <v>578</v>
      </c>
      <c r="J96" s="26" t="s">
        <v>622</v>
      </c>
      <c r="K96" s="27" t="s">
        <v>209</v>
      </c>
      <c r="L96" s="28" t="s">
        <v>210</v>
      </c>
      <c r="M96" s="28" t="s">
        <v>199</v>
      </c>
      <c r="N96" s="25">
        <v>1</v>
      </c>
      <c r="O96" s="29">
        <v>1117.2</v>
      </c>
      <c r="P96" s="29">
        <v>1117.2</v>
      </c>
      <c r="Q96" s="25" t="s">
        <v>490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41"/>
        <v>1117.2</v>
      </c>
      <c r="AF96" s="32">
        <f t="shared" si="42"/>
        <v>0</v>
      </c>
      <c r="AG96" s="30"/>
      <c r="AH96" s="33">
        <v>1</v>
      </c>
      <c r="AI96" s="34">
        <f t="shared" si="43"/>
        <v>1117.2</v>
      </c>
      <c r="AJ96" s="35">
        <v>46163</v>
      </c>
      <c r="AK96" s="30">
        <v>1</v>
      </c>
      <c r="AL96" s="36">
        <f t="shared" si="34"/>
        <v>1117.2</v>
      </c>
      <c r="AM96" s="35">
        <v>46174</v>
      </c>
      <c r="AN96" s="30">
        <v>1</v>
      </c>
      <c r="AO96" s="36">
        <f t="shared" si="35"/>
        <v>1117.2</v>
      </c>
      <c r="AP96" s="35"/>
      <c r="AQ96" s="30"/>
      <c r="AR96" s="36">
        <f t="shared" si="36"/>
        <v>0</v>
      </c>
      <c r="AS96" s="27" t="s">
        <v>610</v>
      </c>
      <c r="AT96" s="37">
        <v>46175</v>
      </c>
      <c r="AU96" s="30">
        <v>1</v>
      </c>
      <c r="AV96" s="36">
        <f t="shared" si="37"/>
        <v>1117.2</v>
      </c>
      <c r="AW96" s="35">
        <v>46177</v>
      </c>
      <c r="AX96" s="30">
        <v>1</v>
      </c>
      <c r="AY96" s="32">
        <f t="shared" si="51"/>
        <v>1117.2</v>
      </c>
      <c r="AZ96" s="30" t="s">
        <v>611</v>
      </c>
      <c r="BA96" s="63" t="s">
        <v>588</v>
      </c>
      <c r="BB96" s="71" t="e">
        <f>SUMIFS([1]Form!$F$8:$F$21,[1]Form!$J$8:$J$21,K96)</f>
        <v>#VALUE!</v>
      </c>
      <c r="BC96" s="71"/>
      <c r="BD96" s="71"/>
    </row>
    <row r="97" spans="1:56" hidden="1" x14ac:dyDescent="0.25">
      <c r="A97" s="24">
        <f>IF(B97="","",SUBTOTAL(3,$B$4:B97))</f>
        <v>0</v>
      </c>
      <c r="B97" s="25" t="s">
        <v>569</v>
      </c>
      <c r="C97" s="25" t="str">
        <f t="shared" si="44"/>
        <v>Shipment 1 PAR-550-22 Main</v>
      </c>
      <c r="D97" s="25" t="s">
        <v>570</v>
      </c>
      <c r="E97" s="25" t="s">
        <v>571</v>
      </c>
      <c r="F97" s="25"/>
      <c r="G97" s="65">
        <v>46393</v>
      </c>
      <c r="H97" s="25" t="s">
        <v>572</v>
      </c>
      <c r="I97" s="25" t="s">
        <v>577</v>
      </c>
      <c r="J97" s="26" t="s">
        <v>622</v>
      </c>
      <c r="K97" s="27" t="s">
        <v>211</v>
      </c>
      <c r="L97" s="28" t="s">
        <v>600</v>
      </c>
      <c r="M97" s="28" t="s">
        <v>199</v>
      </c>
      <c r="N97" s="25">
        <v>1</v>
      </c>
      <c r="O97" s="29">
        <v>7037.8</v>
      </c>
      <c r="P97" s="29">
        <v>7037.8</v>
      </c>
      <c r="Q97" s="25" t="s">
        <v>491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41"/>
        <v>7037.8</v>
      </c>
      <c r="AF97" s="32">
        <f t="shared" si="42"/>
        <v>0</v>
      </c>
      <c r="AG97" s="30"/>
      <c r="AH97" s="33">
        <v>1</v>
      </c>
      <c r="AI97" s="34">
        <f t="shared" si="43"/>
        <v>7037.8</v>
      </c>
      <c r="AJ97" s="35">
        <v>46174</v>
      </c>
      <c r="AK97" s="30">
        <v>1</v>
      </c>
      <c r="AL97" s="36">
        <f t="shared" si="34"/>
        <v>7037.8</v>
      </c>
      <c r="AM97" s="35">
        <v>46177</v>
      </c>
      <c r="AN97" s="30">
        <v>1</v>
      </c>
      <c r="AO97" s="36">
        <f t="shared" si="35"/>
        <v>7037.8</v>
      </c>
      <c r="AP97" s="35"/>
      <c r="AQ97" s="30"/>
      <c r="AR97" s="36">
        <f t="shared" si="36"/>
        <v>0</v>
      </c>
      <c r="AS97" s="27" t="s">
        <v>614</v>
      </c>
      <c r="AT97" s="37">
        <v>46182</v>
      </c>
      <c r="AU97" s="30">
        <v>1</v>
      </c>
      <c r="AV97" s="36">
        <f t="shared" si="37"/>
        <v>7037.8</v>
      </c>
      <c r="AW97" s="35">
        <v>46184</v>
      </c>
      <c r="AX97" s="30">
        <v>1</v>
      </c>
      <c r="AY97" s="32">
        <f t="shared" si="51"/>
        <v>7037.8</v>
      </c>
      <c r="AZ97" s="30" t="s">
        <v>611</v>
      </c>
      <c r="BA97" s="63" t="s">
        <v>612</v>
      </c>
      <c r="BB97" s="71" t="e">
        <f>SUMIFS([1]Form!$F$8:$F$21,[1]Form!$J$8:$J$21,K97)</f>
        <v>#VALUE!</v>
      </c>
      <c r="BC97" s="71"/>
      <c r="BD97" s="71"/>
    </row>
    <row r="98" spans="1:56" hidden="1" x14ac:dyDescent="0.25">
      <c r="A98" s="24">
        <f>IF(B98="","",SUBTOTAL(3,$B$4:B98))</f>
        <v>0</v>
      </c>
      <c r="B98" s="25" t="s">
        <v>569</v>
      </c>
      <c r="C98" s="25" t="str">
        <f t="shared" ref="C98" si="52">D98&amp;" "&amp;E98</f>
        <v>Shipment 1 PAR-550-22 Main</v>
      </c>
      <c r="D98" s="25" t="s">
        <v>570</v>
      </c>
      <c r="E98" s="25" t="s">
        <v>571</v>
      </c>
      <c r="F98" s="25"/>
      <c r="G98" s="65">
        <v>46393</v>
      </c>
      <c r="H98" s="25" t="s">
        <v>572</v>
      </c>
      <c r="I98" s="25" t="s">
        <v>577</v>
      </c>
      <c r="J98" s="26" t="s">
        <v>622</v>
      </c>
      <c r="K98" s="27" t="s">
        <v>211</v>
      </c>
      <c r="L98" s="28" t="s">
        <v>601</v>
      </c>
      <c r="M98" s="28" t="s">
        <v>199</v>
      </c>
      <c r="N98" s="25">
        <v>1</v>
      </c>
      <c r="O98" s="29">
        <v>0</v>
      </c>
      <c r="P98" s="29">
        <v>0</v>
      </c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41"/>
        <v>0</v>
      </c>
      <c r="AF98" s="32">
        <f t="shared" si="42"/>
        <v>0</v>
      </c>
      <c r="AG98" s="30"/>
      <c r="AH98" s="33">
        <v>1</v>
      </c>
      <c r="AI98" s="34">
        <f t="shared" si="43"/>
        <v>0</v>
      </c>
      <c r="AJ98" s="35">
        <v>46177</v>
      </c>
      <c r="AK98" s="30">
        <v>1</v>
      </c>
      <c r="AL98" s="36">
        <f t="shared" si="34"/>
        <v>0</v>
      </c>
      <c r="AM98" s="35">
        <v>46178</v>
      </c>
      <c r="AN98" s="30">
        <v>1</v>
      </c>
      <c r="AO98" s="36">
        <f t="shared" si="35"/>
        <v>0</v>
      </c>
      <c r="AP98" s="35"/>
      <c r="AQ98" s="30"/>
      <c r="AR98" s="36">
        <f t="shared" si="36"/>
        <v>0</v>
      </c>
      <c r="AS98" s="27" t="s">
        <v>615</v>
      </c>
      <c r="AT98" s="37">
        <v>46182</v>
      </c>
      <c r="AU98" s="30">
        <v>1</v>
      </c>
      <c r="AV98" s="36">
        <f t="shared" si="37"/>
        <v>0</v>
      </c>
      <c r="AW98" s="35">
        <v>46188</v>
      </c>
      <c r="AX98" s="30">
        <v>1</v>
      </c>
      <c r="AY98" s="32">
        <f t="shared" si="51"/>
        <v>0</v>
      </c>
      <c r="AZ98" s="30" t="s">
        <v>616</v>
      </c>
      <c r="BA98" s="63" t="s">
        <v>613</v>
      </c>
      <c r="BB98" s="71" t="e">
        <f>SUMIFS([1]Form!$F$8:$F$21,[1]Form!$J$8:$J$21,K98)</f>
        <v>#VALUE!</v>
      </c>
      <c r="BC98" s="71"/>
      <c r="BD98" s="71"/>
    </row>
    <row r="99" spans="1:56" hidden="1" x14ac:dyDescent="0.25">
      <c r="A99" s="24">
        <f>IF(B99="","",SUBTOTAL(3,$B$4:B99))</f>
        <v>0</v>
      </c>
      <c r="B99" s="25" t="s">
        <v>569</v>
      </c>
      <c r="C99" s="25" t="str">
        <f t="shared" si="44"/>
        <v>Shipment 1 PAR-550-22 Main</v>
      </c>
      <c r="D99" s="25" t="s">
        <v>570</v>
      </c>
      <c r="E99" s="25" t="s">
        <v>571</v>
      </c>
      <c r="F99" s="25"/>
      <c r="G99" s="65">
        <v>46393</v>
      </c>
      <c r="H99" s="25" t="s">
        <v>572</v>
      </c>
      <c r="I99" s="25" t="s">
        <v>578</v>
      </c>
      <c r="J99" s="26" t="s">
        <v>622</v>
      </c>
      <c r="K99" s="27" t="s">
        <v>212</v>
      </c>
      <c r="L99" s="28" t="s">
        <v>213</v>
      </c>
      <c r="M99" s="28" t="s">
        <v>199</v>
      </c>
      <c r="N99" s="25">
        <v>1</v>
      </c>
      <c r="O99" s="29">
        <v>1122.5</v>
      </c>
      <c r="P99" s="29">
        <v>1122.5</v>
      </c>
      <c r="Q99" s="25" t="s">
        <v>490</v>
      </c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41"/>
        <v>1122.5</v>
      </c>
      <c r="AF99" s="32">
        <f t="shared" si="42"/>
        <v>0</v>
      </c>
      <c r="AG99" s="30"/>
      <c r="AH99" s="33">
        <v>1</v>
      </c>
      <c r="AI99" s="34">
        <f t="shared" si="43"/>
        <v>1122.5</v>
      </c>
      <c r="AJ99" s="35">
        <v>46163</v>
      </c>
      <c r="AK99" s="30">
        <v>1</v>
      </c>
      <c r="AL99" s="36">
        <f t="shared" si="34"/>
        <v>1122.5</v>
      </c>
      <c r="AM99" s="35">
        <v>46172</v>
      </c>
      <c r="AN99" s="30">
        <v>1</v>
      </c>
      <c r="AO99" s="36">
        <f t="shared" si="35"/>
        <v>1122.5</v>
      </c>
      <c r="AP99" s="35"/>
      <c r="AQ99" s="30"/>
      <c r="AR99" s="36">
        <f t="shared" si="36"/>
        <v>0</v>
      </c>
      <c r="AS99" s="27" t="s">
        <v>591</v>
      </c>
      <c r="AT99" s="37">
        <v>46172</v>
      </c>
      <c r="AU99" s="30">
        <v>1</v>
      </c>
      <c r="AV99" s="36">
        <f t="shared" si="37"/>
        <v>1122.5</v>
      </c>
      <c r="AW99" s="35">
        <v>46177</v>
      </c>
      <c r="AX99" s="30">
        <v>1</v>
      </c>
      <c r="AY99" s="32">
        <f t="shared" ref="AY99:AY101" si="53">IFERROR(AX99*$P99/$N99,0)</f>
        <v>1122.5</v>
      </c>
      <c r="AZ99" s="30" t="s">
        <v>611</v>
      </c>
      <c r="BA99" s="63" t="s">
        <v>587</v>
      </c>
      <c r="BB99" s="71" t="e">
        <f>SUMIFS([1]Form!$F$8:$F$21,[1]Form!$J$8:$J$21,K99)</f>
        <v>#VALUE!</v>
      </c>
      <c r="BC99" s="71"/>
      <c r="BD99" s="71"/>
    </row>
    <row r="100" spans="1:56" hidden="1" x14ac:dyDescent="0.25">
      <c r="A100" s="24">
        <f>IF(B100="","",SUBTOTAL(3,$B$4:B100))</f>
        <v>0</v>
      </c>
      <c r="B100" s="25" t="s">
        <v>569</v>
      </c>
      <c r="C100" s="25" t="str">
        <f t="shared" si="44"/>
        <v>Shipment 1 PAR-550-22 Main</v>
      </c>
      <c r="D100" s="25" t="s">
        <v>570</v>
      </c>
      <c r="E100" s="25" t="s">
        <v>571</v>
      </c>
      <c r="F100" s="25"/>
      <c r="G100" s="65">
        <v>46393</v>
      </c>
      <c r="H100" s="25" t="s">
        <v>572</v>
      </c>
      <c r="I100" s="25" t="s">
        <v>577</v>
      </c>
      <c r="J100" s="26" t="s">
        <v>622</v>
      </c>
      <c r="K100" s="27" t="s">
        <v>214</v>
      </c>
      <c r="L100" s="28" t="s">
        <v>602</v>
      </c>
      <c r="M100" s="28" t="s">
        <v>199</v>
      </c>
      <c r="N100" s="25">
        <v>1</v>
      </c>
      <c r="O100" s="29">
        <v>8013.1999999999989</v>
      </c>
      <c r="P100" s="29">
        <v>8013.1999999999989</v>
      </c>
      <c r="Q100" s="25" t="s">
        <v>492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41"/>
        <v>8013.1999999999989</v>
      </c>
      <c r="AF100" s="32">
        <f t="shared" si="42"/>
        <v>0</v>
      </c>
      <c r="AG100" s="30"/>
      <c r="AH100" s="33">
        <v>1</v>
      </c>
      <c r="AI100" s="34">
        <f t="shared" si="43"/>
        <v>8013.1999999999989</v>
      </c>
      <c r="AJ100" s="35">
        <v>46150</v>
      </c>
      <c r="AK100" s="30">
        <v>1</v>
      </c>
      <c r="AL100" s="36">
        <f t="shared" si="34"/>
        <v>8013.1999999999989</v>
      </c>
      <c r="AM100" s="35">
        <v>46168</v>
      </c>
      <c r="AN100" s="30">
        <v>1</v>
      </c>
      <c r="AO100" s="36">
        <f t="shared" si="35"/>
        <v>8013.1999999999989</v>
      </c>
      <c r="AP100" s="35"/>
      <c r="AQ100" s="30"/>
      <c r="AR100" s="36">
        <f t="shared" si="36"/>
        <v>0</v>
      </c>
      <c r="AS100" s="27" t="s">
        <v>617</v>
      </c>
      <c r="AT100" s="37">
        <v>46190</v>
      </c>
      <c r="AU100" s="30">
        <v>1</v>
      </c>
      <c r="AV100" s="36">
        <f t="shared" si="37"/>
        <v>8013.1999999999989</v>
      </c>
      <c r="AW100" s="35">
        <v>46192</v>
      </c>
      <c r="AX100" s="30">
        <v>1</v>
      </c>
      <c r="AY100" s="32">
        <f t="shared" si="53"/>
        <v>8013.1999999999989</v>
      </c>
      <c r="AZ100" s="30" t="s">
        <v>616</v>
      </c>
      <c r="BA100" s="63" t="s">
        <v>614</v>
      </c>
      <c r="BB100" s="71"/>
      <c r="BC100" s="71"/>
      <c r="BD100" s="71"/>
    </row>
    <row r="101" spans="1:56" hidden="1" x14ac:dyDescent="0.25">
      <c r="A101" s="24">
        <f>IF(B101="","",SUBTOTAL(3,$B$4:B101))</f>
        <v>0</v>
      </c>
      <c r="B101" s="25" t="s">
        <v>569</v>
      </c>
      <c r="C101" s="25" t="str">
        <f t="shared" si="44"/>
        <v>Shipment 1 PAR-550-22 Main</v>
      </c>
      <c r="D101" s="25" t="s">
        <v>570</v>
      </c>
      <c r="E101" s="25" t="s">
        <v>571</v>
      </c>
      <c r="F101" s="25"/>
      <c r="G101" s="65">
        <v>46393</v>
      </c>
      <c r="H101" s="25" t="s">
        <v>572</v>
      </c>
      <c r="I101" s="25" t="s">
        <v>577</v>
      </c>
      <c r="J101" s="26" t="s">
        <v>622</v>
      </c>
      <c r="K101" s="27" t="s">
        <v>214</v>
      </c>
      <c r="L101" s="28" t="s">
        <v>603</v>
      </c>
      <c r="M101" s="28" t="s">
        <v>199</v>
      </c>
      <c r="N101" s="25">
        <v>1</v>
      </c>
      <c r="O101" s="29">
        <v>0</v>
      </c>
      <c r="P101" s="29">
        <v>0</v>
      </c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41"/>
        <v>0</v>
      </c>
      <c r="AF101" s="32">
        <f t="shared" si="42"/>
        <v>0</v>
      </c>
      <c r="AG101" s="30"/>
      <c r="AH101" s="33">
        <v>1</v>
      </c>
      <c r="AI101" s="34">
        <f t="shared" si="43"/>
        <v>0</v>
      </c>
      <c r="AJ101" s="35">
        <v>46178</v>
      </c>
      <c r="AK101" s="30">
        <v>1</v>
      </c>
      <c r="AL101" s="36">
        <f t="shared" si="34"/>
        <v>0</v>
      </c>
      <c r="AM101" s="35">
        <v>46181</v>
      </c>
      <c r="AN101" s="30">
        <v>1</v>
      </c>
      <c r="AO101" s="36">
        <f t="shared" si="35"/>
        <v>0</v>
      </c>
      <c r="AP101" s="35"/>
      <c r="AQ101" s="30"/>
      <c r="AR101" s="36">
        <f t="shared" si="36"/>
        <v>0</v>
      </c>
      <c r="AS101" s="27" t="s">
        <v>617</v>
      </c>
      <c r="AT101" s="37">
        <v>46190</v>
      </c>
      <c r="AU101" s="30">
        <v>1</v>
      </c>
      <c r="AV101" s="36">
        <f t="shared" si="37"/>
        <v>0</v>
      </c>
      <c r="AW101" s="35">
        <v>46192</v>
      </c>
      <c r="AX101" s="30">
        <v>1</v>
      </c>
      <c r="AY101" s="32">
        <f t="shared" si="53"/>
        <v>0</v>
      </c>
      <c r="AZ101" s="30" t="s">
        <v>616</v>
      </c>
      <c r="BA101" s="63" t="s">
        <v>614</v>
      </c>
      <c r="BB101" s="71"/>
      <c r="BC101" s="71"/>
      <c r="BD101" s="71"/>
    </row>
    <row r="102" spans="1:56" hidden="1" x14ac:dyDescent="0.25">
      <c r="A102" s="24">
        <f>IF(B102="","",SUBTOTAL(3,$B$4:B102))</f>
        <v>0</v>
      </c>
      <c r="B102" s="25" t="s">
        <v>569</v>
      </c>
      <c r="C102" s="25" t="str">
        <f t="shared" si="44"/>
        <v>Shipment 1 PAR-550-22 Main</v>
      </c>
      <c r="D102" s="25" t="s">
        <v>570</v>
      </c>
      <c r="E102" s="25" t="s">
        <v>571</v>
      </c>
      <c r="F102" s="25"/>
      <c r="G102" s="65">
        <v>46393</v>
      </c>
      <c r="H102" s="25" t="s">
        <v>572</v>
      </c>
      <c r="I102" s="25" t="s">
        <v>578</v>
      </c>
      <c r="J102" s="26" t="s">
        <v>622</v>
      </c>
      <c r="K102" s="27" t="s">
        <v>215</v>
      </c>
      <c r="L102" s="28" t="s">
        <v>216</v>
      </c>
      <c r="M102" s="28" t="s">
        <v>199</v>
      </c>
      <c r="N102" s="25">
        <v>1</v>
      </c>
      <c r="O102" s="29">
        <v>1198.0999999999999</v>
      </c>
      <c r="P102" s="29">
        <v>1198.0999999999999</v>
      </c>
      <c r="Q102" s="25" t="s">
        <v>493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41"/>
        <v>1198.0999999999999</v>
      </c>
      <c r="AF102" s="32">
        <f t="shared" si="42"/>
        <v>0</v>
      </c>
      <c r="AG102" s="30"/>
      <c r="AH102" s="33">
        <v>1</v>
      </c>
      <c r="AI102" s="34">
        <f t="shared" si="43"/>
        <v>1198.0999999999999</v>
      </c>
      <c r="AJ102" s="35">
        <v>46156</v>
      </c>
      <c r="AK102" s="30">
        <v>1</v>
      </c>
      <c r="AL102" s="36">
        <f t="shared" si="34"/>
        <v>1198.0999999999999</v>
      </c>
      <c r="AM102" s="35">
        <v>46161</v>
      </c>
      <c r="AN102" s="30">
        <v>1</v>
      </c>
      <c r="AO102" s="36">
        <f t="shared" si="35"/>
        <v>1198.0999999999999</v>
      </c>
      <c r="AP102" s="35"/>
      <c r="AQ102" s="30"/>
      <c r="AR102" s="36">
        <f t="shared" si="36"/>
        <v>0</v>
      </c>
      <c r="AS102" s="27" t="s">
        <v>591</v>
      </c>
      <c r="AT102" s="37">
        <v>46172</v>
      </c>
      <c r="AU102" s="30">
        <v>1</v>
      </c>
      <c r="AV102" s="36">
        <f t="shared" si="37"/>
        <v>1198.0999999999999</v>
      </c>
      <c r="AW102" s="35">
        <v>46177</v>
      </c>
      <c r="AX102" s="30">
        <v>1</v>
      </c>
      <c r="AY102" s="32">
        <f t="shared" ref="AY102:AY104" si="54">IFERROR(AX102*$P102/$N102,0)</f>
        <v>1198.0999999999999</v>
      </c>
      <c r="AZ102" s="30" t="s">
        <v>611</v>
      </c>
      <c r="BA102" s="63" t="s">
        <v>587</v>
      </c>
      <c r="BB102" s="71" t="e">
        <f>SUMIFS([1]Form!$F$8:$F$21,[1]Form!$J$8:$J$21,K102)</f>
        <v>#VALUE!</v>
      </c>
      <c r="BC102" s="71"/>
      <c r="BD102" s="71"/>
    </row>
    <row r="103" spans="1:56" hidden="1" x14ac:dyDescent="0.25">
      <c r="A103" s="24">
        <f>IF(B103="","",SUBTOTAL(3,$B$4:B103))</f>
        <v>0</v>
      </c>
      <c r="B103" s="25" t="s">
        <v>569</v>
      </c>
      <c r="C103" s="25" t="str">
        <f t="shared" si="44"/>
        <v>Shipment 1 PAR-550-22 Main</v>
      </c>
      <c r="D103" s="25" t="s">
        <v>570</v>
      </c>
      <c r="E103" s="25" t="s">
        <v>571</v>
      </c>
      <c r="F103" s="25"/>
      <c r="G103" s="65">
        <v>46393</v>
      </c>
      <c r="H103" s="25" t="s">
        <v>572</v>
      </c>
      <c r="I103" s="25" t="s">
        <v>577</v>
      </c>
      <c r="J103" s="26" t="s">
        <v>622</v>
      </c>
      <c r="K103" s="27" t="s">
        <v>217</v>
      </c>
      <c r="L103" s="28" t="s">
        <v>604</v>
      </c>
      <c r="M103" s="28" t="s">
        <v>199</v>
      </c>
      <c r="N103" s="25">
        <v>1</v>
      </c>
      <c r="O103" s="29">
        <v>6921.8</v>
      </c>
      <c r="P103" s="29">
        <v>6921.8</v>
      </c>
      <c r="Q103" s="25" t="s">
        <v>494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41"/>
        <v>6921.8000000000011</v>
      </c>
      <c r="AF103" s="32">
        <f t="shared" si="42"/>
        <v>0</v>
      </c>
      <c r="AG103" s="30"/>
      <c r="AH103" s="33">
        <v>1</v>
      </c>
      <c r="AI103" s="34">
        <f t="shared" si="43"/>
        <v>6921.8</v>
      </c>
      <c r="AJ103" s="35">
        <v>46179</v>
      </c>
      <c r="AK103" s="30">
        <v>1</v>
      </c>
      <c r="AL103" s="36">
        <f t="shared" si="34"/>
        <v>6921.8</v>
      </c>
      <c r="AM103" s="35">
        <v>46188</v>
      </c>
      <c r="AN103" s="30">
        <v>1</v>
      </c>
      <c r="AO103" s="36">
        <f t="shared" si="35"/>
        <v>6921.8</v>
      </c>
      <c r="AP103" s="35"/>
      <c r="AQ103" s="30"/>
      <c r="AR103" s="36">
        <f t="shared" si="36"/>
        <v>0</v>
      </c>
      <c r="AS103" s="27" t="s">
        <v>617</v>
      </c>
      <c r="AT103" s="37">
        <v>46190</v>
      </c>
      <c r="AU103" s="30">
        <v>1</v>
      </c>
      <c r="AV103" s="36">
        <f t="shared" si="37"/>
        <v>6921.8</v>
      </c>
      <c r="AW103" s="35">
        <v>46192</v>
      </c>
      <c r="AX103" s="30">
        <v>1</v>
      </c>
      <c r="AY103" s="32">
        <f t="shared" si="54"/>
        <v>6921.8</v>
      </c>
      <c r="AZ103" s="30" t="s">
        <v>616</v>
      </c>
      <c r="BA103" s="63" t="s">
        <v>614</v>
      </c>
      <c r="BB103" s="71"/>
      <c r="BC103" s="71"/>
      <c r="BD103" s="71"/>
    </row>
    <row r="104" spans="1:56" hidden="1" x14ac:dyDescent="0.25">
      <c r="A104" s="24">
        <f>IF(B104="","",SUBTOTAL(3,$B$4:B104))</f>
        <v>0</v>
      </c>
      <c r="B104" s="25" t="s">
        <v>569</v>
      </c>
      <c r="C104" s="25" t="str">
        <f t="shared" si="44"/>
        <v>Shipment 1 PAR-550-22 Main</v>
      </c>
      <c r="D104" s="25" t="s">
        <v>570</v>
      </c>
      <c r="E104" s="25" t="s">
        <v>571</v>
      </c>
      <c r="F104" s="25"/>
      <c r="G104" s="65">
        <v>46393</v>
      </c>
      <c r="H104" s="25" t="s">
        <v>572</v>
      </c>
      <c r="I104" s="25" t="s">
        <v>577</v>
      </c>
      <c r="J104" s="26" t="s">
        <v>622</v>
      </c>
      <c r="K104" s="27" t="s">
        <v>217</v>
      </c>
      <c r="L104" s="28" t="s">
        <v>605</v>
      </c>
      <c r="M104" s="28" t="s">
        <v>199</v>
      </c>
      <c r="N104" s="25">
        <v>1</v>
      </c>
      <c r="O104" s="29">
        <v>0</v>
      </c>
      <c r="P104" s="29">
        <v>0</v>
      </c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41"/>
        <v>0</v>
      </c>
      <c r="AF104" s="32">
        <f t="shared" si="42"/>
        <v>0</v>
      </c>
      <c r="AG104" s="30"/>
      <c r="AH104" s="33">
        <v>1</v>
      </c>
      <c r="AI104" s="34">
        <f t="shared" si="43"/>
        <v>0</v>
      </c>
      <c r="AJ104" s="35">
        <v>46179</v>
      </c>
      <c r="AK104" s="30">
        <v>1</v>
      </c>
      <c r="AL104" s="36">
        <f t="shared" si="34"/>
        <v>0</v>
      </c>
      <c r="AM104" s="35">
        <v>46188</v>
      </c>
      <c r="AN104" s="30">
        <v>1</v>
      </c>
      <c r="AO104" s="36">
        <f t="shared" si="35"/>
        <v>0</v>
      </c>
      <c r="AP104" s="35"/>
      <c r="AQ104" s="30"/>
      <c r="AR104" s="36">
        <f t="shared" si="36"/>
        <v>0</v>
      </c>
      <c r="AS104" s="27" t="s">
        <v>617</v>
      </c>
      <c r="AT104" s="37">
        <v>46190</v>
      </c>
      <c r="AU104" s="30">
        <v>1</v>
      </c>
      <c r="AV104" s="36">
        <f t="shared" si="37"/>
        <v>0</v>
      </c>
      <c r="AW104" s="35">
        <v>46192</v>
      </c>
      <c r="AX104" s="30">
        <v>1</v>
      </c>
      <c r="AY104" s="32">
        <f t="shared" si="54"/>
        <v>0</v>
      </c>
      <c r="AZ104" s="30" t="s">
        <v>616</v>
      </c>
      <c r="BA104" s="63" t="s">
        <v>614</v>
      </c>
      <c r="BB104" s="71"/>
      <c r="BC104" s="71"/>
      <c r="BD104" s="71"/>
    </row>
    <row r="105" spans="1:56" hidden="1" x14ac:dyDescent="0.25">
      <c r="A105" s="24">
        <f>IF(B105="","",SUBTOTAL(3,$B$4:B105))</f>
        <v>0</v>
      </c>
      <c r="B105" s="25" t="s">
        <v>569</v>
      </c>
      <c r="C105" s="25" t="str">
        <f t="shared" si="44"/>
        <v>Shipment 1 PAR-550-22 Main</v>
      </c>
      <c r="D105" s="25" t="s">
        <v>570</v>
      </c>
      <c r="E105" s="25" t="s">
        <v>571</v>
      </c>
      <c r="F105" s="25"/>
      <c r="G105" s="65">
        <v>46393</v>
      </c>
      <c r="H105" s="25" t="s">
        <v>572</v>
      </c>
      <c r="I105" s="25" t="s">
        <v>578</v>
      </c>
      <c r="J105" s="26" t="s">
        <v>622</v>
      </c>
      <c r="K105" s="27" t="s">
        <v>218</v>
      </c>
      <c r="L105" s="28" t="s">
        <v>219</v>
      </c>
      <c r="M105" s="28" t="s">
        <v>199</v>
      </c>
      <c r="N105" s="25">
        <v>1</v>
      </c>
      <c r="O105" s="29">
        <v>1117.2</v>
      </c>
      <c r="P105" s="29">
        <v>1117.2</v>
      </c>
      <c r="Q105" s="25" t="s">
        <v>495</v>
      </c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41"/>
        <v>1117.2</v>
      </c>
      <c r="AF105" s="32">
        <f t="shared" si="42"/>
        <v>0</v>
      </c>
      <c r="AG105" s="30"/>
      <c r="AH105" s="33">
        <v>1</v>
      </c>
      <c r="AI105" s="34">
        <f t="shared" si="43"/>
        <v>1117.2</v>
      </c>
      <c r="AJ105" s="35">
        <v>46156</v>
      </c>
      <c r="AK105" s="30">
        <v>1</v>
      </c>
      <c r="AL105" s="36">
        <f t="shared" si="34"/>
        <v>1117.2</v>
      </c>
      <c r="AM105" s="35">
        <v>46161</v>
      </c>
      <c r="AN105" s="30">
        <v>1</v>
      </c>
      <c r="AO105" s="36">
        <f t="shared" si="35"/>
        <v>1117.2</v>
      </c>
      <c r="AP105" s="35"/>
      <c r="AQ105" s="30"/>
      <c r="AR105" s="36">
        <f t="shared" si="36"/>
        <v>0</v>
      </c>
      <c r="AS105" s="27" t="s">
        <v>591</v>
      </c>
      <c r="AT105" s="37">
        <v>46172</v>
      </c>
      <c r="AU105" s="30">
        <v>1</v>
      </c>
      <c r="AV105" s="36">
        <f t="shared" si="37"/>
        <v>1117.2</v>
      </c>
      <c r="AW105" s="35">
        <v>46177</v>
      </c>
      <c r="AX105" s="30">
        <v>1</v>
      </c>
      <c r="AY105" s="32">
        <f t="shared" ref="AY105:AY106" si="55">IFERROR(AX105*$P105/$N105,0)</f>
        <v>1117.2</v>
      </c>
      <c r="AZ105" s="30" t="s">
        <v>611</v>
      </c>
      <c r="BA105" s="63" t="s">
        <v>587</v>
      </c>
      <c r="BB105" s="71" t="e">
        <f>SUMIFS([1]Form!$F$8:$F$21,[1]Form!$J$8:$J$21,K105)</f>
        <v>#VALUE!</v>
      </c>
      <c r="BC105" s="71"/>
      <c r="BD105" s="71"/>
    </row>
    <row r="106" spans="1:56" hidden="1" x14ac:dyDescent="0.25">
      <c r="A106" s="24">
        <f>IF(B106="","",SUBTOTAL(3,$B$4:B106))</f>
        <v>0</v>
      </c>
      <c r="B106" s="25" t="s">
        <v>569</v>
      </c>
      <c r="C106" s="25" t="str">
        <f t="shared" si="44"/>
        <v>Shipment 1 PAR-550-22 Main</v>
      </c>
      <c r="D106" s="25" t="s">
        <v>570</v>
      </c>
      <c r="E106" s="25" t="s">
        <v>571</v>
      </c>
      <c r="F106" s="25"/>
      <c r="G106" s="65">
        <v>46393</v>
      </c>
      <c r="H106" s="25" t="s">
        <v>572</v>
      </c>
      <c r="I106" s="25" t="s">
        <v>577</v>
      </c>
      <c r="J106" s="26" t="s">
        <v>622</v>
      </c>
      <c r="K106" s="27" t="s">
        <v>220</v>
      </c>
      <c r="L106" s="28" t="s">
        <v>606</v>
      </c>
      <c r="M106" s="28" t="s">
        <v>199</v>
      </c>
      <c r="N106" s="25">
        <v>1</v>
      </c>
      <c r="O106" s="29">
        <v>6932</v>
      </c>
      <c r="P106" s="29">
        <v>6932</v>
      </c>
      <c r="Q106" s="25" t="s">
        <v>496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41"/>
        <v>6932</v>
      </c>
      <c r="AF106" s="32">
        <f t="shared" si="42"/>
        <v>0</v>
      </c>
      <c r="AG106" s="30"/>
      <c r="AH106" s="33">
        <v>1</v>
      </c>
      <c r="AI106" s="34">
        <f t="shared" si="43"/>
        <v>6932</v>
      </c>
      <c r="AJ106" s="35">
        <v>46167</v>
      </c>
      <c r="AK106" s="30">
        <v>1</v>
      </c>
      <c r="AL106" s="36">
        <f t="shared" si="34"/>
        <v>6932</v>
      </c>
      <c r="AM106" s="35">
        <v>46170</v>
      </c>
      <c r="AN106" s="30">
        <v>1</v>
      </c>
      <c r="AO106" s="36">
        <f t="shared" si="35"/>
        <v>6932</v>
      </c>
      <c r="AP106" s="35"/>
      <c r="AQ106" s="30"/>
      <c r="AR106" s="36">
        <f t="shared" si="36"/>
        <v>0</v>
      </c>
      <c r="AS106" s="27" t="s">
        <v>618</v>
      </c>
      <c r="AT106" s="37">
        <v>46199</v>
      </c>
      <c r="AU106" s="30">
        <v>1</v>
      </c>
      <c r="AV106" s="36">
        <f t="shared" si="37"/>
        <v>6932</v>
      </c>
      <c r="AW106" s="35">
        <v>46203</v>
      </c>
      <c r="AX106" s="30">
        <v>1</v>
      </c>
      <c r="AY106" s="32">
        <f t="shared" si="55"/>
        <v>6932</v>
      </c>
      <c r="AZ106" s="30" t="s">
        <v>616</v>
      </c>
      <c r="BA106" s="63" t="s">
        <v>619</v>
      </c>
      <c r="BB106" s="71"/>
      <c r="BC106" s="71"/>
      <c r="BD106" s="71"/>
    </row>
    <row r="107" spans="1:56" hidden="1" x14ac:dyDescent="0.25">
      <c r="A107" s="24">
        <f>IF(B107="","",SUBTOTAL(3,$B$4:B107))</f>
        <v>0</v>
      </c>
      <c r="B107" s="25" t="s">
        <v>569</v>
      </c>
      <c r="C107" s="25" t="str">
        <f t="shared" si="44"/>
        <v>Shipment 1 PAR-550-22 Main</v>
      </c>
      <c r="D107" s="25" t="s">
        <v>570</v>
      </c>
      <c r="E107" s="25" t="s">
        <v>571</v>
      </c>
      <c r="F107" s="25"/>
      <c r="G107" s="65">
        <v>46393</v>
      </c>
      <c r="H107" s="25" t="s">
        <v>572</v>
      </c>
      <c r="I107" s="25" t="s">
        <v>577</v>
      </c>
      <c r="J107" s="26" t="s">
        <v>622</v>
      </c>
      <c r="K107" s="27" t="s">
        <v>220</v>
      </c>
      <c r="L107" s="28" t="s">
        <v>607</v>
      </c>
      <c r="M107" s="28" t="s">
        <v>199</v>
      </c>
      <c r="N107" s="25">
        <v>1</v>
      </c>
      <c r="O107" s="29">
        <v>0</v>
      </c>
      <c r="P107" s="29">
        <v>0</v>
      </c>
      <c r="Q107" s="25"/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41"/>
        <v>0</v>
      </c>
      <c r="AF107" s="32">
        <f t="shared" si="42"/>
        <v>0</v>
      </c>
      <c r="AG107" s="30"/>
      <c r="AH107" s="33">
        <v>1</v>
      </c>
      <c r="AI107" s="34">
        <f t="shared" si="43"/>
        <v>0</v>
      </c>
      <c r="AJ107" s="35">
        <v>46177</v>
      </c>
      <c r="AK107" s="30">
        <v>1</v>
      </c>
      <c r="AL107" s="36">
        <f t="shared" si="34"/>
        <v>0</v>
      </c>
      <c r="AM107" s="35">
        <v>46180</v>
      </c>
      <c r="AN107" s="30">
        <v>1</v>
      </c>
      <c r="AO107" s="36">
        <f t="shared" si="35"/>
        <v>0</v>
      </c>
      <c r="AP107" s="35"/>
      <c r="AQ107" s="30"/>
      <c r="AR107" s="36">
        <f t="shared" si="36"/>
        <v>0</v>
      </c>
      <c r="AS107" s="27" t="s">
        <v>617</v>
      </c>
      <c r="AT107" s="37">
        <v>46190</v>
      </c>
      <c r="AU107" s="30">
        <v>1</v>
      </c>
      <c r="AV107" s="36">
        <f t="shared" si="37"/>
        <v>0</v>
      </c>
      <c r="AW107" s="35">
        <v>46192</v>
      </c>
      <c r="AX107" s="30">
        <v>1</v>
      </c>
      <c r="AY107" s="32">
        <f t="shared" si="38"/>
        <v>0</v>
      </c>
      <c r="AZ107" s="30" t="s">
        <v>616</v>
      </c>
      <c r="BA107" s="63" t="s">
        <v>614</v>
      </c>
      <c r="BB107" s="71"/>
      <c r="BC107" s="71"/>
      <c r="BD107" s="71"/>
    </row>
    <row r="108" spans="1:56" hidden="1" x14ac:dyDescent="0.25">
      <c r="A108" s="24">
        <f>IF(B108="","",SUBTOTAL(3,$B$4:B108))</f>
        <v>0</v>
      </c>
      <c r="B108" s="25" t="s">
        <v>569</v>
      </c>
      <c r="C108" s="25" t="str">
        <f t="shared" si="44"/>
        <v>Shipment 1 PAR-550-22 Main</v>
      </c>
      <c r="D108" s="25" t="s">
        <v>570</v>
      </c>
      <c r="E108" s="25" t="s">
        <v>571</v>
      </c>
      <c r="F108" s="25"/>
      <c r="G108" s="65">
        <v>46393</v>
      </c>
      <c r="H108" s="25" t="s">
        <v>572</v>
      </c>
      <c r="I108" s="25" t="s">
        <v>578</v>
      </c>
      <c r="J108" s="26" t="s">
        <v>622</v>
      </c>
      <c r="K108" s="27" t="s">
        <v>221</v>
      </c>
      <c r="L108" s="28" t="s">
        <v>222</v>
      </c>
      <c r="M108" s="28" t="s">
        <v>199</v>
      </c>
      <c r="N108" s="25">
        <v>1</v>
      </c>
      <c r="O108" s="29">
        <v>1098.8999999999999</v>
      </c>
      <c r="P108" s="29">
        <v>1098.8999999999999</v>
      </c>
      <c r="Q108" s="25" t="s">
        <v>497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41"/>
        <v>1098.8999999999999</v>
      </c>
      <c r="AF108" s="32">
        <f t="shared" si="42"/>
        <v>0</v>
      </c>
      <c r="AG108" s="30"/>
      <c r="AH108" s="33">
        <v>1</v>
      </c>
      <c r="AI108" s="34">
        <f t="shared" si="43"/>
        <v>1098.8999999999999</v>
      </c>
      <c r="AJ108" s="35">
        <v>46147</v>
      </c>
      <c r="AK108" s="30">
        <v>1</v>
      </c>
      <c r="AL108" s="36">
        <f t="shared" si="34"/>
        <v>1098.8999999999999</v>
      </c>
      <c r="AM108" s="35">
        <v>46150</v>
      </c>
      <c r="AN108" s="30">
        <v>1</v>
      </c>
      <c r="AO108" s="36">
        <f t="shared" si="35"/>
        <v>1098.8999999999999</v>
      </c>
      <c r="AP108" s="35"/>
      <c r="AQ108" s="30"/>
      <c r="AR108" s="36">
        <f t="shared" si="36"/>
        <v>0</v>
      </c>
      <c r="AS108" s="27" t="s">
        <v>618</v>
      </c>
      <c r="AT108" s="37">
        <v>46199</v>
      </c>
      <c r="AU108" s="30">
        <v>1</v>
      </c>
      <c r="AV108" s="36">
        <f t="shared" si="37"/>
        <v>1098.8999999999999</v>
      </c>
      <c r="AW108" s="35">
        <v>46203</v>
      </c>
      <c r="AX108" s="30">
        <v>1</v>
      </c>
      <c r="AY108" s="32">
        <f t="shared" si="38"/>
        <v>1098.8999999999999</v>
      </c>
      <c r="AZ108" s="30" t="s">
        <v>616</v>
      </c>
      <c r="BA108" s="63" t="s">
        <v>619</v>
      </c>
      <c r="BB108" s="71"/>
      <c r="BC108" s="71"/>
      <c r="BD108" s="71"/>
    </row>
    <row r="109" spans="1:56" hidden="1" x14ac:dyDescent="0.25">
      <c r="A109" s="24">
        <f>IF(B109="","",SUBTOTAL(3,$B$4:B109))</f>
        <v>0</v>
      </c>
      <c r="B109" s="25" t="s">
        <v>569</v>
      </c>
      <c r="C109" s="25" t="str">
        <f t="shared" si="44"/>
        <v>Shipment 1 PAR-550-22 Main</v>
      </c>
      <c r="D109" s="25" t="s">
        <v>570</v>
      </c>
      <c r="E109" s="25" t="s">
        <v>571</v>
      </c>
      <c r="F109" s="25"/>
      <c r="G109" s="65">
        <v>46393</v>
      </c>
      <c r="H109" s="25" t="s">
        <v>572</v>
      </c>
      <c r="I109" s="25" t="s">
        <v>577</v>
      </c>
      <c r="J109" s="26" t="s">
        <v>622</v>
      </c>
      <c r="K109" s="27" t="s">
        <v>223</v>
      </c>
      <c r="L109" s="28" t="s">
        <v>608</v>
      </c>
      <c r="M109" s="28" t="s">
        <v>199</v>
      </c>
      <c r="N109" s="25">
        <v>1</v>
      </c>
      <c r="O109" s="29">
        <v>8081.6</v>
      </c>
      <c r="P109" s="29">
        <v>8081.6</v>
      </c>
      <c r="Q109" s="25" t="s">
        <v>498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41"/>
        <v>8081.6</v>
      </c>
      <c r="AF109" s="32">
        <f t="shared" si="42"/>
        <v>0</v>
      </c>
      <c r="AG109" s="30"/>
      <c r="AH109" s="33">
        <v>1</v>
      </c>
      <c r="AI109" s="34">
        <f t="shared" si="43"/>
        <v>8081.6</v>
      </c>
      <c r="AJ109" s="35">
        <v>46172</v>
      </c>
      <c r="AK109" s="30">
        <v>1</v>
      </c>
      <c r="AL109" s="36">
        <f t="shared" si="34"/>
        <v>8081.6</v>
      </c>
      <c r="AM109" s="35">
        <v>46182</v>
      </c>
      <c r="AN109" s="30">
        <v>1</v>
      </c>
      <c r="AO109" s="36">
        <f t="shared" si="35"/>
        <v>8081.6</v>
      </c>
      <c r="AP109" s="35"/>
      <c r="AQ109" s="30"/>
      <c r="AR109" s="36">
        <f t="shared" si="36"/>
        <v>0</v>
      </c>
      <c r="AS109" s="27" t="s">
        <v>618</v>
      </c>
      <c r="AT109" s="37">
        <v>46199</v>
      </c>
      <c r="AU109" s="30">
        <v>1</v>
      </c>
      <c r="AV109" s="36">
        <f t="shared" si="37"/>
        <v>8081.6</v>
      </c>
      <c r="AW109" s="35">
        <v>46203</v>
      </c>
      <c r="AX109" s="30">
        <v>1</v>
      </c>
      <c r="AY109" s="32">
        <f t="shared" si="38"/>
        <v>8081.6</v>
      </c>
      <c r="AZ109" s="30" t="s">
        <v>616</v>
      </c>
      <c r="BA109" s="63" t="s">
        <v>619</v>
      </c>
      <c r="BB109" s="71"/>
      <c r="BC109" s="71"/>
      <c r="BD109" s="71"/>
    </row>
    <row r="110" spans="1:56" hidden="1" x14ac:dyDescent="0.25">
      <c r="A110" s="24">
        <f>IF(B110="","",SUBTOTAL(3,$B$4:B110))</f>
        <v>0</v>
      </c>
      <c r="B110" s="25" t="s">
        <v>569</v>
      </c>
      <c r="C110" s="25" t="str">
        <f t="shared" si="44"/>
        <v>Shipment 1 PAR-550-22 Main</v>
      </c>
      <c r="D110" s="25" t="s">
        <v>570</v>
      </c>
      <c r="E110" s="25" t="s">
        <v>571</v>
      </c>
      <c r="F110" s="25"/>
      <c r="G110" s="65">
        <v>46393</v>
      </c>
      <c r="H110" s="25" t="s">
        <v>572</v>
      </c>
      <c r="I110" s="25" t="s">
        <v>577</v>
      </c>
      <c r="J110" s="26" t="s">
        <v>622</v>
      </c>
      <c r="K110" s="27" t="s">
        <v>223</v>
      </c>
      <c r="L110" s="28" t="s">
        <v>609</v>
      </c>
      <c r="M110" s="28" t="s">
        <v>199</v>
      </c>
      <c r="N110" s="25">
        <v>1</v>
      </c>
      <c r="O110" s="29">
        <v>0</v>
      </c>
      <c r="P110" s="29">
        <v>0</v>
      </c>
      <c r="Q110" s="25"/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41"/>
        <v>0</v>
      </c>
      <c r="AF110" s="32">
        <f t="shared" si="42"/>
        <v>0</v>
      </c>
      <c r="AG110" s="30"/>
      <c r="AH110" s="33">
        <v>1</v>
      </c>
      <c r="AI110" s="34">
        <f t="shared" si="43"/>
        <v>0</v>
      </c>
      <c r="AJ110" s="35">
        <v>46178</v>
      </c>
      <c r="AK110" s="30">
        <v>1</v>
      </c>
      <c r="AL110" s="36">
        <f t="shared" si="34"/>
        <v>0</v>
      </c>
      <c r="AM110" s="35">
        <v>46182</v>
      </c>
      <c r="AN110" s="30">
        <v>1</v>
      </c>
      <c r="AO110" s="36">
        <f t="shared" si="35"/>
        <v>0</v>
      </c>
      <c r="AP110" s="35"/>
      <c r="AQ110" s="30"/>
      <c r="AR110" s="36">
        <f t="shared" si="36"/>
        <v>0</v>
      </c>
      <c r="AS110" s="27" t="s">
        <v>618</v>
      </c>
      <c r="AT110" s="37">
        <v>46199</v>
      </c>
      <c r="AU110" s="30">
        <v>1</v>
      </c>
      <c r="AV110" s="36">
        <f t="shared" si="37"/>
        <v>0</v>
      </c>
      <c r="AW110" s="35">
        <v>46203</v>
      </c>
      <c r="AX110" s="30">
        <v>1</v>
      </c>
      <c r="AY110" s="32">
        <f t="shared" si="38"/>
        <v>0</v>
      </c>
      <c r="AZ110" s="30" t="s">
        <v>616</v>
      </c>
      <c r="BA110" s="63" t="s">
        <v>619</v>
      </c>
      <c r="BB110" s="71"/>
      <c r="BC110" s="71"/>
      <c r="BD110" s="71"/>
    </row>
    <row r="111" spans="1:56" hidden="1" x14ac:dyDescent="0.25">
      <c r="A111" s="24">
        <f>IF(B111="","",SUBTOTAL(3,$B$4:B111))</f>
        <v>0</v>
      </c>
      <c r="B111" s="25" t="s">
        <v>569</v>
      </c>
      <c r="C111" s="25" t="str">
        <f t="shared" si="30"/>
        <v>Shipment 1 PAR-550-22 Main</v>
      </c>
      <c r="D111" s="25" t="s">
        <v>570</v>
      </c>
      <c r="E111" s="25" t="s">
        <v>571</v>
      </c>
      <c r="F111" s="25"/>
      <c r="G111" s="65">
        <v>46393</v>
      </c>
      <c r="H111" s="25" t="s">
        <v>572</v>
      </c>
      <c r="I111" s="25" t="s">
        <v>578</v>
      </c>
      <c r="J111" s="26" t="s">
        <v>622</v>
      </c>
      <c r="K111" s="27" t="s">
        <v>224</v>
      </c>
      <c r="L111" s="28" t="s">
        <v>225</v>
      </c>
      <c r="M111" s="28" t="s">
        <v>199</v>
      </c>
      <c r="N111" s="25">
        <v>1</v>
      </c>
      <c r="O111" s="29">
        <v>1281.9999999999995</v>
      </c>
      <c r="P111" s="29">
        <v>1281.9999999999995</v>
      </c>
      <c r="Q111" s="25" t="s">
        <v>499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1"/>
        <v>1281.9999999999998</v>
      </c>
      <c r="AF111" s="32">
        <f t="shared" si="32"/>
        <v>0</v>
      </c>
      <c r="AG111" s="30"/>
      <c r="AH111" s="33">
        <v>1</v>
      </c>
      <c r="AI111" s="34">
        <f t="shared" si="33"/>
        <v>1281.9999999999995</v>
      </c>
      <c r="AJ111" s="35">
        <v>46147</v>
      </c>
      <c r="AK111" s="30">
        <v>1</v>
      </c>
      <c r="AL111" s="36">
        <f t="shared" si="34"/>
        <v>1281.9999999999995</v>
      </c>
      <c r="AM111" s="35">
        <v>46155</v>
      </c>
      <c r="AN111" s="30">
        <v>1</v>
      </c>
      <c r="AO111" s="36">
        <f t="shared" si="35"/>
        <v>1281.9999999999995</v>
      </c>
      <c r="AP111" s="35"/>
      <c r="AQ111" s="30"/>
      <c r="AR111" s="36">
        <f t="shared" si="36"/>
        <v>0</v>
      </c>
      <c r="AS111" s="27" t="s">
        <v>617</v>
      </c>
      <c r="AT111" s="37">
        <v>46190</v>
      </c>
      <c r="AU111" s="30">
        <v>1</v>
      </c>
      <c r="AV111" s="36">
        <f t="shared" si="37"/>
        <v>1281.9999999999995</v>
      </c>
      <c r="AW111" s="35">
        <v>46192</v>
      </c>
      <c r="AX111" s="30">
        <v>1</v>
      </c>
      <c r="AY111" s="32">
        <f t="shared" si="38"/>
        <v>1281.9999999999995</v>
      </c>
      <c r="AZ111" s="30" t="s">
        <v>616</v>
      </c>
      <c r="BA111" s="63" t="s">
        <v>614</v>
      </c>
      <c r="BB111" s="71"/>
      <c r="BC111" s="71"/>
      <c r="BD111" s="71"/>
    </row>
    <row r="112" spans="1:56" hidden="1" x14ac:dyDescent="0.25">
      <c r="A112" s="24">
        <f>IF(B112="","",SUBTOTAL(3,$B$4:B112))</f>
        <v>0</v>
      </c>
      <c r="B112" s="25" t="s">
        <v>569</v>
      </c>
      <c r="C112" s="25" t="str">
        <f t="shared" si="30"/>
        <v>Shipment 1 PAR-550-22 Main</v>
      </c>
      <c r="D112" s="25" t="s">
        <v>570</v>
      </c>
      <c r="E112" s="25" t="s">
        <v>571</v>
      </c>
      <c r="F112" s="25"/>
      <c r="G112" s="65">
        <v>46393</v>
      </c>
      <c r="H112" s="25" t="s">
        <v>572</v>
      </c>
      <c r="I112" s="25" t="s">
        <v>575</v>
      </c>
      <c r="J112" s="26" t="s">
        <v>622</v>
      </c>
      <c r="K112" s="27" t="s">
        <v>226</v>
      </c>
      <c r="L112" s="28" t="s">
        <v>227</v>
      </c>
      <c r="M112" s="28" t="s">
        <v>199</v>
      </c>
      <c r="N112" s="25">
        <v>1</v>
      </c>
      <c r="O112" s="29">
        <v>1062.3999999999999</v>
      </c>
      <c r="P112" s="29">
        <v>1062.3999999999999</v>
      </c>
      <c r="Q112" s="25" t="s">
        <v>500</v>
      </c>
      <c r="R112" s="25"/>
      <c r="S112" s="26" t="s">
        <v>568</v>
      </c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1"/>
        <v>1062.3999999999999</v>
      </c>
      <c r="AF112" s="32">
        <f t="shared" si="32"/>
        <v>0</v>
      </c>
      <c r="AG112" s="30"/>
      <c r="AH112" s="33">
        <f>INDEX([2]M296PAR55022!$X:$X,MATCH(K112,[2]M296PAR55022!$B:$B,0))</f>
        <v>1</v>
      </c>
      <c r="AI112" s="34">
        <f t="shared" si="33"/>
        <v>1062.3999999999999</v>
      </c>
      <c r="AJ112" s="35">
        <v>46165</v>
      </c>
      <c r="AK112" s="30">
        <v>1</v>
      </c>
      <c r="AL112" s="36">
        <f t="shared" si="34"/>
        <v>1062.3999999999999</v>
      </c>
      <c r="AM112" s="35">
        <v>46168</v>
      </c>
      <c r="AN112" s="30">
        <v>1</v>
      </c>
      <c r="AO112" s="36">
        <f t="shared" si="35"/>
        <v>1062.3999999999999</v>
      </c>
      <c r="AP112" s="35"/>
      <c r="AQ112" s="30"/>
      <c r="AR112" s="36">
        <f t="shared" si="36"/>
        <v>0</v>
      </c>
      <c r="AS112" s="27" t="s">
        <v>612</v>
      </c>
      <c r="AT112" s="37">
        <v>46176</v>
      </c>
      <c r="AU112" s="30">
        <v>1</v>
      </c>
      <c r="AV112" s="36">
        <f t="shared" si="37"/>
        <v>1062.3999999999999</v>
      </c>
      <c r="AW112" s="35">
        <v>46180</v>
      </c>
      <c r="AX112" s="30">
        <v>1</v>
      </c>
      <c r="AY112" s="32">
        <f t="shared" ref="AY112:AY120" si="56">IFERROR(AX112*$P112/$N112,0)</f>
        <v>1062.3999999999999</v>
      </c>
      <c r="AZ112" s="30" t="s">
        <v>611</v>
      </c>
      <c r="BA112" s="63" t="s">
        <v>591</v>
      </c>
      <c r="BB112" s="71" t="e">
        <f>SUMIFS([1]Form!$F$8:$F$21,[1]Form!$J$8:$J$21,K112)</f>
        <v>#VALUE!</v>
      </c>
      <c r="BC112" s="71"/>
      <c r="BD112" s="71"/>
    </row>
    <row r="113" spans="1:56" hidden="1" x14ac:dyDescent="0.25">
      <c r="A113" s="24">
        <f>IF(B113="","",SUBTOTAL(3,$B$4:B113))</f>
        <v>0</v>
      </c>
      <c r="B113" s="25" t="s">
        <v>569</v>
      </c>
      <c r="C113" s="25" t="str">
        <f t="shared" si="30"/>
        <v>Shipment 1 PAR-550-22 Main</v>
      </c>
      <c r="D113" s="25" t="s">
        <v>570</v>
      </c>
      <c r="E113" s="25" t="s">
        <v>571</v>
      </c>
      <c r="F113" s="25"/>
      <c r="G113" s="65">
        <v>46393</v>
      </c>
      <c r="H113" s="25" t="s">
        <v>572</v>
      </c>
      <c r="I113" s="25" t="s">
        <v>575</v>
      </c>
      <c r="J113" s="26" t="s">
        <v>622</v>
      </c>
      <c r="K113" s="27" t="s">
        <v>228</v>
      </c>
      <c r="L113" s="28" t="s">
        <v>229</v>
      </c>
      <c r="M113" s="28" t="s">
        <v>199</v>
      </c>
      <c r="N113" s="25">
        <v>1</v>
      </c>
      <c r="O113" s="29">
        <v>1036</v>
      </c>
      <c r="P113" s="29">
        <v>1036</v>
      </c>
      <c r="Q113" s="25" t="s">
        <v>501</v>
      </c>
      <c r="R113" s="25"/>
      <c r="S113" s="26" t="s">
        <v>568</v>
      </c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1"/>
        <v>1036</v>
      </c>
      <c r="AF113" s="32">
        <f t="shared" si="32"/>
        <v>0</v>
      </c>
      <c r="AG113" s="30"/>
      <c r="AH113" s="33">
        <v>1</v>
      </c>
      <c r="AI113" s="34">
        <f t="shared" si="33"/>
        <v>1036</v>
      </c>
      <c r="AJ113" s="35">
        <v>46149</v>
      </c>
      <c r="AK113" s="30">
        <v>1</v>
      </c>
      <c r="AL113" s="36">
        <f t="shared" si="34"/>
        <v>1036</v>
      </c>
      <c r="AM113" s="35">
        <v>46156</v>
      </c>
      <c r="AN113" s="30">
        <v>1</v>
      </c>
      <c r="AO113" s="36">
        <f t="shared" si="35"/>
        <v>1036</v>
      </c>
      <c r="AP113" s="35"/>
      <c r="AQ113" s="30"/>
      <c r="AR113" s="36">
        <f t="shared" si="36"/>
        <v>0</v>
      </c>
      <c r="AS113" s="27" t="s">
        <v>612</v>
      </c>
      <c r="AT113" s="37">
        <v>46176</v>
      </c>
      <c r="AU113" s="30">
        <v>1</v>
      </c>
      <c r="AV113" s="36">
        <f t="shared" si="37"/>
        <v>1036</v>
      </c>
      <c r="AW113" s="35">
        <v>46180</v>
      </c>
      <c r="AX113" s="30">
        <v>1</v>
      </c>
      <c r="AY113" s="32">
        <f t="shared" si="56"/>
        <v>1036</v>
      </c>
      <c r="AZ113" s="30" t="s">
        <v>611</v>
      </c>
      <c r="BA113" s="63" t="s">
        <v>591</v>
      </c>
      <c r="BB113" s="71" t="e">
        <f>SUMIFS([1]Form!$F$8:$F$21,[1]Form!$J$8:$J$21,K113)</f>
        <v>#VALUE!</v>
      </c>
      <c r="BC113" s="71"/>
      <c r="BD113" s="71"/>
    </row>
    <row r="114" spans="1:56" hidden="1" x14ac:dyDescent="0.25">
      <c r="A114" s="24">
        <f>IF(B114="","",SUBTOTAL(3,$B$4:B114))</f>
        <v>0</v>
      </c>
      <c r="B114" s="25" t="s">
        <v>569</v>
      </c>
      <c r="C114" s="25" t="str">
        <f t="shared" si="30"/>
        <v>Shipment 1 PAR-550-22 Main</v>
      </c>
      <c r="D114" s="25" t="s">
        <v>570</v>
      </c>
      <c r="E114" s="25" t="s">
        <v>571</v>
      </c>
      <c r="F114" s="25"/>
      <c r="G114" s="65">
        <v>46393</v>
      </c>
      <c r="H114" s="25" t="s">
        <v>572</v>
      </c>
      <c r="I114" s="25" t="s">
        <v>575</v>
      </c>
      <c r="J114" s="26" t="s">
        <v>622</v>
      </c>
      <c r="K114" s="27" t="s">
        <v>230</v>
      </c>
      <c r="L114" s="28" t="s">
        <v>231</v>
      </c>
      <c r="M114" s="28" t="s">
        <v>199</v>
      </c>
      <c r="N114" s="25">
        <v>1</v>
      </c>
      <c r="O114" s="29">
        <v>380.1</v>
      </c>
      <c r="P114" s="29">
        <v>380.1</v>
      </c>
      <c r="Q114" s="25" t="s">
        <v>502</v>
      </c>
      <c r="R114" s="25"/>
      <c r="S114" s="26" t="s">
        <v>568</v>
      </c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1"/>
        <v>380.1</v>
      </c>
      <c r="AF114" s="32">
        <f t="shared" si="32"/>
        <v>0</v>
      </c>
      <c r="AG114" s="30"/>
      <c r="AH114" s="33">
        <v>1</v>
      </c>
      <c r="AI114" s="34">
        <f t="shared" si="33"/>
        <v>380.1</v>
      </c>
      <c r="AJ114" s="35">
        <v>46158</v>
      </c>
      <c r="AK114" s="30">
        <v>1</v>
      </c>
      <c r="AL114" s="36">
        <f t="shared" si="34"/>
        <v>380.1</v>
      </c>
      <c r="AM114" s="35">
        <v>46165</v>
      </c>
      <c r="AN114" s="30">
        <v>1</v>
      </c>
      <c r="AO114" s="36">
        <f t="shared" si="35"/>
        <v>380.1</v>
      </c>
      <c r="AP114" s="35"/>
      <c r="AQ114" s="30"/>
      <c r="AR114" s="36">
        <f t="shared" si="36"/>
        <v>0</v>
      </c>
      <c r="AS114" s="27" t="s">
        <v>612</v>
      </c>
      <c r="AT114" s="37">
        <v>46176</v>
      </c>
      <c r="AU114" s="30">
        <v>1</v>
      </c>
      <c r="AV114" s="36">
        <f t="shared" si="37"/>
        <v>380.1</v>
      </c>
      <c r="AW114" s="35">
        <v>46180</v>
      </c>
      <c r="AX114" s="30">
        <v>1</v>
      </c>
      <c r="AY114" s="32">
        <f t="shared" si="56"/>
        <v>380.1</v>
      </c>
      <c r="AZ114" s="30" t="s">
        <v>611</v>
      </c>
      <c r="BA114" s="63" t="s">
        <v>591</v>
      </c>
      <c r="BB114" s="71" t="e">
        <f>SUMIFS([1]Form!$F$8:$F$21,[1]Form!$J$8:$J$21,K114)</f>
        <v>#VALUE!</v>
      </c>
      <c r="BC114" s="71"/>
      <c r="BD114" s="71"/>
    </row>
    <row r="115" spans="1:56" hidden="1" x14ac:dyDescent="0.25">
      <c r="A115" s="24">
        <f>IF(B115="","",SUBTOTAL(3,$B$4:B115))</f>
        <v>0</v>
      </c>
      <c r="B115" s="25" t="s">
        <v>569</v>
      </c>
      <c r="C115" s="25" t="str">
        <f t="shared" si="30"/>
        <v>Shipment 1 PAR-550-22 Main</v>
      </c>
      <c r="D115" s="25" t="s">
        <v>570</v>
      </c>
      <c r="E115" s="25" t="s">
        <v>571</v>
      </c>
      <c r="F115" s="25"/>
      <c r="G115" s="65">
        <v>46393</v>
      </c>
      <c r="H115" s="25" t="s">
        <v>572</v>
      </c>
      <c r="I115" s="25" t="s">
        <v>575</v>
      </c>
      <c r="J115" s="26" t="s">
        <v>622</v>
      </c>
      <c r="K115" s="27" t="s">
        <v>232</v>
      </c>
      <c r="L115" s="28" t="s">
        <v>233</v>
      </c>
      <c r="M115" s="28" t="s">
        <v>199</v>
      </c>
      <c r="N115" s="25">
        <v>1</v>
      </c>
      <c r="O115" s="29">
        <v>1066.8999999999999</v>
      </c>
      <c r="P115" s="29">
        <v>1066.8999999999999</v>
      </c>
      <c r="Q115" s="25" t="s">
        <v>500</v>
      </c>
      <c r="R115" s="25"/>
      <c r="S115" s="26" t="s">
        <v>568</v>
      </c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1"/>
        <v>1066.8999999999999</v>
      </c>
      <c r="AF115" s="32">
        <f t="shared" si="32"/>
        <v>0</v>
      </c>
      <c r="AG115" s="30"/>
      <c r="AH115" s="33">
        <f>INDEX([2]M296PAR55022!$X:$X,MATCH(K115,[2]M296PAR55022!$B:$B,0))</f>
        <v>1</v>
      </c>
      <c r="AI115" s="34">
        <f t="shared" si="33"/>
        <v>1066.8999999999999</v>
      </c>
      <c r="AJ115" s="35">
        <v>46165</v>
      </c>
      <c r="AK115" s="30">
        <v>1</v>
      </c>
      <c r="AL115" s="36">
        <f t="shared" si="34"/>
        <v>1066.8999999999999</v>
      </c>
      <c r="AM115" s="35">
        <v>46168</v>
      </c>
      <c r="AN115" s="30">
        <v>1</v>
      </c>
      <c r="AO115" s="36">
        <f t="shared" si="35"/>
        <v>1066.8999999999999</v>
      </c>
      <c r="AP115" s="35"/>
      <c r="AQ115" s="30"/>
      <c r="AR115" s="36">
        <f t="shared" si="36"/>
        <v>0</v>
      </c>
      <c r="AS115" s="27" t="s">
        <v>612</v>
      </c>
      <c r="AT115" s="37">
        <v>46176</v>
      </c>
      <c r="AU115" s="30">
        <v>1</v>
      </c>
      <c r="AV115" s="36">
        <f t="shared" si="37"/>
        <v>1066.8999999999999</v>
      </c>
      <c r="AW115" s="35">
        <v>46180</v>
      </c>
      <c r="AX115" s="30">
        <v>1</v>
      </c>
      <c r="AY115" s="32">
        <f t="shared" si="56"/>
        <v>1066.8999999999999</v>
      </c>
      <c r="AZ115" s="30" t="s">
        <v>611</v>
      </c>
      <c r="BA115" s="63" t="s">
        <v>591</v>
      </c>
      <c r="BB115" s="71" t="e">
        <f>SUMIFS([1]Form!$F$8:$F$21,[1]Form!$J$8:$J$21,K115)</f>
        <v>#VALUE!</v>
      </c>
      <c r="BC115" s="71"/>
      <c r="BD115" s="71"/>
    </row>
    <row r="116" spans="1:56" hidden="1" x14ac:dyDescent="0.25">
      <c r="A116" s="24">
        <f>IF(B116="","",SUBTOTAL(3,$B$4:B116))</f>
        <v>0</v>
      </c>
      <c r="B116" s="25" t="s">
        <v>569</v>
      </c>
      <c r="C116" s="25" t="str">
        <f t="shared" si="30"/>
        <v>Shipment 1 PAR-550-22 Main</v>
      </c>
      <c r="D116" s="25" t="s">
        <v>570</v>
      </c>
      <c r="E116" s="25" t="s">
        <v>571</v>
      </c>
      <c r="F116" s="25"/>
      <c r="G116" s="65">
        <v>46393</v>
      </c>
      <c r="H116" s="25" t="s">
        <v>572</v>
      </c>
      <c r="I116" s="25" t="s">
        <v>575</v>
      </c>
      <c r="J116" s="26" t="s">
        <v>622</v>
      </c>
      <c r="K116" s="27" t="s">
        <v>234</v>
      </c>
      <c r="L116" s="28" t="s">
        <v>235</v>
      </c>
      <c r="M116" s="28" t="s">
        <v>199</v>
      </c>
      <c r="N116" s="25">
        <v>1</v>
      </c>
      <c r="O116" s="29">
        <v>1036</v>
      </c>
      <c r="P116" s="29">
        <v>1036</v>
      </c>
      <c r="Q116" s="25" t="s">
        <v>501</v>
      </c>
      <c r="R116" s="25"/>
      <c r="S116" s="26" t="s">
        <v>568</v>
      </c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1"/>
        <v>1036</v>
      </c>
      <c r="AF116" s="32">
        <f t="shared" si="32"/>
        <v>0</v>
      </c>
      <c r="AG116" s="30"/>
      <c r="AH116" s="33">
        <v>1</v>
      </c>
      <c r="AI116" s="34">
        <f t="shared" si="33"/>
        <v>1036</v>
      </c>
      <c r="AJ116" s="35">
        <v>46149</v>
      </c>
      <c r="AK116" s="30">
        <v>1</v>
      </c>
      <c r="AL116" s="36">
        <f t="shared" si="34"/>
        <v>1036</v>
      </c>
      <c r="AM116" s="35">
        <v>46156</v>
      </c>
      <c r="AN116" s="30">
        <v>1</v>
      </c>
      <c r="AO116" s="36">
        <f t="shared" si="35"/>
        <v>1036</v>
      </c>
      <c r="AP116" s="35"/>
      <c r="AQ116" s="30"/>
      <c r="AR116" s="36">
        <f t="shared" si="36"/>
        <v>0</v>
      </c>
      <c r="AS116" s="27" t="s">
        <v>612</v>
      </c>
      <c r="AT116" s="37">
        <v>46176</v>
      </c>
      <c r="AU116" s="30">
        <v>1</v>
      </c>
      <c r="AV116" s="36">
        <f t="shared" si="37"/>
        <v>1036</v>
      </c>
      <c r="AW116" s="35">
        <v>46180</v>
      </c>
      <c r="AX116" s="30">
        <v>1</v>
      </c>
      <c r="AY116" s="32">
        <f t="shared" si="56"/>
        <v>1036</v>
      </c>
      <c r="AZ116" s="30" t="s">
        <v>611</v>
      </c>
      <c r="BA116" s="63" t="s">
        <v>591</v>
      </c>
      <c r="BB116" s="71" t="e">
        <f>SUMIFS([1]Form!$F$8:$F$21,[1]Form!$J$8:$J$21,K116)</f>
        <v>#VALUE!</v>
      </c>
      <c r="BC116" s="71"/>
      <c r="BD116" s="71"/>
    </row>
    <row r="117" spans="1:56" hidden="1" x14ac:dyDescent="0.25">
      <c r="A117" s="24">
        <f>IF(B117="","",SUBTOTAL(3,$B$4:B117))</f>
        <v>0</v>
      </c>
      <c r="B117" s="25" t="s">
        <v>569</v>
      </c>
      <c r="C117" s="25" t="str">
        <f t="shared" si="30"/>
        <v>Shipment 1 PAR-550-22 Main</v>
      </c>
      <c r="D117" s="25" t="s">
        <v>570</v>
      </c>
      <c r="E117" s="25" t="s">
        <v>571</v>
      </c>
      <c r="F117" s="25"/>
      <c r="G117" s="65">
        <v>46393</v>
      </c>
      <c r="H117" s="25" t="s">
        <v>572</v>
      </c>
      <c r="I117" s="25" t="s">
        <v>575</v>
      </c>
      <c r="J117" s="26" t="s">
        <v>622</v>
      </c>
      <c r="K117" s="27" t="s">
        <v>236</v>
      </c>
      <c r="L117" s="28" t="s">
        <v>237</v>
      </c>
      <c r="M117" s="28" t="s">
        <v>199</v>
      </c>
      <c r="N117" s="25">
        <v>1</v>
      </c>
      <c r="O117" s="29">
        <v>328.90000000000003</v>
      </c>
      <c r="P117" s="29">
        <v>328.90000000000003</v>
      </c>
      <c r="Q117" s="25" t="s">
        <v>503</v>
      </c>
      <c r="R117" s="25"/>
      <c r="S117" s="26" t="s">
        <v>568</v>
      </c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1"/>
        <v>328.90000000000003</v>
      </c>
      <c r="AF117" s="32">
        <f t="shared" si="32"/>
        <v>0</v>
      </c>
      <c r="AG117" s="30"/>
      <c r="AH117" s="33">
        <v>1</v>
      </c>
      <c r="AI117" s="34">
        <f t="shared" si="33"/>
        <v>328.90000000000003</v>
      </c>
      <c r="AJ117" s="35">
        <v>46158</v>
      </c>
      <c r="AK117" s="30">
        <v>1</v>
      </c>
      <c r="AL117" s="36">
        <f t="shared" si="34"/>
        <v>328.90000000000003</v>
      </c>
      <c r="AM117" s="35">
        <v>46165</v>
      </c>
      <c r="AN117" s="30">
        <v>1</v>
      </c>
      <c r="AO117" s="36">
        <f t="shared" si="35"/>
        <v>328.90000000000003</v>
      </c>
      <c r="AP117" s="35"/>
      <c r="AQ117" s="30"/>
      <c r="AR117" s="36">
        <f t="shared" si="36"/>
        <v>0</v>
      </c>
      <c r="AS117" s="27" t="s">
        <v>612</v>
      </c>
      <c r="AT117" s="37">
        <v>46176</v>
      </c>
      <c r="AU117" s="30">
        <v>1</v>
      </c>
      <c r="AV117" s="36">
        <f t="shared" si="37"/>
        <v>328.90000000000003</v>
      </c>
      <c r="AW117" s="35">
        <v>46180</v>
      </c>
      <c r="AX117" s="30">
        <v>1</v>
      </c>
      <c r="AY117" s="32">
        <f t="shared" si="56"/>
        <v>328.90000000000003</v>
      </c>
      <c r="AZ117" s="30" t="s">
        <v>611</v>
      </c>
      <c r="BA117" s="63" t="s">
        <v>591</v>
      </c>
      <c r="BB117" s="71" t="e">
        <f>SUMIFS([1]Form!$F$8:$F$21,[1]Form!$J$8:$J$21,K117)</f>
        <v>#VALUE!</v>
      </c>
      <c r="BC117" s="71"/>
      <c r="BD117" s="71"/>
    </row>
    <row r="118" spans="1:56" hidden="1" x14ac:dyDescent="0.25">
      <c r="A118" s="24">
        <f>IF(B118="","",SUBTOTAL(3,$B$4:B118))</f>
        <v>0</v>
      </c>
      <c r="B118" s="25" t="s">
        <v>569</v>
      </c>
      <c r="C118" s="25" t="str">
        <f t="shared" si="30"/>
        <v>Shipment 1 PAR-550-22 Main</v>
      </c>
      <c r="D118" s="25" t="s">
        <v>570</v>
      </c>
      <c r="E118" s="25" t="s">
        <v>571</v>
      </c>
      <c r="F118" s="25"/>
      <c r="G118" s="65">
        <v>46393</v>
      </c>
      <c r="H118" s="25" t="s">
        <v>572</v>
      </c>
      <c r="I118" s="25" t="s">
        <v>576</v>
      </c>
      <c r="J118" s="26" t="s">
        <v>622</v>
      </c>
      <c r="K118" s="27" t="s">
        <v>238</v>
      </c>
      <c r="L118" s="28" t="s">
        <v>239</v>
      </c>
      <c r="M118" s="28" t="s">
        <v>240</v>
      </c>
      <c r="N118" s="25">
        <v>1</v>
      </c>
      <c r="O118" s="29">
        <v>174.79999999999998</v>
      </c>
      <c r="P118" s="29">
        <v>174.79999999999998</v>
      </c>
      <c r="Q118" s="25" t="s">
        <v>504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1"/>
        <v>174.79999999999998</v>
      </c>
      <c r="AF118" s="32">
        <f t="shared" si="32"/>
        <v>0</v>
      </c>
      <c r="AG118" s="30"/>
      <c r="AH118" s="33">
        <v>1</v>
      </c>
      <c r="AI118" s="34">
        <f t="shared" si="33"/>
        <v>174.79999999999998</v>
      </c>
      <c r="AJ118" s="35">
        <v>46163</v>
      </c>
      <c r="AK118" s="30">
        <v>1</v>
      </c>
      <c r="AL118" s="36">
        <f t="shared" si="34"/>
        <v>174.79999999999998</v>
      </c>
      <c r="AM118" s="35">
        <v>46172</v>
      </c>
      <c r="AN118" s="30">
        <v>1</v>
      </c>
      <c r="AO118" s="36">
        <f t="shared" si="35"/>
        <v>174.79999999999998</v>
      </c>
      <c r="AP118" s="35"/>
      <c r="AQ118" s="30"/>
      <c r="AR118" s="36">
        <f t="shared" si="36"/>
        <v>0</v>
      </c>
      <c r="AS118" s="27" t="s">
        <v>620</v>
      </c>
      <c r="AT118" s="37">
        <v>46203</v>
      </c>
      <c r="AU118" s="30">
        <v>1</v>
      </c>
      <c r="AV118" s="36">
        <f t="shared" si="37"/>
        <v>174.79999999999998</v>
      </c>
      <c r="AW118" s="35">
        <v>46208</v>
      </c>
      <c r="AX118" s="30">
        <v>1</v>
      </c>
      <c r="AY118" s="32">
        <f t="shared" si="56"/>
        <v>174.79999999999998</v>
      </c>
      <c r="AZ118" s="30" t="s">
        <v>616</v>
      </c>
      <c r="BA118" s="63" t="s">
        <v>617</v>
      </c>
      <c r="BB118" s="71"/>
      <c r="BC118" s="71"/>
      <c r="BD118" s="71"/>
    </row>
    <row r="119" spans="1:56" hidden="1" x14ac:dyDescent="0.25">
      <c r="A119" s="24">
        <f>IF(B119="","",SUBTOTAL(3,$B$4:B119))</f>
        <v>0</v>
      </c>
      <c r="B119" s="25" t="s">
        <v>569</v>
      </c>
      <c r="C119" s="25" t="str">
        <f t="shared" si="30"/>
        <v>Shipment 1 PAR-550-22 Main</v>
      </c>
      <c r="D119" s="25" t="s">
        <v>570</v>
      </c>
      <c r="E119" s="25" t="s">
        <v>571</v>
      </c>
      <c r="F119" s="25"/>
      <c r="G119" s="65">
        <v>46393</v>
      </c>
      <c r="H119" s="25" t="s">
        <v>572</v>
      </c>
      <c r="I119" s="25" t="s">
        <v>576</v>
      </c>
      <c r="J119" s="26" t="s">
        <v>622</v>
      </c>
      <c r="K119" s="27" t="s">
        <v>241</v>
      </c>
      <c r="L119" s="28" t="s">
        <v>242</v>
      </c>
      <c r="M119" s="28" t="s">
        <v>240</v>
      </c>
      <c r="N119" s="25">
        <v>1</v>
      </c>
      <c r="O119" s="29">
        <v>101.00000000000001</v>
      </c>
      <c r="P119" s="29">
        <v>101.00000000000001</v>
      </c>
      <c r="Q119" s="25" t="s">
        <v>505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1"/>
        <v>101</v>
      </c>
      <c r="AF119" s="32">
        <f t="shared" si="32"/>
        <v>0</v>
      </c>
      <c r="AG119" s="30"/>
      <c r="AH119" s="33">
        <f>INDEX([2]M296PAR55022!$X:$X,MATCH(K119,[2]M296PAR55022!$B:$B,0))</f>
        <v>1</v>
      </c>
      <c r="AI119" s="34">
        <f t="shared" si="33"/>
        <v>101.00000000000001</v>
      </c>
      <c r="AJ119" s="35">
        <v>46163</v>
      </c>
      <c r="AK119" s="30">
        <v>1</v>
      </c>
      <c r="AL119" s="36">
        <f t="shared" si="34"/>
        <v>101.00000000000001</v>
      </c>
      <c r="AM119" s="35">
        <v>46172</v>
      </c>
      <c r="AN119" s="30">
        <v>1</v>
      </c>
      <c r="AO119" s="36">
        <f t="shared" si="35"/>
        <v>101.00000000000001</v>
      </c>
      <c r="AP119" s="35"/>
      <c r="AQ119" s="30"/>
      <c r="AR119" s="36">
        <f t="shared" si="36"/>
        <v>0</v>
      </c>
      <c r="AS119" s="27" t="s">
        <v>620</v>
      </c>
      <c r="AT119" s="37">
        <v>46203</v>
      </c>
      <c r="AU119" s="30">
        <v>1</v>
      </c>
      <c r="AV119" s="36">
        <f t="shared" si="37"/>
        <v>101.00000000000001</v>
      </c>
      <c r="AW119" s="35">
        <v>46208</v>
      </c>
      <c r="AX119" s="30">
        <v>1</v>
      </c>
      <c r="AY119" s="32">
        <f t="shared" si="56"/>
        <v>101.00000000000001</v>
      </c>
      <c r="AZ119" s="30" t="s">
        <v>616</v>
      </c>
      <c r="BA119" s="63" t="s">
        <v>617</v>
      </c>
      <c r="BB119" s="71"/>
      <c r="BC119" s="71"/>
      <c r="BD119" s="71"/>
    </row>
    <row r="120" spans="1:56" hidden="1" x14ac:dyDescent="0.25">
      <c r="A120" s="24">
        <f>IF(B120="","",SUBTOTAL(3,$B$4:B120))</f>
        <v>0</v>
      </c>
      <c r="B120" s="25" t="s">
        <v>569</v>
      </c>
      <c r="C120" s="25" t="str">
        <f t="shared" si="30"/>
        <v>Shipment 1 PAR-550-22 Main</v>
      </c>
      <c r="D120" s="25" t="s">
        <v>570</v>
      </c>
      <c r="E120" s="25" t="s">
        <v>571</v>
      </c>
      <c r="F120" s="25"/>
      <c r="G120" s="65">
        <v>46393</v>
      </c>
      <c r="H120" s="25" t="s">
        <v>572</v>
      </c>
      <c r="I120" s="25" t="s">
        <v>576</v>
      </c>
      <c r="J120" s="26" t="s">
        <v>622</v>
      </c>
      <c r="K120" s="27" t="s">
        <v>243</v>
      </c>
      <c r="L120" s="28" t="s">
        <v>244</v>
      </c>
      <c r="M120" s="28" t="s">
        <v>240</v>
      </c>
      <c r="N120" s="25">
        <v>1</v>
      </c>
      <c r="O120" s="29">
        <v>105.10000000000002</v>
      </c>
      <c r="P120" s="29">
        <v>105.10000000000002</v>
      </c>
      <c r="Q120" s="25" t="s">
        <v>506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1"/>
        <v>105.10000000000004</v>
      </c>
      <c r="AF120" s="32">
        <f t="shared" si="32"/>
        <v>0</v>
      </c>
      <c r="AG120" s="30"/>
      <c r="AH120" s="33">
        <v>1</v>
      </c>
      <c r="AI120" s="34">
        <f t="shared" si="33"/>
        <v>105.10000000000002</v>
      </c>
      <c r="AJ120" s="35">
        <v>46163</v>
      </c>
      <c r="AK120" s="30">
        <v>1</v>
      </c>
      <c r="AL120" s="36">
        <f t="shared" si="34"/>
        <v>105.10000000000002</v>
      </c>
      <c r="AM120" s="35">
        <v>46172</v>
      </c>
      <c r="AN120" s="30">
        <v>1</v>
      </c>
      <c r="AO120" s="36">
        <f t="shared" si="35"/>
        <v>105.10000000000002</v>
      </c>
      <c r="AP120" s="35"/>
      <c r="AQ120" s="30"/>
      <c r="AR120" s="36">
        <f t="shared" si="36"/>
        <v>0</v>
      </c>
      <c r="AS120" s="27" t="s">
        <v>620</v>
      </c>
      <c r="AT120" s="37">
        <v>46203</v>
      </c>
      <c r="AU120" s="30">
        <v>1</v>
      </c>
      <c r="AV120" s="36">
        <f t="shared" si="37"/>
        <v>105.10000000000002</v>
      </c>
      <c r="AW120" s="35">
        <v>46208</v>
      </c>
      <c r="AX120" s="30">
        <v>1</v>
      </c>
      <c r="AY120" s="32">
        <f t="shared" si="56"/>
        <v>105.10000000000002</v>
      </c>
      <c r="AZ120" s="30" t="s">
        <v>616</v>
      </c>
      <c r="BA120" s="63" t="s">
        <v>617</v>
      </c>
      <c r="BB120" s="71"/>
      <c r="BC120" s="71"/>
      <c r="BD120" s="71"/>
    </row>
    <row r="121" spans="1:56" hidden="1" x14ac:dyDescent="0.25">
      <c r="A121" s="24">
        <f>IF(B121="","",SUBTOTAL(3,$B$4:B121))</f>
        <v>0</v>
      </c>
      <c r="B121" s="25" t="s">
        <v>569</v>
      </c>
      <c r="C121" s="25" t="str">
        <f t="shared" si="30"/>
        <v>Shipment 1 PAR-550-22 Main</v>
      </c>
      <c r="D121" s="25" t="s">
        <v>570</v>
      </c>
      <c r="E121" s="25" t="s">
        <v>571</v>
      </c>
      <c r="F121" s="25"/>
      <c r="G121" s="65">
        <v>46393</v>
      </c>
      <c r="H121" s="25" t="s">
        <v>572</v>
      </c>
      <c r="I121" s="25" t="s">
        <v>575</v>
      </c>
      <c r="J121" s="26" t="s">
        <v>623</v>
      </c>
      <c r="K121" s="27" t="s">
        <v>245</v>
      </c>
      <c r="L121" s="28" t="s">
        <v>246</v>
      </c>
      <c r="M121" s="28" t="s">
        <v>247</v>
      </c>
      <c r="N121" s="25">
        <v>1</v>
      </c>
      <c r="O121" s="29">
        <v>514.30000000000007</v>
      </c>
      <c r="P121" s="29">
        <v>514.30000000000007</v>
      </c>
      <c r="Q121" s="25" t="s">
        <v>507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1"/>
        <v>514.30000000000007</v>
      </c>
      <c r="AF121" s="32">
        <f t="shared" si="32"/>
        <v>0</v>
      </c>
      <c r="AG121" s="30"/>
      <c r="AH121" s="33">
        <v>1</v>
      </c>
      <c r="AI121" s="34">
        <f t="shared" si="33"/>
        <v>514.30000000000007</v>
      </c>
      <c r="AJ121" s="35">
        <v>46158</v>
      </c>
      <c r="AK121" s="30">
        <v>1</v>
      </c>
      <c r="AL121" s="36">
        <f t="shared" si="34"/>
        <v>514.30000000000007</v>
      </c>
      <c r="AM121" s="35">
        <v>46164</v>
      </c>
      <c r="AN121" s="30">
        <v>1</v>
      </c>
      <c r="AO121" s="36">
        <f t="shared" si="35"/>
        <v>514.30000000000007</v>
      </c>
      <c r="AP121" s="35"/>
      <c r="AQ121" s="30"/>
      <c r="AR121" s="36">
        <f t="shared" si="36"/>
        <v>0</v>
      </c>
      <c r="AS121" s="27" t="s">
        <v>582</v>
      </c>
      <c r="AT121" s="37">
        <v>46164</v>
      </c>
      <c r="AU121" s="30">
        <v>1</v>
      </c>
      <c r="AV121" s="36">
        <f t="shared" si="37"/>
        <v>514.30000000000007</v>
      </c>
      <c r="AW121" s="35">
        <v>46167</v>
      </c>
      <c r="AX121" s="30">
        <v>1</v>
      </c>
      <c r="AY121" s="32">
        <f t="shared" si="38"/>
        <v>514.30000000000007</v>
      </c>
      <c r="AZ121" s="30" t="s">
        <v>580</v>
      </c>
      <c r="BA121" s="63" t="s">
        <v>581</v>
      </c>
      <c r="BB121" s="71" t="e">
        <f>SUMIFS([1]Form!$F$8:$F$21,[1]Form!$J$8:$J$21,K121)</f>
        <v>#VALUE!</v>
      </c>
      <c r="BC121" s="71"/>
      <c r="BD121" s="71"/>
    </row>
    <row r="122" spans="1:56" hidden="1" x14ac:dyDescent="0.25">
      <c r="A122" s="24">
        <f>IF(B122="","",SUBTOTAL(3,$B$4:B122))</f>
        <v>0</v>
      </c>
      <c r="B122" s="25" t="s">
        <v>569</v>
      </c>
      <c r="C122" s="25" t="str">
        <f t="shared" si="30"/>
        <v>Shipment 1 PAR-550-22 Main</v>
      </c>
      <c r="D122" s="25" t="s">
        <v>570</v>
      </c>
      <c r="E122" s="25" t="s">
        <v>571</v>
      </c>
      <c r="F122" s="25"/>
      <c r="G122" s="65">
        <v>46393</v>
      </c>
      <c r="H122" s="25" t="s">
        <v>572</v>
      </c>
      <c r="I122" s="25" t="s">
        <v>575</v>
      </c>
      <c r="J122" s="26" t="s">
        <v>623</v>
      </c>
      <c r="K122" s="27" t="s">
        <v>248</v>
      </c>
      <c r="L122" s="28" t="s">
        <v>249</v>
      </c>
      <c r="M122" s="28" t="s">
        <v>247</v>
      </c>
      <c r="N122" s="25">
        <v>1</v>
      </c>
      <c r="O122" s="29">
        <v>512.4</v>
      </c>
      <c r="P122" s="29">
        <v>512.4</v>
      </c>
      <c r="Q122" s="25" t="s">
        <v>508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1"/>
        <v>512.4</v>
      </c>
      <c r="AF122" s="32">
        <f t="shared" si="32"/>
        <v>0</v>
      </c>
      <c r="AG122" s="30"/>
      <c r="AH122" s="33">
        <f>INDEX([2]M296PAR55022!$X:$X,MATCH(K122,[2]M296PAR55022!$B:$B,0))</f>
        <v>1</v>
      </c>
      <c r="AI122" s="34">
        <f t="shared" si="33"/>
        <v>512.4</v>
      </c>
      <c r="AJ122" s="35">
        <v>46164</v>
      </c>
      <c r="AK122" s="30">
        <v>1</v>
      </c>
      <c r="AL122" s="36">
        <f t="shared" si="34"/>
        <v>512.4</v>
      </c>
      <c r="AM122" s="35">
        <v>46164</v>
      </c>
      <c r="AN122" s="30">
        <v>1</v>
      </c>
      <c r="AO122" s="36">
        <f t="shared" si="35"/>
        <v>512.4</v>
      </c>
      <c r="AP122" s="35"/>
      <c r="AQ122" s="30"/>
      <c r="AR122" s="36">
        <f t="shared" si="36"/>
        <v>0</v>
      </c>
      <c r="AS122" s="27" t="s">
        <v>582</v>
      </c>
      <c r="AT122" s="37">
        <v>46164</v>
      </c>
      <c r="AU122" s="30">
        <v>1</v>
      </c>
      <c r="AV122" s="36">
        <f t="shared" si="37"/>
        <v>512.4</v>
      </c>
      <c r="AW122" s="35">
        <v>46167</v>
      </c>
      <c r="AX122" s="30">
        <v>1</v>
      </c>
      <c r="AY122" s="32">
        <f t="shared" si="38"/>
        <v>512.4</v>
      </c>
      <c r="AZ122" s="30" t="s">
        <v>580</v>
      </c>
      <c r="BA122" s="63" t="s">
        <v>581</v>
      </c>
      <c r="BB122" s="71" t="e">
        <f>SUMIFS([1]Form!$F$8:$F$21,[1]Form!$J$8:$J$21,K122)</f>
        <v>#VALUE!</v>
      </c>
      <c r="BC122" s="71"/>
      <c r="BD122" s="71"/>
    </row>
    <row r="123" spans="1:56" hidden="1" x14ac:dyDescent="0.25">
      <c r="A123" s="24">
        <f>IF(B123="","",SUBTOTAL(3,$B$4:B123))</f>
        <v>0</v>
      </c>
      <c r="B123" s="25" t="s">
        <v>569</v>
      </c>
      <c r="C123" s="25" t="str">
        <f t="shared" si="30"/>
        <v>Shipment 1 PAR-550-22 Main</v>
      </c>
      <c r="D123" s="25" t="s">
        <v>570</v>
      </c>
      <c r="E123" s="25" t="s">
        <v>571</v>
      </c>
      <c r="F123" s="25"/>
      <c r="G123" s="65">
        <v>46393</v>
      </c>
      <c r="H123" s="25" t="s">
        <v>572</v>
      </c>
      <c r="I123" s="25" t="s">
        <v>575</v>
      </c>
      <c r="J123" s="26" t="s">
        <v>622</v>
      </c>
      <c r="K123" s="27" t="s">
        <v>250</v>
      </c>
      <c r="L123" s="28" t="s">
        <v>251</v>
      </c>
      <c r="M123" s="28" t="s">
        <v>247</v>
      </c>
      <c r="N123" s="25">
        <v>1</v>
      </c>
      <c r="O123" s="29">
        <v>407.49999999999994</v>
      </c>
      <c r="P123" s="29">
        <v>407.49999999999994</v>
      </c>
      <c r="Q123" s="25" t="s">
        <v>509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1"/>
        <v>407.5</v>
      </c>
      <c r="AF123" s="32">
        <f t="shared" si="32"/>
        <v>0</v>
      </c>
      <c r="AG123" s="30"/>
      <c r="AH123" s="33">
        <v>1</v>
      </c>
      <c r="AI123" s="34">
        <f t="shared" si="33"/>
        <v>407.49999999999994</v>
      </c>
      <c r="AJ123" s="35">
        <v>46147</v>
      </c>
      <c r="AK123" s="30">
        <v>1</v>
      </c>
      <c r="AL123" s="36">
        <f t="shared" si="34"/>
        <v>407.49999999999994</v>
      </c>
      <c r="AM123" s="35">
        <v>46155</v>
      </c>
      <c r="AN123" s="30">
        <v>1</v>
      </c>
      <c r="AO123" s="36">
        <f t="shared" si="35"/>
        <v>407.49999999999994</v>
      </c>
      <c r="AP123" s="35"/>
      <c r="AQ123" s="30"/>
      <c r="AR123" s="36">
        <f t="shared" si="36"/>
        <v>0</v>
      </c>
      <c r="AS123" s="27" t="s">
        <v>613</v>
      </c>
      <c r="AT123" s="37">
        <v>46176</v>
      </c>
      <c r="AU123" s="30">
        <v>1</v>
      </c>
      <c r="AV123" s="36">
        <f t="shared" si="37"/>
        <v>407.49999999999994</v>
      </c>
      <c r="AW123" s="35">
        <v>46180</v>
      </c>
      <c r="AX123" s="30">
        <v>1</v>
      </c>
      <c r="AY123" s="32">
        <f t="shared" si="38"/>
        <v>407.49999999999994</v>
      </c>
      <c r="AZ123" s="30" t="s">
        <v>611</v>
      </c>
      <c r="BA123" s="63" t="s">
        <v>610</v>
      </c>
      <c r="BB123" s="71" t="e">
        <f>SUMIFS([1]Form!$F$8:$F$21,[1]Form!$J$8:$J$21,K123)</f>
        <v>#VALUE!</v>
      </c>
      <c r="BC123" s="71"/>
      <c r="BD123" s="71"/>
    </row>
    <row r="124" spans="1:56" hidden="1" x14ac:dyDescent="0.25">
      <c r="A124" s="24">
        <f>IF(B124="","",SUBTOTAL(3,$B$4:B124))</f>
        <v>0</v>
      </c>
      <c r="B124" s="25" t="s">
        <v>569</v>
      </c>
      <c r="C124" s="25" t="str">
        <f t="shared" si="30"/>
        <v>Shipment 1 PAR-550-22 Main</v>
      </c>
      <c r="D124" s="25" t="s">
        <v>570</v>
      </c>
      <c r="E124" s="25" t="s">
        <v>571</v>
      </c>
      <c r="F124" s="25"/>
      <c r="G124" s="65">
        <v>46393</v>
      </c>
      <c r="H124" s="25" t="s">
        <v>572</v>
      </c>
      <c r="I124" s="25" t="s">
        <v>575</v>
      </c>
      <c r="J124" s="26" t="s">
        <v>622</v>
      </c>
      <c r="K124" s="27" t="s">
        <v>252</v>
      </c>
      <c r="L124" s="28" t="s">
        <v>253</v>
      </c>
      <c r="M124" s="28" t="s">
        <v>247</v>
      </c>
      <c r="N124" s="25">
        <v>1</v>
      </c>
      <c r="O124" s="29">
        <v>761.80000000000007</v>
      </c>
      <c r="P124" s="29">
        <v>761.80000000000007</v>
      </c>
      <c r="Q124" s="25" t="s">
        <v>510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1"/>
        <v>761.80000000000018</v>
      </c>
      <c r="AF124" s="32">
        <f t="shared" si="32"/>
        <v>0</v>
      </c>
      <c r="AG124" s="30"/>
      <c r="AH124" s="33">
        <v>1</v>
      </c>
      <c r="AI124" s="34">
        <f t="shared" si="33"/>
        <v>761.80000000000007</v>
      </c>
      <c r="AJ124" s="35">
        <v>46158</v>
      </c>
      <c r="AK124" s="30">
        <v>1</v>
      </c>
      <c r="AL124" s="36">
        <f t="shared" si="34"/>
        <v>761.80000000000007</v>
      </c>
      <c r="AM124" s="35">
        <v>46165</v>
      </c>
      <c r="AN124" s="30">
        <v>1</v>
      </c>
      <c r="AO124" s="36">
        <f t="shared" si="35"/>
        <v>761.80000000000007</v>
      </c>
      <c r="AP124" s="35"/>
      <c r="AQ124" s="30"/>
      <c r="AR124" s="36">
        <f t="shared" si="36"/>
        <v>0</v>
      </c>
      <c r="AS124" s="27" t="s">
        <v>613</v>
      </c>
      <c r="AT124" s="37">
        <v>46176</v>
      </c>
      <c r="AU124" s="30">
        <v>1</v>
      </c>
      <c r="AV124" s="36">
        <f t="shared" si="37"/>
        <v>761.80000000000007</v>
      </c>
      <c r="AW124" s="35">
        <v>46180</v>
      </c>
      <c r="AX124" s="30">
        <v>1</v>
      </c>
      <c r="AY124" s="32">
        <f t="shared" si="38"/>
        <v>761.80000000000007</v>
      </c>
      <c r="AZ124" s="30" t="s">
        <v>611</v>
      </c>
      <c r="BA124" s="63" t="s">
        <v>610</v>
      </c>
      <c r="BB124" s="71" t="e">
        <f>SUMIFS([1]Form!$F$8:$F$21,[1]Form!$J$8:$J$21,K124)</f>
        <v>#VALUE!</v>
      </c>
      <c r="BC124" s="71"/>
      <c r="BD124" s="71"/>
    </row>
    <row r="125" spans="1:56" hidden="1" x14ac:dyDescent="0.25">
      <c r="A125" s="24">
        <f>IF(B125="","",SUBTOTAL(3,$B$4:B125))</f>
        <v>0</v>
      </c>
      <c r="B125" s="25" t="s">
        <v>569</v>
      </c>
      <c r="C125" s="25" t="str">
        <f t="shared" si="30"/>
        <v>Shipment 1 PAR-550-22 Main</v>
      </c>
      <c r="D125" s="25" t="s">
        <v>570</v>
      </c>
      <c r="E125" s="25" t="s">
        <v>571</v>
      </c>
      <c r="F125" s="25"/>
      <c r="G125" s="65">
        <v>46393</v>
      </c>
      <c r="H125" s="25" t="s">
        <v>572</v>
      </c>
      <c r="I125" s="25" t="s">
        <v>575</v>
      </c>
      <c r="J125" s="26" t="s">
        <v>623</v>
      </c>
      <c r="K125" s="27" t="s">
        <v>254</v>
      </c>
      <c r="L125" s="28" t="s">
        <v>255</v>
      </c>
      <c r="M125" s="28" t="s">
        <v>247</v>
      </c>
      <c r="N125" s="25">
        <v>1</v>
      </c>
      <c r="O125" s="29">
        <v>241.15</v>
      </c>
      <c r="P125" s="29">
        <v>241.15</v>
      </c>
      <c r="Q125" s="25" t="s">
        <v>511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1"/>
        <v>241.15000000000003</v>
      </c>
      <c r="AF125" s="32">
        <f t="shared" si="32"/>
        <v>0</v>
      </c>
      <c r="AG125" s="30"/>
      <c r="AH125" s="33">
        <v>1</v>
      </c>
      <c r="AI125" s="34">
        <f t="shared" si="33"/>
        <v>241.15</v>
      </c>
      <c r="AJ125" s="35">
        <v>46151</v>
      </c>
      <c r="AK125" s="30">
        <v>1</v>
      </c>
      <c r="AL125" s="36">
        <f t="shared" si="34"/>
        <v>241.15</v>
      </c>
      <c r="AM125" s="35">
        <v>46151</v>
      </c>
      <c r="AN125" s="30">
        <v>1</v>
      </c>
      <c r="AO125" s="36">
        <f t="shared" si="35"/>
        <v>241.15</v>
      </c>
      <c r="AP125" s="35"/>
      <c r="AQ125" s="30"/>
      <c r="AR125" s="36">
        <f t="shared" si="36"/>
        <v>0</v>
      </c>
      <c r="AS125" s="27" t="s">
        <v>573</v>
      </c>
      <c r="AT125" s="37">
        <v>46153</v>
      </c>
      <c r="AU125" s="30">
        <v>1</v>
      </c>
      <c r="AV125" s="36">
        <f t="shared" si="37"/>
        <v>241.15</v>
      </c>
      <c r="AW125" s="35">
        <v>46167</v>
      </c>
      <c r="AX125" s="30">
        <v>1</v>
      </c>
      <c r="AY125" s="32">
        <f t="shared" si="38"/>
        <v>241.15</v>
      </c>
      <c r="AZ125" s="30" t="s">
        <v>580</v>
      </c>
      <c r="BA125" s="63" t="s">
        <v>573</v>
      </c>
      <c r="BB125" s="71" t="e">
        <f>SUMIFS([1]Form!$F$8:$F$21,[1]Form!$J$8:$J$21,K125)</f>
        <v>#VALUE!</v>
      </c>
      <c r="BC125" s="71"/>
      <c r="BD125" s="71"/>
    </row>
    <row r="126" spans="1:56" hidden="1" x14ac:dyDescent="0.25">
      <c r="A126" s="24">
        <f>IF(B126="","",SUBTOTAL(3,$B$4:B126))</f>
        <v>0</v>
      </c>
      <c r="B126" s="25" t="s">
        <v>569</v>
      </c>
      <c r="C126" s="25" t="str">
        <f t="shared" si="30"/>
        <v>Shipment 1 PAR-550-22 Main</v>
      </c>
      <c r="D126" s="25" t="s">
        <v>570</v>
      </c>
      <c r="E126" s="25" t="s">
        <v>571</v>
      </c>
      <c r="F126" s="25"/>
      <c r="G126" s="65">
        <v>46393</v>
      </c>
      <c r="H126" s="25" t="s">
        <v>572</v>
      </c>
      <c r="I126" s="25" t="s">
        <v>575</v>
      </c>
      <c r="J126" s="26" t="s">
        <v>623</v>
      </c>
      <c r="K126" s="27" t="s">
        <v>254</v>
      </c>
      <c r="L126" s="28" t="s">
        <v>256</v>
      </c>
      <c r="M126" s="28" t="s">
        <v>247</v>
      </c>
      <c r="N126" s="25">
        <v>1</v>
      </c>
      <c r="O126" s="29">
        <v>241.15</v>
      </c>
      <c r="P126" s="29">
        <v>241.15</v>
      </c>
      <c r="Q126" s="25" t="s">
        <v>511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1"/>
        <v>241.15000000000003</v>
      </c>
      <c r="AF126" s="32">
        <f t="shared" si="32"/>
        <v>0</v>
      </c>
      <c r="AG126" s="30"/>
      <c r="AH126" s="33">
        <v>1</v>
      </c>
      <c r="AI126" s="34">
        <f t="shared" si="33"/>
        <v>241.15</v>
      </c>
      <c r="AJ126" s="35">
        <v>46151</v>
      </c>
      <c r="AK126" s="30">
        <v>1</v>
      </c>
      <c r="AL126" s="36">
        <f t="shared" si="34"/>
        <v>241.15</v>
      </c>
      <c r="AM126" s="35">
        <v>46151</v>
      </c>
      <c r="AN126" s="30">
        <v>1</v>
      </c>
      <c r="AO126" s="36">
        <f t="shared" si="35"/>
        <v>241.15</v>
      </c>
      <c r="AP126" s="35"/>
      <c r="AQ126" s="30"/>
      <c r="AR126" s="36">
        <f t="shared" si="36"/>
        <v>0</v>
      </c>
      <c r="AS126" s="27" t="s">
        <v>573</v>
      </c>
      <c r="AT126" s="37">
        <v>46153</v>
      </c>
      <c r="AU126" s="30">
        <v>1</v>
      </c>
      <c r="AV126" s="36">
        <f t="shared" si="37"/>
        <v>241.15</v>
      </c>
      <c r="AW126" s="35">
        <v>46167</v>
      </c>
      <c r="AX126" s="30">
        <v>1</v>
      </c>
      <c r="AY126" s="32">
        <f t="shared" si="38"/>
        <v>241.15</v>
      </c>
      <c r="AZ126" s="30" t="s">
        <v>580</v>
      </c>
      <c r="BA126" s="63" t="s">
        <v>573</v>
      </c>
      <c r="BB126" s="71" t="e">
        <f>SUMIFS([1]Form!$F$8:$F$21,[1]Form!$J$8:$J$21,K126)</f>
        <v>#VALUE!</v>
      </c>
      <c r="BC126" s="71"/>
      <c r="BD126" s="71"/>
    </row>
    <row r="127" spans="1:56" hidden="1" x14ac:dyDescent="0.25">
      <c r="A127" s="24">
        <f>IF(B127="","",SUBTOTAL(3,$B$4:B127))</f>
        <v>0</v>
      </c>
      <c r="B127" s="25" t="s">
        <v>569</v>
      </c>
      <c r="C127" s="25" t="str">
        <f t="shared" si="30"/>
        <v>Shipment 1 PAR-550-22 Main</v>
      </c>
      <c r="D127" s="25" t="s">
        <v>570</v>
      </c>
      <c r="E127" s="25" t="s">
        <v>571</v>
      </c>
      <c r="F127" s="25"/>
      <c r="G127" s="65">
        <v>46393</v>
      </c>
      <c r="H127" s="25" t="s">
        <v>572</v>
      </c>
      <c r="I127" s="25" t="s">
        <v>575</v>
      </c>
      <c r="J127" s="26" t="s">
        <v>623</v>
      </c>
      <c r="K127" s="27" t="s">
        <v>257</v>
      </c>
      <c r="L127" s="28" t="s">
        <v>258</v>
      </c>
      <c r="M127" s="28" t="s">
        <v>247</v>
      </c>
      <c r="N127" s="25">
        <v>1</v>
      </c>
      <c r="O127" s="29">
        <v>538.69999999999993</v>
      </c>
      <c r="P127" s="29">
        <v>538.69999999999993</v>
      </c>
      <c r="Q127" s="25" t="s">
        <v>512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1"/>
        <v>538.69999999999993</v>
      </c>
      <c r="AF127" s="32">
        <f t="shared" si="32"/>
        <v>0</v>
      </c>
      <c r="AG127" s="30"/>
      <c r="AH127" s="33">
        <v>1</v>
      </c>
      <c r="AI127" s="34">
        <f t="shared" si="33"/>
        <v>538.69999999999993</v>
      </c>
      <c r="AJ127" s="35">
        <v>46147</v>
      </c>
      <c r="AK127" s="30">
        <v>1</v>
      </c>
      <c r="AL127" s="36">
        <f t="shared" si="34"/>
        <v>538.69999999999993</v>
      </c>
      <c r="AM127" s="35">
        <v>46155</v>
      </c>
      <c r="AN127" s="30">
        <v>1</v>
      </c>
      <c r="AO127" s="36">
        <f t="shared" si="35"/>
        <v>538.69999999999993</v>
      </c>
      <c r="AP127" s="35"/>
      <c r="AQ127" s="30"/>
      <c r="AR127" s="36">
        <f t="shared" si="36"/>
        <v>0</v>
      </c>
      <c r="AS127" s="27" t="s">
        <v>579</v>
      </c>
      <c r="AT127" s="37">
        <v>46161</v>
      </c>
      <c r="AU127" s="30">
        <v>1</v>
      </c>
      <c r="AV127" s="36">
        <f t="shared" si="37"/>
        <v>538.69999999999993</v>
      </c>
      <c r="AW127" s="35">
        <v>46167</v>
      </c>
      <c r="AX127" s="30">
        <v>1</v>
      </c>
      <c r="AY127" s="32">
        <f t="shared" si="38"/>
        <v>538.69999999999993</v>
      </c>
      <c r="AZ127" s="30" t="s">
        <v>580</v>
      </c>
      <c r="BA127" s="63" t="s">
        <v>586</v>
      </c>
      <c r="BB127" s="71" t="e">
        <f>SUMIFS([1]Form!$F$8:$F$21,[1]Form!$J$8:$J$21,K127)</f>
        <v>#VALUE!</v>
      </c>
      <c r="BC127" s="71"/>
      <c r="BD127" s="71"/>
    </row>
    <row r="128" spans="1:56" hidden="1" x14ac:dyDescent="0.25">
      <c r="A128" s="24">
        <f>IF(B128="","",SUBTOTAL(3,$B$4:B128))</f>
        <v>0</v>
      </c>
      <c r="B128" s="25" t="s">
        <v>569</v>
      </c>
      <c r="C128" s="25" t="str">
        <f t="shared" si="30"/>
        <v>Shipment 1 PAR-550-22 Main</v>
      </c>
      <c r="D128" s="25" t="s">
        <v>570</v>
      </c>
      <c r="E128" s="25" t="s">
        <v>571</v>
      </c>
      <c r="F128" s="25"/>
      <c r="G128" s="65">
        <v>46393</v>
      </c>
      <c r="H128" s="25" t="s">
        <v>572</v>
      </c>
      <c r="I128" s="25" t="s">
        <v>575</v>
      </c>
      <c r="J128" s="26" t="s">
        <v>622</v>
      </c>
      <c r="K128" s="27" t="s">
        <v>259</v>
      </c>
      <c r="L128" s="28" t="s">
        <v>260</v>
      </c>
      <c r="M128" s="28" t="s">
        <v>247</v>
      </c>
      <c r="N128" s="25">
        <v>1</v>
      </c>
      <c r="O128" s="29">
        <v>755.80000000000007</v>
      </c>
      <c r="P128" s="29">
        <v>755.80000000000007</v>
      </c>
      <c r="Q128" s="25" t="s">
        <v>513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1"/>
        <v>755.80000000000007</v>
      </c>
      <c r="AF128" s="32">
        <f t="shared" si="32"/>
        <v>0</v>
      </c>
      <c r="AG128" s="30"/>
      <c r="AH128" s="33">
        <v>1</v>
      </c>
      <c r="AI128" s="34">
        <f t="shared" si="33"/>
        <v>755.80000000000007</v>
      </c>
      <c r="AJ128" s="35">
        <v>46158</v>
      </c>
      <c r="AK128" s="30">
        <v>1</v>
      </c>
      <c r="AL128" s="36">
        <f t="shared" si="34"/>
        <v>755.80000000000007</v>
      </c>
      <c r="AM128" s="35">
        <v>46165</v>
      </c>
      <c r="AN128" s="30">
        <v>1</v>
      </c>
      <c r="AO128" s="36">
        <f t="shared" si="35"/>
        <v>755.80000000000007</v>
      </c>
      <c r="AP128" s="35"/>
      <c r="AQ128" s="30"/>
      <c r="AR128" s="36">
        <f t="shared" si="36"/>
        <v>0</v>
      </c>
      <c r="AS128" s="27" t="s">
        <v>620</v>
      </c>
      <c r="AT128" s="37">
        <v>46203</v>
      </c>
      <c r="AU128" s="30">
        <v>1</v>
      </c>
      <c r="AV128" s="36">
        <f t="shared" si="37"/>
        <v>755.80000000000007</v>
      </c>
      <c r="AW128" s="35">
        <v>46208</v>
      </c>
      <c r="AX128" s="30">
        <v>1</v>
      </c>
      <c r="AY128" s="32">
        <f t="shared" ref="AY128" si="57">IFERROR(AX128*$P128/$N128,0)</f>
        <v>755.80000000000007</v>
      </c>
      <c r="AZ128" s="30" t="s">
        <v>616</v>
      </c>
      <c r="BA128" s="63" t="s">
        <v>617</v>
      </c>
      <c r="BB128" s="71"/>
      <c r="BC128" s="71"/>
      <c r="BD128" s="71"/>
    </row>
    <row r="129" spans="1:56" hidden="1" x14ac:dyDescent="0.25">
      <c r="A129" s="24">
        <f>IF(B129="","",SUBTOTAL(3,$B$4:B129))</f>
        <v>0</v>
      </c>
      <c r="B129" s="25" t="s">
        <v>569</v>
      </c>
      <c r="C129" s="25" t="str">
        <f t="shared" si="30"/>
        <v>Shipment 1 PAR-550-22 Main</v>
      </c>
      <c r="D129" s="25" t="s">
        <v>570</v>
      </c>
      <c r="E129" s="25" t="s">
        <v>571</v>
      </c>
      <c r="F129" s="25"/>
      <c r="G129" s="65">
        <v>46393</v>
      </c>
      <c r="H129" s="25" t="s">
        <v>572</v>
      </c>
      <c r="I129" s="25" t="s">
        <v>577</v>
      </c>
      <c r="J129" s="26" t="s">
        <v>623</v>
      </c>
      <c r="K129" s="27" t="s">
        <v>261</v>
      </c>
      <c r="L129" s="28" t="s">
        <v>262</v>
      </c>
      <c r="M129" s="28" t="s">
        <v>247</v>
      </c>
      <c r="N129" s="25">
        <v>1</v>
      </c>
      <c r="O129" s="29">
        <v>1844.6999999999998</v>
      </c>
      <c r="P129" s="29">
        <v>1844.6999999999998</v>
      </c>
      <c r="Q129" s="25" t="s">
        <v>514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1"/>
        <v>1844.7</v>
      </c>
      <c r="AF129" s="32">
        <f t="shared" si="32"/>
        <v>0</v>
      </c>
      <c r="AG129" s="30"/>
      <c r="AH129" s="33">
        <v>1</v>
      </c>
      <c r="AI129" s="34">
        <f t="shared" si="33"/>
        <v>1844.6999999999998</v>
      </c>
      <c r="AJ129" s="35">
        <v>46157</v>
      </c>
      <c r="AK129" s="30">
        <v>1</v>
      </c>
      <c r="AL129" s="36">
        <f t="shared" si="34"/>
        <v>1844.6999999999998</v>
      </c>
      <c r="AM129" s="35">
        <v>46161</v>
      </c>
      <c r="AN129" s="30">
        <v>1</v>
      </c>
      <c r="AO129" s="36">
        <f t="shared" si="35"/>
        <v>1844.6999999999998</v>
      </c>
      <c r="AP129" s="35"/>
      <c r="AQ129" s="30"/>
      <c r="AR129" s="36">
        <f t="shared" si="36"/>
        <v>0</v>
      </c>
      <c r="AS129" s="27" t="s">
        <v>579</v>
      </c>
      <c r="AT129" s="37">
        <v>46161</v>
      </c>
      <c r="AU129" s="30">
        <v>1</v>
      </c>
      <c r="AV129" s="36">
        <f t="shared" si="37"/>
        <v>1844.6999999999998</v>
      </c>
      <c r="AW129" s="35">
        <v>46167</v>
      </c>
      <c r="AX129" s="30">
        <v>1</v>
      </c>
      <c r="AY129" s="32">
        <f t="shared" si="38"/>
        <v>1844.6999999999998</v>
      </c>
      <c r="AZ129" s="30" t="s">
        <v>580</v>
      </c>
      <c r="BA129" s="63" t="s">
        <v>586</v>
      </c>
      <c r="BB129" s="71" t="e">
        <f>SUMIFS([1]Form!$F$8:$F$21,[1]Form!$J$8:$J$21,K129)</f>
        <v>#VALUE!</v>
      </c>
      <c r="BC129" s="71"/>
      <c r="BD129" s="71"/>
    </row>
    <row r="130" spans="1:56" hidden="1" x14ac:dyDescent="0.25">
      <c r="A130" s="24">
        <f>IF(B130="","",SUBTOTAL(3,$B$4:B130))</f>
        <v>0</v>
      </c>
      <c r="B130" s="25" t="s">
        <v>569</v>
      </c>
      <c r="C130" s="25" t="str">
        <f t="shared" si="30"/>
        <v>Shipment 1 PAR-550-22 Main</v>
      </c>
      <c r="D130" s="25" t="s">
        <v>570</v>
      </c>
      <c r="E130" s="25" t="s">
        <v>571</v>
      </c>
      <c r="F130" s="25"/>
      <c r="G130" s="65">
        <v>46393</v>
      </c>
      <c r="H130" s="25" t="s">
        <v>572</v>
      </c>
      <c r="I130" s="25" t="s">
        <v>575</v>
      </c>
      <c r="J130" s="26" t="s">
        <v>623</v>
      </c>
      <c r="K130" s="27" t="s">
        <v>263</v>
      </c>
      <c r="L130" s="28" t="s">
        <v>264</v>
      </c>
      <c r="M130" s="28" t="s">
        <v>247</v>
      </c>
      <c r="N130" s="25">
        <v>1</v>
      </c>
      <c r="O130" s="29">
        <v>726.1</v>
      </c>
      <c r="P130" s="29">
        <v>726.1</v>
      </c>
      <c r="Q130" s="25" t="s">
        <v>515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1"/>
        <v>726.1</v>
      </c>
      <c r="AF130" s="32">
        <f t="shared" si="32"/>
        <v>0</v>
      </c>
      <c r="AG130" s="30"/>
      <c r="AH130" s="33">
        <v>1</v>
      </c>
      <c r="AI130" s="34">
        <f t="shared" si="33"/>
        <v>726.1</v>
      </c>
      <c r="AJ130" s="35">
        <v>46154</v>
      </c>
      <c r="AK130" s="30">
        <v>1</v>
      </c>
      <c r="AL130" s="36">
        <f t="shared" si="34"/>
        <v>726.1</v>
      </c>
      <c r="AM130" s="35">
        <v>46157</v>
      </c>
      <c r="AN130" s="30">
        <v>1</v>
      </c>
      <c r="AO130" s="36">
        <f t="shared" si="35"/>
        <v>726.1</v>
      </c>
      <c r="AP130" s="35"/>
      <c r="AQ130" s="30"/>
      <c r="AR130" s="36">
        <f t="shared" si="36"/>
        <v>0</v>
      </c>
      <c r="AS130" s="27" t="s">
        <v>579</v>
      </c>
      <c r="AT130" s="37">
        <v>46161</v>
      </c>
      <c r="AU130" s="30">
        <v>1</v>
      </c>
      <c r="AV130" s="36">
        <f t="shared" si="37"/>
        <v>726.1</v>
      </c>
      <c r="AW130" s="35">
        <v>46167</v>
      </c>
      <c r="AX130" s="30">
        <v>1</v>
      </c>
      <c r="AY130" s="32">
        <f t="shared" si="38"/>
        <v>726.1</v>
      </c>
      <c r="AZ130" s="30" t="s">
        <v>580</v>
      </c>
      <c r="BA130" s="63" t="s">
        <v>586</v>
      </c>
      <c r="BB130" s="71" t="e">
        <f>SUMIFS([1]Form!$F$8:$F$21,[1]Form!$J$8:$J$21,K130)</f>
        <v>#VALUE!</v>
      </c>
      <c r="BC130" s="71"/>
      <c r="BD130" s="71"/>
    </row>
    <row r="131" spans="1:56" hidden="1" x14ac:dyDescent="0.25">
      <c r="A131" s="24">
        <f>IF(B131="","",SUBTOTAL(3,$B$4:B131))</f>
        <v>0</v>
      </c>
      <c r="B131" s="25" t="s">
        <v>569</v>
      </c>
      <c r="C131" s="25" t="str">
        <f t="shared" si="30"/>
        <v>Shipment 1 PAR-550-22 Main</v>
      </c>
      <c r="D131" s="25" t="s">
        <v>570</v>
      </c>
      <c r="E131" s="25" t="s">
        <v>571</v>
      </c>
      <c r="F131" s="25"/>
      <c r="G131" s="65">
        <v>46393</v>
      </c>
      <c r="H131" s="25" t="s">
        <v>572</v>
      </c>
      <c r="I131" s="25" t="s">
        <v>575</v>
      </c>
      <c r="J131" s="26" t="s">
        <v>623</v>
      </c>
      <c r="K131" s="27" t="s">
        <v>265</v>
      </c>
      <c r="L131" s="28" t="s">
        <v>266</v>
      </c>
      <c r="M131" s="28" t="s">
        <v>247</v>
      </c>
      <c r="N131" s="25">
        <v>1</v>
      </c>
      <c r="O131" s="29">
        <v>710.4</v>
      </c>
      <c r="P131" s="29">
        <v>710.4</v>
      </c>
      <c r="Q131" s="25" t="s">
        <v>515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1"/>
        <v>710.4</v>
      </c>
      <c r="AF131" s="32">
        <f t="shared" si="32"/>
        <v>0</v>
      </c>
      <c r="AG131" s="30"/>
      <c r="AH131" s="33">
        <v>1</v>
      </c>
      <c r="AI131" s="34">
        <f t="shared" si="33"/>
        <v>710.4</v>
      </c>
      <c r="AJ131" s="35">
        <v>46154</v>
      </c>
      <c r="AK131" s="30">
        <v>1</v>
      </c>
      <c r="AL131" s="36">
        <f t="shared" si="34"/>
        <v>710.4</v>
      </c>
      <c r="AM131" s="35">
        <v>46160</v>
      </c>
      <c r="AN131" s="30">
        <v>1</v>
      </c>
      <c r="AO131" s="36">
        <f t="shared" si="35"/>
        <v>710.4</v>
      </c>
      <c r="AP131" s="35"/>
      <c r="AQ131" s="30"/>
      <c r="AR131" s="36">
        <f t="shared" si="36"/>
        <v>0</v>
      </c>
      <c r="AS131" s="27" t="s">
        <v>579</v>
      </c>
      <c r="AT131" s="37">
        <v>46161</v>
      </c>
      <c r="AU131" s="30">
        <v>1</v>
      </c>
      <c r="AV131" s="36">
        <f t="shared" si="37"/>
        <v>710.4</v>
      </c>
      <c r="AW131" s="35">
        <v>46167</v>
      </c>
      <c r="AX131" s="30">
        <v>1</v>
      </c>
      <c r="AY131" s="32">
        <f t="shared" si="38"/>
        <v>710.4</v>
      </c>
      <c r="AZ131" s="30" t="s">
        <v>580</v>
      </c>
      <c r="BA131" s="63" t="s">
        <v>586</v>
      </c>
      <c r="BB131" s="71" t="e">
        <f>SUMIFS([1]Form!$F$8:$F$21,[1]Form!$J$8:$J$21,K131)</f>
        <v>#VALUE!</v>
      </c>
      <c r="BC131" s="71"/>
      <c r="BD131" s="71"/>
    </row>
    <row r="132" spans="1:56" hidden="1" x14ac:dyDescent="0.25">
      <c r="A132" s="24">
        <f>IF(B132="","",SUBTOTAL(3,$B$4:B132))</f>
        <v>0</v>
      </c>
      <c r="B132" s="25" t="s">
        <v>569</v>
      </c>
      <c r="C132" s="25" t="str">
        <f t="shared" si="30"/>
        <v>Shipment 1 PAR-550-22 Main</v>
      </c>
      <c r="D132" s="25" t="s">
        <v>570</v>
      </c>
      <c r="E132" s="25" t="s">
        <v>571</v>
      </c>
      <c r="F132" s="25"/>
      <c r="G132" s="65">
        <v>46393</v>
      </c>
      <c r="H132" s="25" t="s">
        <v>572</v>
      </c>
      <c r="I132" s="25" t="s">
        <v>577</v>
      </c>
      <c r="J132" s="26" t="s">
        <v>622</v>
      </c>
      <c r="K132" s="27" t="s">
        <v>267</v>
      </c>
      <c r="L132" s="28" t="s">
        <v>268</v>
      </c>
      <c r="M132" s="28" t="s">
        <v>247</v>
      </c>
      <c r="N132" s="25">
        <v>1</v>
      </c>
      <c r="O132" s="29">
        <v>1883</v>
      </c>
      <c r="P132" s="29">
        <v>1883</v>
      </c>
      <c r="Q132" s="25" t="s">
        <v>516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1"/>
        <v>1883</v>
      </c>
      <c r="AF132" s="32">
        <f t="shared" si="32"/>
        <v>0</v>
      </c>
      <c r="AG132" s="30"/>
      <c r="AH132" s="33">
        <v>1</v>
      </c>
      <c r="AI132" s="34">
        <f t="shared" si="33"/>
        <v>1883</v>
      </c>
      <c r="AJ132" s="35">
        <v>46157</v>
      </c>
      <c r="AK132" s="30">
        <v>1</v>
      </c>
      <c r="AL132" s="36">
        <f t="shared" si="34"/>
        <v>1883</v>
      </c>
      <c r="AM132" s="35">
        <v>46165</v>
      </c>
      <c r="AN132" s="30">
        <v>1</v>
      </c>
      <c r="AO132" s="36">
        <f t="shared" si="35"/>
        <v>1883</v>
      </c>
      <c r="AP132" s="35"/>
      <c r="AQ132" s="30"/>
      <c r="AR132" s="36">
        <f t="shared" si="36"/>
        <v>0</v>
      </c>
      <c r="AS132" s="27" t="s">
        <v>617</v>
      </c>
      <c r="AT132" s="37">
        <v>46190</v>
      </c>
      <c r="AU132" s="30">
        <v>1</v>
      </c>
      <c r="AV132" s="36">
        <f t="shared" si="37"/>
        <v>1883</v>
      </c>
      <c r="AW132" s="35">
        <v>46192</v>
      </c>
      <c r="AX132" s="30">
        <v>1</v>
      </c>
      <c r="AY132" s="32">
        <f t="shared" si="38"/>
        <v>1883</v>
      </c>
      <c r="AZ132" s="30" t="s">
        <v>616</v>
      </c>
      <c r="BA132" s="63" t="s">
        <v>614</v>
      </c>
      <c r="BB132" s="71"/>
      <c r="BC132" s="71"/>
      <c r="BD132" s="71"/>
    </row>
    <row r="133" spans="1:56" hidden="1" x14ac:dyDescent="0.25">
      <c r="A133" s="24">
        <f>IF(B133="","",SUBTOTAL(3,$B$4:B133))</f>
        <v>0</v>
      </c>
      <c r="B133" s="25" t="s">
        <v>569</v>
      </c>
      <c r="C133" s="25" t="str">
        <f t="shared" si="30"/>
        <v>Shipment 1 PAR-550-22 Main</v>
      </c>
      <c r="D133" s="25" t="s">
        <v>570</v>
      </c>
      <c r="E133" s="25" t="s">
        <v>571</v>
      </c>
      <c r="F133" s="25"/>
      <c r="G133" s="65">
        <v>46393</v>
      </c>
      <c r="H133" s="25" t="s">
        <v>572</v>
      </c>
      <c r="I133" s="25" t="s">
        <v>578</v>
      </c>
      <c r="J133" s="26" t="s">
        <v>623</v>
      </c>
      <c r="K133" s="27" t="s">
        <v>269</v>
      </c>
      <c r="L133" s="28" t="s">
        <v>270</v>
      </c>
      <c r="M133" s="28" t="s">
        <v>247</v>
      </c>
      <c r="N133" s="25">
        <v>1</v>
      </c>
      <c r="O133" s="29">
        <v>1062.3000000000002</v>
      </c>
      <c r="P133" s="29">
        <v>1062.3000000000002</v>
      </c>
      <c r="Q133" s="25" t="s">
        <v>517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1"/>
        <v>1062.3000000000002</v>
      </c>
      <c r="AF133" s="32">
        <f t="shared" si="32"/>
        <v>0</v>
      </c>
      <c r="AG133" s="30"/>
      <c r="AH133" s="33">
        <v>1</v>
      </c>
      <c r="AI133" s="34">
        <f t="shared" si="33"/>
        <v>1062.3000000000002</v>
      </c>
      <c r="AJ133" s="35">
        <v>46148</v>
      </c>
      <c r="AK133" s="30">
        <v>1</v>
      </c>
      <c r="AL133" s="36">
        <f t="shared" si="34"/>
        <v>1062.3000000000002</v>
      </c>
      <c r="AM133" s="35">
        <v>46155</v>
      </c>
      <c r="AN133" s="30">
        <v>1</v>
      </c>
      <c r="AO133" s="36">
        <f t="shared" si="35"/>
        <v>1062.3000000000002</v>
      </c>
      <c r="AP133" s="35"/>
      <c r="AQ133" s="30"/>
      <c r="AR133" s="36">
        <f t="shared" si="36"/>
        <v>0</v>
      </c>
      <c r="AS133" s="27" t="s">
        <v>579</v>
      </c>
      <c r="AT133" s="37">
        <v>46161</v>
      </c>
      <c r="AU133" s="30">
        <v>1</v>
      </c>
      <c r="AV133" s="36">
        <f t="shared" si="37"/>
        <v>1062.3000000000002</v>
      </c>
      <c r="AW133" s="35">
        <v>46167</v>
      </c>
      <c r="AX133" s="30">
        <v>1</v>
      </c>
      <c r="AY133" s="32">
        <f t="shared" si="38"/>
        <v>1062.3000000000002</v>
      </c>
      <c r="AZ133" s="30" t="s">
        <v>580</v>
      </c>
      <c r="BA133" s="63" t="s">
        <v>586</v>
      </c>
      <c r="BB133" s="71" t="e">
        <f>SUMIFS([1]Form!$F$8:$F$21,[1]Form!$J$8:$J$21,K133)</f>
        <v>#VALUE!</v>
      </c>
      <c r="BC133" s="71"/>
      <c r="BD133" s="71"/>
    </row>
    <row r="134" spans="1:56" hidden="1" x14ac:dyDescent="0.25">
      <c r="A134" s="24">
        <f>IF(B134="","",SUBTOTAL(3,$B$4:B134))</f>
        <v>0</v>
      </c>
      <c r="B134" s="25" t="s">
        <v>569</v>
      </c>
      <c r="C134" s="25" t="str">
        <f t="shared" si="30"/>
        <v>Shipment 1 PAR-550-22 Main</v>
      </c>
      <c r="D134" s="25" t="s">
        <v>570</v>
      </c>
      <c r="E134" s="25" t="s">
        <v>571</v>
      </c>
      <c r="F134" s="25"/>
      <c r="G134" s="65">
        <v>46393</v>
      </c>
      <c r="H134" s="25" t="s">
        <v>572</v>
      </c>
      <c r="I134" s="25" t="s">
        <v>578</v>
      </c>
      <c r="J134" s="26" t="s">
        <v>623</v>
      </c>
      <c r="K134" s="27" t="s">
        <v>269</v>
      </c>
      <c r="L134" s="28" t="s">
        <v>271</v>
      </c>
      <c r="M134" s="28" t="s">
        <v>247</v>
      </c>
      <c r="N134" s="25">
        <v>1</v>
      </c>
      <c r="O134" s="29">
        <v>1062.3000000000002</v>
      </c>
      <c r="P134" s="29">
        <v>1062.3000000000002</v>
      </c>
      <c r="Q134" s="25" t="s">
        <v>517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1"/>
        <v>1062.3000000000002</v>
      </c>
      <c r="AF134" s="32">
        <f t="shared" si="32"/>
        <v>0</v>
      </c>
      <c r="AG134" s="30"/>
      <c r="AH134" s="33">
        <v>1</v>
      </c>
      <c r="AI134" s="34">
        <f t="shared" si="33"/>
        <v>1062.3000000000002</v>
      </c>
      <c r="AJ134" s="35">
        <v>46148</v>
      </c>
      <c r="AK134" s="30">
        <v>1</v>
      </c>
      <c r="AL134" s="36">
        <f t="shared" si="34"/>
        <v>1062.3000000000002</v>
      </c>
      <c r="AM134" s="35">
        <v>46155</v>
      </c>
      <c r="AN134" s="30">
        <v>1</v>
      </c>
      <c r="AO134" s="36">
        <f t="shared" si="35"/>
        <v>1062.3000000000002</v>
      </c>
      <c r="AP134" s="35"/>
      <c r="AQ134" s="30"/>
      <c r="AR134" s="36">
        <f t="shared" si="36"/>
        <v>0</v>
      </c>
      <c r="AS134" s="27" t="s">
        <v>579</v>
      </c>
      <c r="AT134" s="37">
        <v>46161</v>
      </c>
      <c r="AU134" s="30">
        <v>1</v>
      </c>
      <c r="AV134" s="36">
        <f t="shared" si="37"/>
        <v>1062.3000000000002</v>
      </c>
      <c r="AW134" s="35">
        <v>46167</v>
      </c>
      <c r="AX134" s="30">
        <v>1</v>
      </c>
      <c r="AY134" s="32">
        <f t="shared" si="38"/>
        <v>1062.3000000000002</v>
      </c>
      <c r="AZ134" s="30" t="s">
        <v>580</v>
      </c>
      <c r="BA134" s="63" t="s">
        <v>586</v>
      </c>
      <c r="BB134" s="71" t="e">
        <f>SUMIFS([1]Form!$F$8:$F$21,[1]Form!$J$8:$J$21,K134)</f>
        <v>#VALUE!</v>
      </c>
      <c r="BC134" s="71"/>
      <c r="BD134" s="71"/>
    </row>
    <row r="135" spans="1:56" hidden="1" x14ac:dyDescent="0.25">
      <c r="A135" s="24">
        <f>IF(B135="","",SUBTOTAL(3,$B$4:B135))</f>
        <v>0</v>
      </c>
      <c r="B135" s="25" t="s">
        <v>569</v>
      </c>
      <c r="C135" s="25" t="str">
        <f t="shared" si="30"/>
        <v>Shipment 1 PAR-550-22 Main</v>
      </c>
      <c r="D135" s="25" t="s">
        <v>570</v>
      </c>
      <c r="E135" s="25" t="s">
        <v>571</v>
      </c>
      <c r="F135" s="25"/>
      <c r="G135" s="65">
        <v>46393</v>
      </c>
      <c r="H135" s="25" t="s">
        <v>572</v>
      </c>
      <c r="I135" s="25" t="s">
        <v>578</v>
      </c>
      <c r="J135" s="26" t="s">
        <v>623</v>
      </c>
      <c r="K135" s="27" t="s">
        <v>272</v>
      </c>
      <c r="L135" s="28" t="s">
        <v>273</v>
      </c>
      <c r="M135" s="28" t="s">
        <v>247</v>
      </c>
      <c r="N135" s="25">
        <v>1</v>
      </c>
      <c r="O135" s="29">
        <v>864.19999999999993</v>
      </c>
      <c r="P135" s="29">
        <v>864.19999999999993</v>
      </c>
      <c r="Q135" s="25" t="s">
        <v>518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1"/>
        <v>864.19999999999993</v>
      </c>
      <c r="AF135" s="32">
        <f t="shared" si="32"/>
        <v>0</v>
      </c>
      <c r="AG135" s="30"/>
      <c r="AH135" s="33">
        <v>1</v>
      </c>
      <c r="AI135" s="34">
        <f t="shared" si="33"/>
        <v>864.19999999999993</v>
      </c>
      <c r="AJ135" s="35">
        <v>46149</v>
      </c>
      <c r="AK135" s="30">
        <v>1</v>
      </c>
      <c r="AL135" s="36">
        <f t="shared" si="34"/>
        <v>864.19999999999993</v>
      </c>
      <c r="AM135" s="35">
        <v>46156</v>
      </c>
      <c r="AN135" s="30">
        <v>1</v>
      </c>
      <c r="AO135" s="36">
        <f t="shared" si="35"/>
        <v>864.19999999999993</v>
      </c>
      <c r="AP135" s="35"/>
      <c r="AQ135" s="30"/>
      <c r="AR135" s="36">
        <f t="shared" si="36"/>
        <v>0</v>
      </c>
      <c r="AS135" s="27" t="s">
        <v>579</v>
      </c>
      <c r="AT135" s="37">
        <v>46161</v>
      </c>
      <c r="AU135" s="30">
        <v>1</v>
      </c>
      <c r="AV135" s="36">
        <f t="shared" si="37"/>
        <v>864.19999999999993</v>
      </c>
      <c r="AW135" s="35">
        <v>46167</v>
      </c>
      <c r="AX135" s="30">
        <v>1</v>
      </c>
      <c r="AY135" s="32">
        <f t="shared" si="38"/>
        <v>864.19999999999993</v>
      </c>
      <c r="AZ135" s="30" t="s">
        <v>580</v>
      </c>
      <c r="BA135" s="63" t="s">
        <v>586</v>
      </c>
      <c r="BB135" s="71" t="e">
        <f>SUMIFS([1]Form!$F$8:$F$21,[1]Form!$J$8:$J$21,K135)</f>
        <v>#VALUE!</v>
      </c>
      <c r="BC135" s="71"/>
      <c r="BD135" s="71"/>
    </row>
    <row r="136" spans="1:56" hidden="1" x14ac:dyDescent="0.25">
      <c r="A136" s="24">
        <f>IF(B136="","",SUBTOTAL(3,$B$4:B136))</f>
        <v>0</v>
      </c>
      <c r="B136" s="25" t="s">
        <v>569</v>
      </c>
      <c r="C136" s="25" t="str">
        <f t="shared" si="30"/>
        <v>Shipment 1 PAR-550-22 Main</v>
      </c>
      <c r="D136" s="25" t="s">
        <v>570</v>
      </c>
      <c r="E136" s="25" t="s">
        <v>571</v>
      </c>
      <c r="F136" s="25"/>
      <c r="G136" s="65">
        <v>46393</v>
      </c>
      <c r="H136" s="25" t="s">
        <v>572</v>
      </c>
      <c r="I136" s="25" t="s">
        <v>575</v>
      </c>
      <c r="J136" s="26" t="s">
        <v>623</v>
      </c>
      <c r="K136" s="27" t="s">
        <v>274</v>
      </c>
      <c r="L136" s="28" t="s">
        <v>275</v>
      </c>
      <c r="M136" s="28" t="s">
        <v>247</v>
      </c>
      <c r="N136" s="25">
        <v>1</v>
      </c>
      <c r="O136" s="29">
        <v>782.19999999999993</v>
      </c>
      <c r="P136" s="29">
        <v>782.19999999999993</v>
      </c>
      <c r="Q136" s="25" t="s">
        <v>519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1"/>
        <v>782.2</v>
      </c>
      <c r="AF136" s="32">
        <f t="shared" si="32"/>
        <v>0</v>
      </c>
      <c r="AG136" s="30"/>
      <c r="AH136" s="33">
        <f>INDEX([2]M296PAR55022!$X:$X,MATCH(K136,[2]M296PAR55022!$B:$B,0))</f>
        <v>1</v>
      </c>
      <c r="AI136" s="34">
        <f t="shared" si="33"/>
        <v>782.19999999999993</v>
      </c>
      <c r="AJ136" s="35">
        <v>46157</v>
      </c>
      <c r="AK136" s="30">
        <v>1</v>
      </c>
      <c r="AL136" s="36">
        <f t="shared" si="34"/>
        <v>782.19999999999993</v>
      </c>
      <c r="AM136" s="35">
        <v>46164</v>
      </c>
      <c r="AN136" s="30">
        <v>1</v>
      </c>
      <c r="AO136" s="36">
        <f t="shared" si="35"/>
        <v>782.19999999999993</v>
      </c>
      <c r="AP136" s="35"/>
      <c r="AQ136" s="30"/>
      <c r="AR136" s="36">
        <f t="shared" si="36"/>
        <v>0</v>
      </c>
      <c r="AS136" s="27" t="s">
        <v>582</v>
      </c>
      <c r="AT136" s="37">
        <v>46164</v>
      </c>
      <c r="AU136" s="30">
        <v>1</v>
      </c>
      <c r="AV136" s="36">
        <f t="shared" si="37"/>
        <v>782.19999999999993</v>
      </c>
      <c r="AW136" s="35">
        <v>46167</v>
      </c>
      <c r="AX136" s="30">
        <v>1</v>
      </c>
      <c r="AY136" s="32">
        <f t="shared" si="38"/>
        <v>782.19999999999993</v>
      </c>
      <c r="AZ136" s="30" t="s">
        <v>580</v>
      </c>
      <c r="BA136" s="63" t="s">
        <v>581</v>
      </c>
      <c r="BB136" s="71" t="e">
        <f>SUMIFS([1]Form!$F$8:$F$21,[1]Form!$J$8:$J$21,K136)</f>
        <v>#VALUE!</v>
      </c>
      <c r="BC136" s="71"/>
      <c r="BD136" s="71"/>
    </row>
    <row r="137" spans="1:56" hidden="1" x14ac:dyDescent="0.25">
      <c r="A137" s="24">
        <f>IF(B137="","",SUBTOTAL(3,$B$4:B137))</f>
        <v>0</v>
      </c>
      <c r="B137" s="25" t="s">
        <v>569</v>
      </c>
      <c r="C137" s="25" t="str">
        <f t="shared" si="30"/>
        <v>Shipment 1 PAR-550-22 Main</v>
      </c>
      <c r="D137" s="25" t="s">
        <v>570</v>
      </c>
      <c r="E137" s="25" t="s">
        <v>571</v>
      </c>
      <c r="F137" s="25"/>
      <c r="G137" s="65">
        <v>46393</v>
      </c>
      <c r="H137" s="25" t="s">
        <v>572</v>
      </c>
      <c r="I137" s="25" t="s">
        <v>578</v>
      </c>
      <c r="J137" s="26" t="s">
        <v>623</v>
      </c>
      <c r="K137" s="27" t="s">
        <v>276</v>
      </c>
      <c r="L137" s="28" t="s">
        <v>277</v>
      </c>
      <c r="M137" s="28" t="s">
        <v>247</v>
      </c>
      <c r="N137" s="25">
        <v>1</v>
      </c>
      <c r="O137" s="29">
        <v>1126.3500000000001</v>
      </c>
      <c r="P137" s="29">
        <v>1126.3500000000001</v>
      </c>
      <c r="Q137" s="25" t="s">
        <v>520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1"/>
        <v>1126.3500000000001</v>
      </c>
      <c r="AF137" s="32">
        <f t="shared" si="32"/>
        <v>0</v>
      </c>
      <c r="AG137" s="30"/>
      <c r="AH137" s="33">
        <v>1</v>
      </c>
      <c r="AI137" s="34">
        <f t="shared" si="33"/>
        <v>1126.3500000000001</v>
      </c>
      <c r="AJ137" s="35">
        <v>46148</v>
      </c>
      <c r="AK137" s="30">
        <v>1</v>
      </c>
      <c r="AL137" s="36">
        <f t="shared" si="34"/>
        <v>1126.3500000000001</v>
      </c>
      <c r="AM137" s="35">
        <v>46155</v>
      </c>
      <c r="AN137" s="30">
        <v>1</v>
      </c>
      <c r="AO137" s="36">
        <f t="shared" si="35"/>
        <v>1126.3500000000001</v>
      </c>
      <c r="AP137" s="35"/>
      <c r="AQ137" s="30"/>
      <c r="AR137" s="36">
        <f t="shared" si="36"/>
        <v>0</v>
      </c>
      <c r="AS137" s="27" t="s">
        <v>579</v>
      </c>
      <c r="AT137" s="37">
        <v>46161</v>
      </c>
      <c r="AU137" s="30">
        <v>1</v>
      </c>
      <c r="AV137" s="36">
        <f t="shared" si="37"/>
        <v>1126.3500000000001</v>
      </c>
      <c r="AW137" s="35">
        <v>46167</v>
      </c>
      <c r="AX137" s="30">
        <v>1</v>
      </c>
      <c r="AY137" s="32">
        <f t="shared" si="38"/>
        <v>1126.3500000000001</v>
      </c>
      <c r="AZ137" s="30" t="s">
        <v>580</v>
      </c>
      <c r="BA137" s="63" t="s">
        <v>586</v>
      </c>
      <c r="BB137" s="71" t="e">
        <f>SUMIFS([1]Form!$F$8:$F$21,[1]Form!$J$8:$J$21,K137)</f>
        <v>#VALUE!</v>
      </c>
      <c r="BC137" s="71"/>
      <c r="BD137" s="71"/>
    </row>
    <row r="138" spans="1:56" hidden="1" x14ac:dyDescent="0.25">
      <c r="A138" s="24">
        <f>IF(B138="","",SUBTOTAL(3,$B$4:B138))</f>
        <v>0</v>
      </c>
      <c r="B138" s="25" t="s">
        <v>569</v>
      </c>
      <c r="C138" s="25" t="str">
        <f t="shared" si="30"/>
        <v>Shipment 1 PAR-550-22 Main</v>
      </c>
      <c r="D138" s="25" t="s">
        <v>570</v>
      </c>
      <c r="E138" s="25" t="s">
        <v>571</v>
      </c>
      <c r="F138" s="25"/>
      <c r="G138" s="65">
        <v>46393</v>
      </c>
      <c r="H138" s="25" t="s">
        <v>572</v>
      </c>
      <c r="I138" s="25" t="s">
        <v>578</v>
      </c>
      <c r="J138" s="26" t="s">
        <v>623</v>
      </c>
      <c r="K138" s="27" t="s">
        <v>276</v>
      </c>
      <c r="L138" s="28" t="s">
        <v>278</v>
      </c>
      <c r="M138" s="28" t="s">
        <v>247</v>
      </c>
      <c r="N138" s="25">
        <v>1</v>
      </c>
      <c r="O138" s="29">
        <v>1126.3500000000001</v>
      </c>
      <c r="P138" s="29">
        <v>1126.3500000000001</v>
      </c>
      <c r="Q138" s="25" t="s">
        <v>520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1"/>
        <v>1126.3500000000001</v>
      </c>
      <c r="AF138" s="32">
        <f t="shared" si="32"/>
        <v>0</v>
      </c>
      <c r="AG138" s="30"/>
      <c r="AH138" s="33">
        <v>1</v>
      </c>
      <c r="AI138" s="34">
        <f t="shared" si="33"/>
        <v>1126.3500000000001</v>
      </c>
      <c r="AJ138" s="35">
        <v>46148</v>
      </c>
      <c r="AK138" s="30">
        <v>1</v>
      </c>
      <c r="AL138" s="36">
        <f t="shared" si="34"/>
        <v>1126.3500000000001</v>
      </c>
      <c r="AM138" s="35">
        <v>46155</v>
      </c>
      <c r="AN138" s="30">
        <v>1</v>
      </c>
      <c r="AO138" s="36">
        <f t="shared" si="35"/>
        <v>1126.3500000000001</v>
      </c>
      <c r="AP138" s="35"/>
      <c r="AQ138" s="30"/>
      <c r="AR138" s="36">
        <f t="shared" si="36"/>
        <v>0</v>
      </c>
      <c r="AS138" s="27" t="s">
        <v>579</v>
      </c>
      <c r="AT138" s="37">
        <v>46161</v>
      </c>
      <c r="AU138" s="30">
        <v>1</v>
      </c>
      <c r="AV138" s="36">
        <f t="shared" si="37"/>
        <v>1126.3500000000001</v>
      </c>
      <c r="AW138" s="35">
        <v>46167</v>
      </c>
      <c r="AX138" s="30">
        <v>1</v>
      </c>
      <c r="AY138" s="32">
        <f t="shared" si="38"/>
        <v>1126.3500000000001</v>
      </c>
      <c r="AZ138" s="30" t="s">
        <v>580</v>
      </c>
      <c r="BA138" s="63" t="s">
        <v>586</v>
      </c>
      <c r="BB138" s="71" t="e">
        <f>SUMIFS([1]Form!$F$8:$F$21,[1]Form!$J$8:$J$21,K138)</f>
        <v>#VALUE!</v>
      </c>
      <c r="BC138" s="71"/>
      <c r="BD138" s="71"/>
    </row>
    <row r="139" spans="1:56" hidden="1" x14ac:dyDescent="0.25">
      <c r="A139" s="24">
        <f>IF(B139="","",SUBTOTAL(3,$B$4:B139))</f>
        <v>0</v>
      </c>
      <c r="B139" s="25" t="s">
        <v>569</v>
      </c>
      <c r="C139" s="25" t="str">
        <f t="shared" si="30"/>
        <v>Shipment 1 PAR-550-22 Main</v>
      </c>
      <c r="D139" s="25" t="s">
        <v>570</v>
      </c>
      <c r="E139" s="25" t="s">
        <v>571</v>
      </c>
      <c r="F139" s="25"/>
      <c r="G139" s="65">
        <v>46393</v>
      </c>
      <c r="H139" s="25" t="s">
        <v>572</v>
      </c>
      <c r="I139" s="25" t="s">
        <v>575</v>
      </c>
      <c r="J139" s="26" t="s">
        <v>623</v>
      </c>
      <c r="K139" s="27" t="s">
        <v>279</v>
      </c>
      <c r="L139" s="28" t="s">
        <v>280</v>
      </c>
      <c r="M139" s="28" t="s">
        <v>247</v>
      </c>
      <c r="N139" s="25">
        <v>1</v>
      </c>
      <c r="O139" s="29">
        <v>728.4</v>
      </c>
      <c r="P139" s="29">
        <v>728.4</v>
      </c>
      <c r="Q139" s="25" t="s">
        <v>515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1"/>
        <v>728.4</v>
      </c>
      <c r="AF139" s="32">
        <f t="shared" si="32"/>
        <v>0</v>
      </c>
      <c r="AG139" s="30"/>
      <c r="AH139" s="33">
        <v>1</v>
      </c>
      <c r="AI139" s="34">
        <f t="shared" si="33"/>
        <v>728.4</v>
      </c>
      <c r="AJ139" s="35">
        <v>46154</v>
      </c>
      <c r="AK139" s="30">
        <v>1</v>
      </c>
      <c r="AL139" s="36">
        <f t="shared" si="34"/>
        <v>728.4</v>
      </c>
      <c r="AM139" s="35">
        <v>46160</v>
      </c>
      <c r="AN139" s="30">
        <v>1</v>
      </c>
      <c r="AO139" s="36">
        <f t="shared" si="35"/>
        <v>728.4</v>
      </c>
      <c r="AP139" s="35"/>
      <c r="AQ139" s="30"/>
      <c r="AR139" s="36">
        <f t="shared" si="36"/>
        <v>0</v>
      </c>
      <c r="AS139" s="27" t="s">
        <v>579</v>
      </c>
      <c r="AT139" s="37">
        <v>46161</v>
      </c>
      <c r="AU139" s="30">
        <v>1</v>
      </c>
      <c r="AV139" s="36">
        <f t="shared" si="37"/>
        <v>728.4</v>
      </c>
      <c r="AW139" s="35">
        <v>46167</v>
      </c>
      <c r="AX139" s="30">
        <v>1</v>
      </c>
      <c r="AY139" s="32">
        <f t="shared" si="38"/>
        <v>728.4</v>
      </c>
      <c r="AZ139" s="30" t="s">
        <v>580</v>
      </c>
      <c r="BA139" s="63" t="s">
        <v>586</v>
      </c>
      <c r="BB139" s="71" t="e">
        <f>SUMIFS([1]Form!$F$8:$F$21,[1]Form!$J$8:$J$21,K139)</f>
        <v>#VALUE!</v>
      </c>
      <c r="BC139" s="71"/>
      <c r="BD139" s="71"/>
    </row>
    <row r="140" spans="1:56" hidden="1" x14ac:dyDescent="0.25">
      <c r="A140" s="24">
        <f>IF(B140="","",SUBTOTAL(3,$B$4:B140))</f>
        <v>0</v>
      </c>
      <c r="B140" s="25" t="s">
        <v>569</v>
      </c>
      <c r="C140" s="25" t="str">
        <f t="shared" si="30"/>
        <v>Shipment 1 PAR-550-22 Main</v>
      </c>
      <c r="D140" s="25" t="s">
        <v>570</v>
      </c>
      <c r="E140" s="25" t="s">
        <v>571</v>
      </c>
      <c r="F140" s="25"/>
      <c r="G140" s="65">
        <v>46393</v>
      </c>
      <c r="H140" s="25" t="s">
        <v>572</v>
      </c>
      <c r="I140" s="25" t="s">
        <v>575</v>
      </c>
      <c r="J140" s="26" t="s">
        <v>623</v>
      </c>
      <c r="K140" s="27" t="s">
        <v>281</v>
      </c>
      <c r="L140" s="28" t="s">
        <v>282</v>
      </c>
      <c r="M140" s="28" t="s">
        <v>247</v>
      </c>
      <c r="N140" s="25">
        <v>1</v>
      </c>
      <c r="O140" s="29">
        <v>403</v>
      </c>
      <c r="P140" s="29">
        <v>403</v>
      </c>
      <c r="Q140" s="25" t="s">
        <v>521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1"/>
        <v>403.00000000000006</v>
      </c>
      <c r="AF140" s="32">
        <f t="shared" si="32"/>
        <v>0</v>
      </c>
      <c r="AG140" s="30"/>
      <c r="AH140" s="33">
        <v>1</v>
      </c>
      <c r="AI140" s="34">
        <f t="shared" si="33"/>
        <v>403</v>
      </c>
      <c r="AJ140" s="35">
        <v>46150</v>
      </c>
      <c r="AK140" s="30">
        <v>1</v>
      </c>
      <c r="AL140" s="36">
        <f t="shared" si="34"/>
        <v>403</v>
      </c>
      <c r="AM140" s="35">
        <v>46158</v>
      </c>
      <c r="AN140" s="30">
        <v>1</v>
      </c>
      <c r="AO140" s="36">
        <f t="shared" si="35"/>
        <v>403</v>
      </c>
      <c r="AP140" s="35"/>
      <c r="AQ140" s="30"/>
      <c r="AR140" s="36">
        <f t="shared" si="36"/>
        <v>0</v>
      </c>
      <c r="AS140" s="27" t="s">
        <v>579</v>
      </c>
      <c r="AT140" s="37">
        <v>46161</v>
      </c>
      <c r="AU140" s="30">
        <v>1</v>
      </c>
      <c r="AV140" s="36">
        <f t="shared" si="37"/>
        <v>403</v>
      </c>
      <c r="AW140" s="35">
        <v>46167</v>
      </c>
      <c r="AX140" s="30">
        <v>1</v>
      </c>
      <c r="AY140" s="32">
        <f t="shared" si="38"/>
        <v>403</v>
      </c>
      <c r="AZ140" s="30" t="s">
        <v>580</v>
      </c>
      <c r="BA140" s="63" t="s">
        <v>586</v>
      </c>
      <c r="BB140" s="71" t="e">
        <f>SUMIFS([1]Form!$F$8:$F$21,[1]Form!$J$8:$J$21,K140)</f>
        <v>#VALUE!</v>
      </c>
      <c r="BC140" s="71"/>
      <c r="BD140" s="71"/>
    </row>
    <row r="141" spans="1:56" hidden="1" x14ac:dyDescent="0.25">
      <c r="A141" s="24">
        <f>IF(B141="","",SUBTOTAL(3,$B$4:B141))</f>
        <v>0</v>
      </c>
      <c r="B141" s="25" t="s">
        <v>569</v>
      </c>
      <c r="C141" s="25" t="str">
        <f t="shared" si="30"/>
        <v>Shipment 1 PAR-550-22 Main</v>
      </c>
      <c r="D141" s="25" t="s">
        <v>570</v>
      </c>
      <c r="E141" s="25" t="s">
        <v>571</v>
      </c>
      <c r="F141" s="25"/>
      <c r="G141" s="65">
        <v>46393</v>
      </c>
      <c r="H141" s="25" t="s">
        <v>572</v>
      </c>
      <c r="I141" s="25" t="s">
        <v>575</v>
      </c>
      <c r="J141" s="26" t="s">
        <v>622</v>
      </c>
      <c r="K141" s="27" t="s">
        <v>283</v>
      </c>
      <c r="L141" s="28" t="s">
        <v>284</v>
      </c>
      <c r="M141" s="28" t="s">
        <v>247</v>
      </c>
      <c r="N141" s="25">
        <v>1</v>
      </c>
      <c r="O141" s="29">
        <v>850.80000000000007</v>
      </c>
      <c r="P141" s="29">
        <v>850.80000000000007</v>
      </c>
      <c r="Q141" s="25" t="s">
        <v>522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1"/>
        <v>850.80000000000007</v>
      </c>
      <c r="AF141" s="32">
        <f t="shared" si="32"/>
        <v>0</v>
      </c>
      <c r="AG141" s="30"/>
      <c r="AH141" s="33">
        <v>1</v>
      </c>
      <c r="AI141" s="34">
        <f t="shared" si="33"/>
        <v>850.80000000000007</v>
      </c>
      <c r="AJ141" s="35">
        <v>46158</v>
      </c>
      <c r="AK141" s="30">
        <v>1</v>
      </c>
      <c r="AL141" s="36">
        <f t="shared" si="34"/>
        <v>850.80000000000007</v>
      </c>
      <c r="AM141" s="35">
        <v>46165</v>
      </c>
      <c r="AN141" s="30">
        <v>1</v>
      </c>
      <c r="AO141" s="36">
        <f t="shared" si="35"/>
        <v>850.80000000000007</v>
      </c>
      <c r="AP141" s="35"/>
      <c r="AQ141" s="30"/>
      <c r="AR141" s="36">
        <f t="shared" si="36"/>
        <v>0</v>
      </c>
      <c r="AS141" s="27" t="s">
        <v>618</v>
      </c>
      <c r="AT141" s="37">
        <v>46199</v>
      </c>
      <c r="AU141" s="30">
        <v>1</v>
      </c>
      <c r="AV141" s="36">
        <f t="shared" si="37"/>
        <v>850.80000000000007</v>
      </c>
      <c r="AW141" s="35">
        <v>46203</v>
      </c>
      <c r="AX141" s="30">
        <v>1</v>
      </c>
      <c r="AY141" s="32">
        <f t="shared" si="38"/>
        <v>850.80000000000007</v>
      </c>
      <c r="AZ141" s="30" t="s">
        <v>616</v>
      </c>
      <c r="BA141" s="63" t="s">
        <v>619</v>
      </c>
      <c r="BB141" s="71"/>
      <c r="BC141" s="71"/>
      <c r="BD141" s="71"/>
    </row>
    <row r="142" spans="1:56" hidden="1" x14ac:dyDescent="0.25">
      <c r="A142" s="24">
        <f>IF(B142="","",SUBTOTAL(3,$B$4:B142))</f>
        <v>0</v>
      </c>
      <c r="B142" s="25" t="s">
        <v>569</v>
      </c>
      <c r="C142" s="25" t="str">
        <f t="shared" si="30"/>
        <v>Shipment 1 PAR-550-22 Main</v>
      </c>
      <c r="D142" s="25" t="s">
        <v>570</v>
      </c>
      <c r="E142" s="25" t="s">
        <v>571</v>
      </c>
      <c r="F142" s="25"/>
      <c r="G142" s="65">
        <v>46393</v>
      </c>
      <c r="H142" s="25" t="s">
        <v>572</v>
      </c>
      <c r="I142" s="25" t="s">
        <v>575</v>
      </c>
      <c r="J142" s="26" t="s">
        <v>623</v>
      </c>
      <c r="K142" s="27" t="s">
        <v>285</v>
      </c>
      <c r="L142" s="28" t="s">
        <v>286</v>
      </c>
      <c r="M142" s="28" t="s">
        <v>247</v>
      </c>
      <c r="N142" s="25">
        <v>1</v>
      </c>
      <c r="O142" s="29">
        <v>586.19999999999993</v>
      </c>
      <c r="P142" s="29">
        <v>586.19999999999993</v>
      </c>
      <c r="Q142" s="25" t="s">
        <v>523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1"/>
        <v>586.19999999999993</v>
      </c>
      <c r="AF142" s="32">
        <f t="shared" si="32"/>
        <v>0</v>
      </c>
      <c r="AG142" s="30"/>
      <c r="AH142" s="33">
        <v>1</v>
      </c>
      <c r="AI142" s="34">
        <f t="shared" si="33"/>
        <v>586.19999999999993</v>
      </c>
      <c r="AJ142" s="35">
        <v>46158</v>
      </c>
      <c r="AK142" s="30">
        <v>1</v>
      </c>
      <c r="AL142" s="36">
        <f t="shared" si="34"/>
        <v>586.19999999999993</v>
      </c>
      <c r="AM142" s="35">
        <v>46164</v>
      </c>
      <c r="AN142" s="30">
        <v>1</v>
      </c>
      <c r="AO142" s="36">
        <f t="shared" si="35"/>
        <v>586.19999999999993</v>
      </c>
      <c r="AP142" s="35"/>
      <c r="AQ142" s="30"/>
      <c r="AR142" s="36">
        <f t="shared" si="36"/>
        <v>0</v>
      </c>
      <c r="AS142" s="27" t="s">
        <v>582</v>
      </c>
      <c r="AT142" s="37">
        <v>46164</v>
      </c>
      <c r="AU142" s="30">
        <v>1</v>
      </c>
      <c r="AV142" s="36">
        <f t="shared" si="37"/>
        <v>586.19999999999993</v>
      </c>
      <c r="AW142" s="35">
        <v>46167</v>
      </c>
      <c r="AX142" s="30">
        <v>1</v>
      </c>
      <c r="AY142" s="32">
        <f t="shared" si="38"/>
        <v>586.19999999999993</v>
      </c>
      <c r="AZ142" s="30" t="s">
        <v>580</v>
      </c>
      <c r="BA142" s="63" t="s">
        <v>581</v>
      </c>
      <c r="BB142" s="71" t="e">
        <f>SUMIFS([1]Form!$F$8:$F$21,[1]Form!$J$8:$J$21,K142)</f>
        <v>#VALUE!</v>
      </c>
      <c r="BC142" s="71"/>
      <c r="BD142" s="71"/>
    </row>
    <row r="143" spans="1:56" hidden="1" x14ac:dyDescent="0.25">
      <c r="A143" s="24">
        <f>IF(B143="","",SUBTOTAL(3,$B$4:B143))</f>
        <v>0</v>
      </c>
      <c r="B143" s="25" t="s">
        <v>569</v>
      </c>
      <c r="C143" s="25" t="str">
        <f t="shared" si="30"/>
        <v>Shipment 1 PAR-550-22 Main</v>
      </c>
      <c r="D143" s="25" t="s">
        <v>570</v>
      </c>
      <c r="E143" s="25" t="s">
        <v>571</v>
      </c>
      <c r="F143" s="25"/>
      <c r="G143" s="65">
        <v>46393</v>
      </c>
      <c r="H143" s="25" t="s">
        <v>572</v>
      </c>
      <c r="I143" s="25" t="s">
        <v>575</v>
      </c>
      <c r="J143" s="26" t="s">
        <v>623</v>
      </c>
      <c r="K143" s="27" t="s">
        <v>287</v>
      </c>
      <c r="L143" s="28" t="s">
        <v>288</v>
      </c>
      <c r="M143" s="28" t="s">
        <v>247</v>
      </c>
      <c r="N143" s="25">
        <v>1</v>
      </c>
      <c r="O143" s="29">
        <v>610.90000000000009</v>
      </c>
      <c r="P143" s="29">
        <v>610.90000000000009</v>
      </c>
      <c r="Q143" s="25" t="s">
        <v>524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1"/>
        <v>610.90000000000009</v>
      </c>
      <c r="AF143" s="32">
        <f t="shared" si="32"/>
        <v>0</v>
      </c>
      <c r="AG143" s="30"/>
      <c r="AH143" s="33">
        <v>1</v>
      </c>
      <c r="AI143" s="34">
        <f t="shared" si="33"/>
        <v>610.90000000000009</v>
      </c>
      <c r="AJ143" s="35">
        <v>46152</v>
      </c>
      <c r="AK143" s="30">
        <v>1</v>
      </c>
      <c r="AL143" s="36">
        <f t="shared" si="34"/>
        <v>610.90000000000009</v>
      </c>
      <c r="AM143" s="35">
        <v>46158</v>
      </c>
      <c r="AN143" s="30">
        <v>1</v>
      </c>
      <c r="AO143" s="36">
        <f t="shared" si="35"/>
        <v>610.90000000000009</v>
      </c>
      <c r="AP143" s="35"/>
      <c r="AQ143" s="30"/>
      <c r="AR143" s="36">
        <f t="shared" si="36"/>
        <v>0</v>
      </c>
      <c r="AS143" s="27" t="s">
        <v>579</v>
      </c>
      <c r="AT143" s="37">
        <v>46161</v>
      </c>
      <c r="AU143" s="30">
        <v>1</v>
      </c>
      <c r="AV143" s="36">
        <f t="shared" si="37"/>
        <v>610.90000000000009</v>
      </c>
      <c r="AW143" s="35">
        <v>46167</v>
      </c>
      <c r="AX143" s="30">
        <v>1</v>
      </c>
      <c r="AY143" s="32">
        <f t="shared" si="38"/>
        <v>610.90000000000009</v>
      </c>
      <c r="AZ143" s="30" t="s">
        <v>580</v>
      </c>
      <c r="BA143" s="63" t="s">
        <v>586</v>
      </c>
      <c r="BB143" s="71" t="e">
        <f>SUMIFS([1]Form!$F$8:$F$21,[1]Form!$J$8:$J$21,K143)</f>
        <v>#VALUE!</v>
      </c>
      <c r="BC143" s="71"/>
      <c r="BD143" s="71"/>
    </row>
    <row r="144" spans="1:56" hidden="1" x14ac:dyDescent="0.25">
      <c r="A144" s="24">
        <f>IF(B144="","",SUBTOTAL(3,$B$4:B144))</f>
        <v>0</v>
      </c>
      <c r="B144" s="25" t="s">
        <v>569</v>
      </c>
      <c r="C144" s="25" t="str">
        <f t="shared" si="30"/>
        <v>Shipment 1 PAR-550-22 Main</v>
      </c>
      <c r="D144" s="25" t="s">
        <v>570</v>
      </c>
      <c r="E144" s="25" t="s">
        <v>571</v>
      </c>
      <c r="F144" s="25"/>
      <c r="G144" s="65">
        <v>46393</v>
      </c>
      <c r="H144" s="25" t="s">
        <v>572</v>
      </c>
      <c r="I144" s="25" t="s">
        <v>575</v>
      </c>
      <c r="J144" s="26" t="s">
        <v>622</v>
      </c>
      <c r="K144" s="27" t="s">
        <v>289</v>
      </c>
      <c r="L144" s="28" t="s">
        <v>290</v>
      </c>
      <c r="M144" s="28" t="s">
        <v>247</v>
      </c>
      <c r="N144" s="25">
        <v>1</v>
      </c>
      <c r="O144" s="29">
        <v>916.4</v>
      </c>
      <c r="P144" s="29">
        <v>916.4</v>
      </c>
      <c r="Q144" s="25" t="s">
        <v>525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1"/>
        <v>916.4</v>
      </c>
      <c r="AF144" s="32">
        <f t="shared" si="32"/>
        <v>0</v>
      </c>
      <c r="AG144" s="30"/>
      <c r="AH144" s="33">
        <v>1</v>
      </c>
      <c r="AI144" s="34">
        <f t="shared" si="33"/>
        <v>916.4</v>
      </c>
      <c r="AJ144" s="35">
        <v>46158</v>
      </c>
      <c r="AK144" s="30">
        <v>1</v>
      </c>
      <c r="AL144" s="36">
        <f t="shared" si="34"/>
        <v>916.4</v>
      </c>
      <c r="AM144" s="35">
        <v>46165</v>
      </c>
      <c r="AN144" s="30">
        <v>1</v>
      </c>
      <c r="AO144" s="36">
        <f t="shared" si="35"/>
        <v>916.4</v>
      </c>
      <c r="AP144" s="35"/>
      <c r="AQ144" s="30"/>
      <c r="AR144" s="36">
        <f t="shared" si="36"/>
        <v>0</v>
      </c>
      <c r="AS144" s="27" t="s">
        <v>617</v>
      </c>
      <c r="AT144" s="37">
        <v>46190</v>
      </c>
      <c r="AU144" s="30">
        <v>1</v>
      </c>
      <c r="AV144" s="36">
        <f t="shared" si="37"/>
        <v>916.4</v>
      </c>
      <c r="AW144" s="35">
        <v>46192</v>
      </c>
      <c r="AX144" s="30">
        <v>1</v>
      </c>
      <c r="AY144" s="32">
        <f t="shared" si="38"/>
        <v>916.4</v>
      </c>
      <c r="AZ144" s="30" t="s">
        <v>616</v>
      </c>
      <c r="BA144" s="63" t="s">
        <v>614</v>
      </c>
      <c r="BB144" s="71"/>
      <c r="BC144" s="71"/>
      <c r="BD144" s="71"/>
    </row>
    <row r="145" spans="1:56" hidden="1" x14ac:dyDescent="0.25">
      <c r="A145" s="24">
        <f>IF(B145="","",SUBTOTAL(3,$B$4:B145))</f>
        <v>0</v>
      </c>
      <c r="B145" s="25" t="s">
        <v>569</v>
      </c>
      <c r="C145" s="25" t="str">
        <f t="shared" si="30"/>
        <v>Shipment 1 PAR-550-22 Main</v>
      </c>
      <c r="D145" s="25" t="s">
        <v>570</v>
      </c>
      <c r="E145" s="25" t="s">
        <v>571</v>
      </c>
      <c r="F145" s="25"/>
      <c r="G145" s="65">
        <v>46393</v>
      </c>
      <c r="H145" s="25" t="s">
        <v>572</v>
      </c>
      <c r="I145" s="25" t="s">
        <v>577</v>
      </c>
      <c r="J145" s="26" t="s">
        <v>623</v>
      </c>
      <c r="K145" s="27" t="s">
        <v>291</v>
      </c>
      <c r="L145" s="28" t="s">
        <v>292</v>
      </c>
      <c r="M145" s="28" t="s">
        <v>247</v>
      </c>
      <c r="N145" s="25">
        <v>1</v>
      </c>
      <c r="O145" s="29">
        <v>1844.6999999999998</v>
      </c>
      <c r="P145" s="29">
        <v>1844.6999999999998</v>
      </c>
      <c r="Q145" s="25" t="s">
        <v>514</v>
      </c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31"/>
        <v>1844.7</v>
      </c>
      <c r="AF145" s="32">
        <f t="shared" si="32"/>
        <v>0</v>
      </c>
      <c r="AG145" s="30"/>
      <c r="AH145" s="33">
        <v>1</v>
      </c>
      <c r="AI145" s="34">
        <f t="shared" si="33"/>
        <v>1844.6999999999998</v>
      </c>
      <c r="AJ145" s="35">
        <v>46151</v>
      </c>
      <c r="AK145" s="30">
        <v>1</v>
      </c>
      <c r="AL145" s="36">
        <f t="shared" si="34"/>
        <v>1844.6999999999998</v>
      </c>
      <c r="AM145" s="35">
        <v>46158</v>
      </c>
      <c r="AN145" s="30">
        <v>1</v>
      </c>
      <c r="AO145" s="36">
        <f t="shared" si="35"/>
        <v>1844.6999999999998</v>
      </c>
      <c r="AP145" s="35"/>
      <c r="AQ145" s="30"/>
      <c r="AR145" s="36">
        <f t="shared" si="36"/>
        <v>0</v>
      </c>
      <c r="AS145" s="27" t="s">
        <v>579</v>
      </c>
      <c r="AT145" s="37">
        <v>46161</v>
      </c>
      <c r="AU145" s="30">
        <v>1</v>
      </c>
      <c r="AV145" s="36">
        <f t="shared" si="37"/>
        <v>1844.6999999999998</v>
      </c>
      <c r="AW145" s="35">
        <v>46167</v>
      </c>
      <c r="AX145" s="30">
        <v>1</v>
      </c>
      <c r="AY145" s="32">
        <f t="shared" si="38"/>
        <v>1844.6999999999998</v>
      </c>
      <c r="AZ145" s="30" t="s">
        <v>580</v>
      </c>
      <c r="BA145" s="63" t="s">
        <v>586</v>
      </c>
      <c r="BB145" s="71" t="e">
        <f>SUMIFS([1]Form!$F$8:$F$21,[1]Form!$J$8:$J$21,K145)</f>
        <v>#VALUE!</v>
      </c>
      <c r="BC145" s="71"/>
      <c r="BD145" s="71"/>
    </row>
    <row r="146" spans="1:56" hidden="1" x14ac:dyDescent="0.25">
      <c r="A146" s="24">
        <f>IF(B146="","",SUBTOTAL(3,$B$4:B146))</f>
        <v>0</v>
      </c>
      <c r="B146" s="25" t="s">
        <v>569</v>
      </c>
      <c r="C146" s="25" t="str">
        <f t="shared" si="30"/>
        <v>Shipment 1 PAR-550-22 Main</v>
      </c>
      <c r="D146" s="25" t="s">
        <v>570</v>
      </c>
      <c r="E146" s="25" t="s">
        <v>571</v>
      </c>
      <c r="F146" s="25"/>
      <c r="G146" s="65">
        <v>46393</v>
      </c>
      <c r="H146" s="25" t="s">
        <v>572</v>
      </c>
      <c r="I146" s="25" t="s">
        <v>575</v>
      </c>
      <c r="J146" s="26" t="s">
        <v>622</v>
      </c>
      <c r="K146" s="27" t="s">
        <v>293</v>
      </c>
      <c r="L146" s="28" t="s">
        <v>294</v>
      </c>
      <c r="M146" s="28" t="s">
        <v>247</v>
      </c>
      <c r="N146" s="25">
        <v>1</v>
      </c>
      <c r="O146" s="29">
        <v>766.59999999999991</v>
      </c>
      <c r="P146" s="29">
        <v>766.59999999999991</v>
      </c>
      <c r="Q146" s="25" t="s">
        <v>526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31"/>
        <v>766.59999999999991</v>
      </c>
      <c r="AF146" s="32">
        <f t="shared" si="32"/>
        <v>0</v>
      </c>
      <c r="AG146" s="30"/>
      <c r="AH146" s="33">
        <f>INDEX([2]M296PAR55022!$X:$X,MATCH(K146,[2]M296PAR55022!$B:$B,0))</f>
        <v>1</v>
      </c>
      <c r="AI146" s="34">
        <f t="shared" si="33"/>
        <v>766.59999999999991</v>
      </c>
      <c r="AJ146" s="35">
        <v>46163</v>
      </c>
      <c r="AK146" s="30">
        <v>1</v>
      </c>
      <c r="AL146" s="36">
        <f t="shared" si="34"/>
        <v>766.59999999999991</v>
      </c>
      <c r="AM146" s="35">
        <v>46172</v>
      </c>
      <c r="AN146" s="30">
        <v>1</v>
      </c>
      <c r="AO146" s="36">
        <f t="shared" si="35"/>
        <v>766.59999999999991</v>
      </c>
      <c r="AP146" s="35"/>
      <c r="AQ146" s="30"/>
      <c r="AR146" s="36">
        <f t="shared" si="36"/>
        <v>0</v>
      </c>
      <c r="AS146" s="27" t="s">
        <v>610</v>
      </c>
      <c r="AT146" s="37">
        <v>46175</v>
      </c>
      <c r="AU146" s="30">
        <v>1</v>
      </c>
      <c r="AV146" s="36">
        <f t="shared" si="37"/>
        <v>766.59999999999991</v>
      </c>
      <c r="AW146" s="35">
        <v>46177</v>
      </c>
      <c r="AX146" s="30">
        <v>1</v>
      </c>
      <c r="AY146" s="32">
        <f t="shared" ref="AY146" si="58">IFERROR(AX146*$P146/$N146,0)</f>
        <v>766.59999999999991</v>
      </c>
      <c r="AZ146" s="30" t="s">
        <v>611</v>
      </c>
      <c r="BA146" s="63" t="s">
        <v>588</v>
      </c>
      <c r="BB146" s="71" t="e">
        <f>SUMIFS([1]Form!$F$8:$F$21,[1]Form!$J$8:$J$21,K146)</f>
        <v>#VALUE!</v>
      </c>
      <c r="BC146" s="71"/>
      <c r="BD146" s="71"/>
    </row>
    <row r="147" spans="1:56" hidden="1" x14ac:dyDescent="0.25">
      <c r="A147" s="24">
        <f>IF(B147="","",SUBTOTAL(3,$B$4:B147))</f>
        <v>0</v>
      </c>
      <c r="B147" s="25" t="s">
        <v>569</v>
      </c>
      <c r="C147" s="25" t="str">
        <f t="shared" si="30"/>
        <v>Shipment 1 PAR-550-22 Main</v>
      </c>
      <c r="D147" s="25" t="s">
        <v>570</v>
      </c>
      <c r="E147" s="25" t="s">
        <v>571</v>
      </c>
      <c r="F147" s="25"/>
      <c r="G147" s="65">
        <v>46393</v>
      </c>
      <c r="H147" s="25" t="s">
        <v>572</v>
      </c>
      <c r="I147" s="25" t="s">
        <v>575</v>
      </c>
      <c r="J147" s="26" t="s">
        <v>622</v>
      </c>
      <c r="K147" s="27" t="s">
        <v>295</v>
      </c>
      <c r="L147" s="28" t="s">
        <v>296</v>
      </c>
      <c r="M147" s="28" t="s">
        <v>247</v>
      </c>
      <c r="N147" s="25">
        <v>1</v>
      </c>
      <c r="O147" s="29">
        <v>674.55</v>
      </c>
      <c r="P147" s="29">
        <v>674.55</v>
      </c>
      <c r="Q147" s="25" t="s">
        <v>527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31"/>
        <v>674.55000000000007</v>
      </c>
      <c r="AF147" s="32">
        <f t="shared" si="32"/>
        <v>0</v>
      </c>
      <c r="AG147" s="30"/>
      <c r="AH147" s="33">
        <v>1</v>
      </c>
      <c r="AI147" s="34">
        <f t="shared" si="33"/>
        <v>674.55</v>
      </c>
      <c r="AJ147" s="35">
        <v>46157</v>
      </c>
      <c r="AK147" s="30">
        <v>1</v>
      </c>
      <c r="AL147" s="36">
        <f t="shared" si="34"/>
        <v>674.55</v>
      </c>
      <c r="AM147" s="35">
        <v>46164</v>
      </c>
      <c r="AN147" s="30">
        <v>1</v>
      </c>
      <c r="AO147" s="36">
        <f t="shared" si="35"/>
        <v>674.55</v>
      </c>
      <c r="AP147" s="35"/>
      <c r="AQ147" s="30"/>
      <c r="AR147" s="36">
        <f t="shared" si="36"/>
        <v>0</v>
      </c>
      <c r="AS147" s="27" t="s">
        <v>581</v>
      </c>
      <c r="AT147" s="37">
        <v>46164</v>
      </c>
      <c r="AU147" s="30">
        <v>1</v>
      </c>
      <c r="AV147" s="36">
        <f t="shared" si="37"/>
        <v>674.55</v>
      </c>
      <c r="AW147" s="35">
        <v>46167</v>
      </c>
      <c r="AX147" s="30">
        <v>1</v>
      </c>
      <c r="AY147" s="32">
        <f t="shared" si="38"/>
        <v>674.55</v>
      </c>
      <c r="AZ147" s="30" t="s">
        <v>580</v>
      </c>
      <c r="BA147" s="63" t="s">
        <v>579</v>
      </c>
      <c r="BB147" s="71" t="e">
        <f>SUMIFS([1]Form!$F$8:$F$21,[1]Form!$J$8:$J$21,K147)</f>
        <v>#VALUE!</v>
      </c>
      <c r="BC147" s="71"/>
      <c r="BD147" s="71"/>
    </row>
    <row r="148" spans="1:56" hidden="1" x14ac:dyDescent="0.25">
      <c r="A148" s="24">
        <f>IF(B148="","",SUBTOTAL(3,$B$4:B148))</f>
        <v>0</v>
      </c>
      <c r="B148" s="25" t="s">
        <v>569</v>
      </c>
      <c r="C148" s="25" t="str">
        <f t="shared" si="30"/>
        <v>Shipment 1 PAR-550-22 Main</v>
      </c>
      <c r="D148" s="25" t="s">
        <v>570</v>
      </c>
      <c r="E148" s="25" t="s">
        <v>571</v>
      </c>
      <c r="F148" s="25"/>
      <c r="G148" s="65">
        <v>46393</v>
      </c>
      <c r="H148" s="25" t="s">
        <v>572</v>
      </c>
      <c r="I148" s="25" t="s">
        <v>575</v>
      </c>
      <c r="J148" s="26" t="s">
        <v>622</v>
      </c>
      <c r="K148" s="27" t="s">
        <v>295</v>
      </c>
      <c r="L148" s="28" t="s">
        <v>297</v>
      </c>
      <c r="M148" s="28" t="s">
        <v>247</v>
      </c>
      <c r="N148" s="25">
        <v>1</v>
      </c>
      <c r="O148" s="29">
        <v>674.55</v>
      </c>
      <c r="P148" s="29">
        <v>674.55</v>
      </c>
      <c r="Q148" s="25" t="s">
        <v>527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31"/>
        <v>674.55000000000007</v>
      </c>
      <c r="AF148" s="32">
        <f t="shared" si="32"/>
        <v>0</v>
      </c>
      <c r="AG148" s="30"/>
      <c r="AH148" s="33">
        <v>1</v>
      </c>
      <c r="AI148" s="34">
        <f t="shared" si="33"/>
        <v>674.55</v>
      </c>
      <c r="AJ148" s="35">
        <v>46157</v>
      </c>
      <c r="AK148" s="30">
        <v>1</v>
      </c>
      <c r="AL148" s="36">
        <f t="shared" si="34"/>
        <v>674.55</v>
      </c>
      <c r="AM148" s="35">
        <v>46164</v>
      </c>
      <c r="AN148" s="30">
        <v>1</v>
      </c>
      <c r="AO148" s="36">
        <f t="shared" ref="AO148" si="59">IFERROR(AN148*$P148/$N148,0)</f>
        <v>674.55</v>
      </c>
      <c r="AP148" s="35"/>
      <c r="AQ148" s="30"/>
      <c r="AR148" s="36">
        <f t="shared" si="36"/>
        <v>0</v>
      </c>
      <c r="AS148" s="27" t="s">
        <v>581</v>
      </c>
      <c r="AT148" s="37">
        <v>46164</v>
      </c>
      <c r="AU148" s="30">
        <v>1</v>
      </c>
      <c r="AV148" s="36">
        <f t="shared" si="37"/>
        <v>674.55</v>
      </c>
      <c r="AW148" s="35">
        <v>46167</v>
      </c>
      <c r="AX148" s="30">
        <v>1</v>
      </c>
      <c r="AY148" s="32">
        <f t="shared" ref="AY148:AY149" si="60">IFERROR(AX148*$P148/$N148,0)</f>
        <v>674.55</v>
      </c>
      <c r="AZ148" s="30" t="s">
        <v>580</v>
      </c>
      <c r="BA148" s="63" t="s">
        <v>579</v>
      </c>
      <c r="BB148" s="71" t="e">
        <f>SUMIFS([1]Form!$F$8:$F$21,[1]Form!$J$8:$J$21,K148)</f>
        <v>#VALUE!</v>
      </c>
      <c r="BC148" s="71"/>
      <c r="BD148" s="71"/>
    </row>
    <row r="149" spans="1:56" hidden="1" x14ac:dyDescent="0.25">
      <c r="A149" s="24">
        <f>IF(B149="","",SUBTOTAL(3,$B$4:B149))</f>
        <v>0</v>
      </c>
      <c r="B149" s="25" t="s">
        <v>569</v>
      </c>
      <c r="C149" s="25" t="str">
        <f t="shared" si="30"/>
        <v>Shipment 1 PAR-550-22 Main</v>
      </c>
      <c r="D149" s="25" t="s">
        <v>570</v>
      </c>
      <c r="E149" s="25" t="s">
        <v>571</v>
      </c>
      <c r="F149" s="25"/>
      <c r="G149" s="65">
        <v>46393</v>
      </c>
      <c r="H149" s="25" t="s">
        <v>572</v>
      </c>
      <c r="I149" s="25" t="s">
        <v>577</v>
      </c>
      <c r="J149" s="26" t="s">
        <v>622</v>
      </c>
      <c r="K149" s="27" t="s">
        <v>298</v>
      </c>
      <c r="L149" s="28" t="s">
        <v>299</v>
      </c>
      <c r="M149" s="28" t="s">
        <v>247</v>
      </c>
      <c r="N149" s="25">
        <v>1</v>
      </c>
      <c r="O149" s="29">
        <v>1846.1</v>
      </c>
      <c r="P149" s="29">
        <v>1846.1</v>
      </c>
      <c r="Q149" s="25" t="s">
        <v>528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31"/>
        <v>1846.1</v>
      </c>
      <c r="AF149" s="32">
        <f t="shared" si="32"/>
        <v>0</v>
      </c>
      <c r="AG149" s="30"/>
      <c r="AH149" s="33">
        <v>1</v>
      </c>
      <c r="AI149" s="34">
        <f t="shared" si="33"/>
        <v>1846.1</v>
      </c>
      <c r="AJ149" s="35">
        <v>46157</v>
      </c>
      <c r="AK149" s="30">
        <v>1</v>
      </c>
      <c r="AL149" s="36">
        <f t="shared" si="34"/>
        <v>1846.1</v>
      </c>
      <c r="AM149" s="35">
        <v>46162</v>
      </c>
      <c r="AN149" s="30">
        <v>1</v>
      </c>
      <c r="AO149" s="36">
        <f t="shared" si="35"/>
        <v>1846.1</v>
      </c>
      <c r="AP149" s="35"/>
      <c r="AQ149" s="30"/>
      <c r="AR149" s="36">
        <f t="shared" si="36"/>
        <v>0</v>
      </c>
      <c r="AS149" s="27" t="s">
        <v>591</v>
      </c>
      <c r="AT149" s="37">
        <v>46172</v>
      </c>
      <c r="AU149" s="30">
        <v>1</v>
      </c>
      <c r="AV149" s="36">
        <f t="shared" si="37"/>
        <v>1846.1</v>
      </c>
      <c r="AW149" s="35">
        <v>46177</v>
      </c>
      <c r="AX149" s="30">
        <v>1</v>
      </c>
      <c r="AY149" s="32">
        <f t="shared" si="60"/>
        <v>1846.1</v>
      </c>
      <c r="AZ149" s="30" t="s">
        <v>611</v>
      </c>
      <c r="BA149" s="63" t="s">
        <v>587</v>
      </c>
      <c r="BB149" s="71" t="e">
        <f>SUMIFS([1]Form!$F$8:$F$21,[1]Form!$J$8:$J$21,K149)</f>
        <v>#VALUE!</v>
      </c>
      <c r="BC149" s="71"/>
      <c r="BD149" s="71"/>
    </row>
    <row r="150" spans="1:56" hidden="1" x14ac:dyDescent="0.25">
      <c r="A150" s="24">
        <f>IF(B150="","",SUBTOTAL(3,$B$4:B150))</f>
        <v>0</v>
      </c>
      <c r="B150" s="25" t="s">
        <v>569</v>
      </c>
      <c r="C150" s="25" t="str">
        <f t="shared" ref="C150:C213" si="61">D150&amp;" "&amp;E150</f>
        <v>Shipment 1 PAR-550-22 Main</v>
      </c>
      <c r="D150" s="25" t="s">
        <v>570</v>
      </c>
      <c r="E150" s="25" t="s">
        <v>571</v>
      </c>
      <c r="F150" s="25"/>
      <c r="G150" s="65">
        <v>46393</v>
      </c>
      <c r="H150" s="25" t="s">
        <v>572</v>
      </c>
      <c r="I150" s="25" t="s">
        <v>578</v>
      </c>
      <c r="J150" s="26" t="s">
        <v>622</v>
      </c>
      <c r="K150" s="27" t="s">
        <v>300</v>
      </c>
      <c r="L150" s="28" t="s">
        <v>301</v>
      </c>
      <c r="M150" s="28" t="s">
        <v>247</v>
      </c>
      <c r="N150" s="25">
        <v>1</v>
      </c>
      <c r="O150" s="29">
        <v>829.4</v>
      </c>
      <c r="P150" s="29">
        <v>829.4</v>
      </c>
      <c r="Q150" s="25" t="s">
        <v>529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ref="AE150:AE213" si="62">+AL150*0.5+AO150*0.4+AV150*0.1</f>
        <v>829.40000000000009</v>
      </c>
      <c r="AF150" s="32">
        <f t="shared" ref="AF150:AF213" si="63">+P150-AE150</f>
        <v>0</v>
      </c>
      <c r="AG150" s="30"/>
      <c r="AH150" s="33">
        <v>1</v>
      </c>
      <c r="AI150" s="34">
        <f t="shared" ref="AI150:AI213" si="64">+AH150*P150</f>
        <v>829.4</v>
      </c>
      <c r="AJ150" s="35">
        <v>46158</v>
      </c>
      <c r="AK150" s="30">
        <v>1</v>
      </c>
      <c r="AL150" s="36">
        <f t="shared" ref="AL150:AL213" si="65">IFERROR(AK150*$P150/$N150,0)</f>
        <v>829.4</v>
      </c>
      <c r="AM150" s="35">
        <v>46165</v>
      </c>
      <c r="AN150" s="30">
        <v>1</v>
      </c>
      <c r="AO150" s="36">
        <f t="shared" ref="AO150:AO213" si="66">IFERROR(AN150*$P150/$N150,0)</f>
        <v>829.4</v>
      </c>
      <c r="AP150" s="35"/>
      <c r="AQ150" s="30"/>
      <c r="AR150" s="36">
        <f t="shared" ref="AR150:AR213" si="67">IFERROR(AQ150*$P150/$N150,0)</f>
        <v>0</v>
      </c>
      <c r="AS150" s="27" t="s">
        <v>584</v>
      </c>
      <c r="AT150" s="37">
        <v>46165</v>
      </c>
      <c r="AU150" s="30">
        <v>1</v>
      </c>
      <c r="AV150" s="36">
        <f t="shared" ref="AV150:AV213" si="68">IFERROR(AU150*$P150/$N150,0)</f>
        <v>829.4</v>
      </c>
      <c r="AW150" s="35">
        <v>46171</v>
      </c>
      <c r="AX150" s="30">
        <v>1</v>
      </c>
      <c r="AY150" s="32">
        <f t="shared" ref="AY150:AY208" si="69">IFERROR(AX150*$P150/$N150,0)</f>
        <v>829.4</v>
      </c>
      <c r="AZ150" s="30" t="s">
        <v>580</v>
      </c>
      <c r="BA150" s="63" t="s">
        <v>583</v>
      </c>
      <c r="BB150" s="71" t="e">
        <f>SUMIFS([1]Form!$F$8:$F$21,[1]Form!$J$8:$J$21,K150)</f>
        <v>#VALUE!</v>
      </c>
      <c r="BC150" s="71"/>
      <c r="BD150" s="71"/>
    </row>
    <row r="151" spans="1:56" hidden="1" x14ac:dyDescent="0.25">
      <c r="A151" s="24">
        <f>IF(B151="","",SUBTOTAL(3,$B$4:B151))</f>
        <v>0</v>
      </c>
      <c r="B151" s="25" t="s">
        <v>569</v>
      </c>
      <c r="C151" s="25" t="str">
        <f t="shared" si="61"/>
        <v>Shipment 1 PAR-550-22 Main</v>
      </c>
      <c r="D151" s="25" t="s">
        <v>570</v>
      </c>
      <c r="E151" s="25" t="s">
        <v>571</v>
      </c>
      <c r="F151" s="25"/>
      <c r="G151" s="65">
        <v>46393</v>
      </c>
      <c r="H151" s="25" t="s">
        <v>572</v>
      </c>
      <c r="I151" s="25" t="s">
        <v>577</v>
      </c>
      <c r="J151" s="26" t="s">
        <v>622</v>
      </c>
      <c r="K151" s="27" t="s">
        <v>302</v>
      </c>
      <c r="L151" s="28" t="s">
        <v>303</v>
      </c>
      <c r="M151" s="28" t="s">
        <v>247</v>
      </c>
      <c r="N151" s="25">
        <v>1</v>
      </c>
      <c r="O151" s="29">
        <v>1883</v>
      </c>
      <c r="P151" s="29">
        <v>1883</v>
      </c>
      <c r="Q151" s="25" t="s">
        <v>516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62"/>
        <v>1883</v>
      </c>
      <c r="AF151" s="32">
        <f t="shared" si="63"/>
        <v>0</v>
      </c>
      <c r="AG151" s="30"/>
      <c r="AH151" s="33">
        <v>1</v>
      </c>
      <c r="AI151" s="34">
        <f t="shared" si="64"/>
        <v>1883</v>
      </c>
      <c r="AJ151" s="35">
        <v>46158</v>
      </c>
      <c r="AK151" s="30">
        <v>1</v>
      </c>
      <c r="AL151" s="36">
        <f t="shared" si="65"/>
        <v>1883</v>
      </c>
      <c r="AM151" s="35">
        <v>46163</v>
      </c>
      <c r="AN151" s="30">
        <v>1</v>
      </c>
      <c r="AO151" s="36">
        <f t="shared" si="66"/>
        <v>1883</v>
      </c>
      <c r="AP151" s="35"/>
      <c r="AQ151" s="30"/>
      <c r="AR151" s="36">
        <f t="shared" si="67"/>
        <v>0</v>
      </c>
      <c r="AS151" s="27" t="s">
        <v>618</v>
      </c>
      <c r="AT151" s="37">
        <v>46199</v>
      </c>
      <c r="AU151" s="30">
        <v>1</v>
      </c>
      <c r="AV151" s="36">
        <f t="shared" si="68"/>
        <v>1883</v>
      </c>
      <c r="AW151" s="35">
        <v>46203</v>
      </c>
      <c r="AX151" s="30">
        <v>1</v>
      </c>
      <c r="AY151" s="32">
        <f t="shared" si="69"/>
        <v>1883</v>
      </c>
      <c r="AZ151" s="30" t="s">
        <v>616</v>
      </c>
      <c r="BA151" s="63" t="s">
        <v>619</v>
      </c>
      <c r="BB151" s="71"/>
      <c r="BC151" s="71"/>
      <c r="BD151" s="71"/>
    </row>
    <row r="152" spans="1:56" hidden="1" x14ac:dyDescent="0.25">
      <c r="A152" s="24">
        <f>IF(B152="","",SUBTOTAL(3,$B$4:B152))</f>
        <v>0</v>
      </c>
      <c r="B152" s="25" t="s">
        <v>569</v>
      </c>
      <c r="C152" s="25" t="str">
        <f t="shared" si="61"/>
        <v>Shipment 1 PAR-550-22 Main</v>
      </c>
      <c r="D152" s="25" t="s">
        <v>570</v>
      </c>
      <c r="E152" s="25" t="s">
        <v>571</v>
      </c>
      <c r="F152" s="25"/>
      <c r="G152" s="65">
        <v>46393</v>
      </c>
      <c r="H152" s="25" t="s">
        <v>572</v>
      </c>
      <c r="I152" s="25" t="s">
        <v>578</v>
      </c>
      <c r="J152" s="26" t="s">
        <v>622</v>
      </c>
      <c r="K152" s="27" t="s">
        <v>304</v>
      </c>
      <c r="L152" s="28" t="s">
        <v>305</v>
      </c>
      <c r="M152" s="28" t="s">
        <v>247</v>
      </c>
      <c r="N152" s="25">
        <v>1</v>
      </c>
      <c r="O152" s="29">
        <v>870.59999999999991</v>
      </c>
      <c r="P152" s="29">
        <v>870.59999999999991</v>
      </c>
      <c r="Q152" s="25" t="s">
        <v>530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62"/>
        <v>870.59999999999991</v>
      </c>
      <c r="AF152" s="32">
        <f t="shared" si="63"/>
        <v>0</v>
      </c>
      <c r="AG152" s="30"/>
      <c r="AH152" s="33">
        <v>1</v>
      </c>
      <c r="AI152" s="34">
        <f t="shared" si="64"/>
        <v>870.59999999999991</v>
      </c>
      <c r="AJ152" s="35">
        <v>46158</v>
      </c>
      <c r="AK152" s="30">
        <v>1</v>
      </c>
      <c r="AL152" s="36">
        <f t="shared" si="65"/>
        <v>870.59999999999991</v>
      </c>
      <c r="AM152" s="35">
        <v>46165</v>
      </c>
      <c r="AN152" s="30">
        <v>1</v>
      </c>
      <c r="AO152" s="36">
        <f t="shared" si="66"/>
        <v>870.59999999999991</v>
      </c>
      <c r="AP152" s="35"/>
      <c r="AQ152" s="30"/>
      <c r="AR152" s="36">
        <f t="shared" si="67"/>
        <v>0</v>
      </c>
      <c r="AS152" s="27" t="s">
        <v>584</v>
      </c>
      <c r="AT152" s="37">
        <v>46165</v>
      </c>
      <c r="AU152" s="30">
        <v>1</v>
      </c>
      <c r="AV152" s="36">
        <f t="shared" si="68"/>
        <v>870.59999999999991</v>
      </c>
      <c r="AW152" s="35">
        <v>46171</v>
      </c>
      <c r="AX152" s="30">
        <v>1</v>
      </c>
      <c r="AY152" s="32">
        <f t="shared" ref="AY152:AY153" si="70">IFERROR(AX152*$P152/$N152,0)</f>
        <v>870.59999999999991</v>
      </c>
      <c r="AZ152" s="30" t="s">
        <v>580</v>
      </c>
      <c r="BA152" s="63" t="s">
        <v>583</v>
      </c>
      <c r="BB152" s="71" t="e">
        <f>SUMIFS([1]Form!$F$8:$F$21,[1]Form!$J$8:$J$21,K152)</f>
        <v>#VALUE!</v>
      </c>
      <c r="BC152" s="71"/>
      <c r="BD152" s="71"/>
    </row>
    <row r="153" spans="1:56" hidden="1" x14ac:dyDescent="0.25">
      <c r="A153" s="24">
        <f>IF(B153="","",SUBTOTAL(3,$B$4:B153))</f>
        <v>0</v>
      </c>
      <c r="B153" s="25" t="s">
        <v>569</v>
      </c>
      <c r="C153" s="25" t="str">
        <f t="shared" si="61"/>
        <v>Shipment 1 PAR-550-22 Main</v>
      </c>
      <c r="D153" s="25" t="s">
        <v>570</v>
      </c>
      <c r="E153" s="25" t="s">
        <v>571</v>
      </c>
      <c r="F153" s="25"/>
      <c r="G153" s="65">
        <v>46393</v>
      </c>
      <c r="H153" s="25" t="s">
        <v>572</v>
      </c>
      <c r="I153" s="25" t="s">
        <v>575</v>
      </c>
      <c r="J153" s="26" t="s">
        <v>622</v>
      </c>
      <c r="K153" s="27" t="s">
        <v>306</v>
      </c>
      <c r="L153" s="28" t="s">
        <v>307</v>
      </c>
      <c r="M153" s="28" t="s">
        <v>247</v>
      </c>
      <c r="N153" s="25">
        <v>1</v>
      </c>
      <c r="O153" s="29">
        <v>880.59999999999991</v>
      </c>
      <c r="P153" s="29">
        <v>880.59999999999991</v>
      </c>
      <c r="Q153" s="25" t="s">
        <v>531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62"/>
        <v>880.59999999999991</v>
      </c>
      <c r="AF153" s="32">
        <f t="shared" si="63"/>
        <v>0</v>
      </c>
      <c r="AG153" s="30"/>
      <c r="AH153" s="33">
        <f>INDEX([2]M296PAR55022!$X:$X,MATCH(K153,[2]M296PAR55022!$B:$B,0))</f>
        <v>1</v>
      </c>
      <c r="AI153" s="34">
        <f t="shared" si="64"/>
        <v>880.59999999999991</v>
      </c>
      <c r="AJ153" s="35">
        <v>46163</v>
      </c>
      <c r="AK153" s="30">
        <v>1</v>
      </c>
      <c r="AL153" s="36">
        <f t="shared" si="65"/>
        <v>880.59999999999991</v>
      </c>
      <c r="AM153" s="35">
        <v>46170</v>
      </c>
      <c r="AN153" s="30">
        <v>1</v>
      </c>
      <c r="AO153" s="36">
        <f t="shared" si="66"/>
        <v>880.59999999999991</v>
      </c>
      <c r="AP153" s="35"/>
      <c r="AQ153" s="30"/>
      <c r="AR153" s="36">
        <f t="shared" si="67"/>
        <v>0</v>
      </c>
      <c r="AS153" s="27" t="s">
        <v>610</v>
      </c>
      <c r="AT153" s="37">
        <v>46175</v>
      </c>
      <c r="AU153" s="30">
        <v>1</v>
      </c>
      <c r="AV153" s="36">
        <f t="shared" si="68"/>
        <v>880.59999999999991</v>
      </c>
      <c r="AW153" s="35">
        <v>46177</v>
      </c>
      <c r="AX153" s="30">
        <v>1</v>
      </c>
      <c r="AY153" s="32">
        <f t="shared" si="70"/>
        <v>880.59999999999991</v>
      </c>
      <c r="AZ153" s="30" t="s">
        <v>611</v>
      </c>
      <c r="BA153" s="63" t="s">
        <v>588</v>
      </c>
      <c r="BB153" s="71" t="e">
        <f>SUMIFS([1]Form!$F$8:$F$21,[1]Form!$J$8:$J$21,K153)</f>
        <v>#VALUE!</v>
      </c>
      <c r="BC153" s="71"/>
      <c r="BD153" s="71"/>
    </row>
    <row r="154" spans="1:56" hidden="1" x14ac:dyDescent="0.25">
      <c r="A154" s="24">
        <f>IF(B154="","",SUBTOTAL(3,$B$4:B154))</f>
        <v>0</v>
      </c>
      <c r="B154" s="25" t="s">
        <v>569</v>
      </c>
      <c r="C154" s="25" t="str">
        <f t="shared" si="61"/>
        <v>Shipment 1 PAR-550-22 Main</v>
      </c>
      <c r="D154" s="25" t="s">
        <v>570</v>
      </c>
      <c r="E154" s="25" t="s">
        <v>571</v>
      </c>
      <c r="F154" s="25"/>
      <c r="G154" s="65">
        <v>46393</v>
      </c>
      <c r="H154" s="25" t="s">
        <v>572</v>
      </c>
      <c r="I154" s="25" t="s">
        <v>575</v>
      </c>
      <c r="J154" s="26" t="s">
        <v>622</v>
      </c>
      <c r="K154" s="27" t="s">
        <v>308</v>
      </c>
      <c r="L154" s="28" t="s">
        <v>309</v>
      </c>
      <c r="M154" s="28" t="s">
        <v>247</v>
      </c>
      <c r="N154" s="25">
        <v>1</v>
      </c>
      <c r="O154" s="29">
        <v>715.7</v>
      </c>
      <c r="P154" s="29">
        <v>715.7</v>
      </c>
      <c r="Q154" s="25" t="s">
        <v>532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62"/>
        <v>715.70000000000016</v>
      </c>
      <c r="AF154" s="32">
        <f t="shared" si="63"/>
        <v>0</v>
      </c>
      <c r="AG154" s="30"/>
      <c r="AH154" s="33">
        <v>1</v>
      </c>
      <c r="AI154" s="34">
        <f t="shared" si="64"/>
        <v>715.7</v>
      </c>
      <c r="AJ154" s="35">
        <v>46158</v>
      </c>
      <c r="AK154" s="30">
        <v>1</v>
      </c>
      <c r="AL154" s="36">
        <f t="shared" si="65"/>
        <v>715.7</v>
      </c>
      <c r="AM154" s="35">
        <v>46165</v>
      </c>
      <c r="AN154" s="30">
        <v>1</v>
      </c>
      <c r="AO154" s="36">
        <f t="shared" si="66"/>
        <v>715.7</v>
      </c>
      <c r="AP154" s="35"/>
      <c r="AQ154" s="30"/>
      <c r="AR154" s="36">
        <f t="shared" si="67"/>
        <v>0</v>
      </c>
      <c r="AS154" s="27" t="s">
        <v>588</v>
      </c>
      <c r="AT154" s="37">
        <v>46165</v>
      </c>
      <c r="AU154" s="30">
        <v>1</v>
      </c>
      <c r="AV154" s="36">
        <f t="shared" si="68"/>
        <v>715.7</v>
      </c>
      <c r="AW154" s="35">
        <v>46171</v>
      </c>
      <c r="AX154" s="30">
        <v>1</v>
      </c>
      <c r="AY154" s="32">
        <f t="shared" si="69"/>
        <v>715.7</v>
      </c>
      <c r="AZ154" s="30" t="s">
        <v>580</v>
      </c>
      <c r="BA154" s="63" t="s">
        <v>585</v>
      </c>
      <c r="BB154" s="71" t="e">
        <f>SUMIFS([1]Form!$F$8:$F$21,[1]Form!$J$8:$J$21,K154)</f>
        <v>#VALUE!</v>
      </c>
      <c r="BC154" s="71"/>
      <c r="BD154" s="71"/>
    </row>
    <row r="155" spans="1:56" hidden="1" x14ac:dyDescent="0.25">
      <c r="A155" s="24">
        <f>IF(B155="","",SUBTOTAL(3,$B$4:B155))</f>
        <v>0</v>
      </c>
      <c r="B155" s="25" t="s">
        <v>569</v>
      </c>
      <c r="C155" s="25" t="str">
        <f t="shared" si="61"/>
        <v>Shipment 1 PAR-550-22 Main</v>
      </c>
      <c r="D155" s="25" t="s">
        <v>570</v>
      </c>
      <c r="E155" s="25" t="s">
        <v>571</v>
      </c>
      <c r="F155" s="25"/>
      <c r="G155" s="65">
        <v>46393</v>
      </c>
      <c r="H155" s="25" t="s">
        <v>572</v>
      </c>
      <c r="I155" s="25" t="s">
        <v>576</v>
      </c>
      <c r="J155" s="26" t="s">
        <v>622</v>
      </c>
      <c r="K155" s="27" t="s">
        <v>310</v>
      </c>
      <c r="L155" s="28" t="s">
        <v>311</v>
      </c>
      <c r="M155" s="28" t="s">
        <v>247</v>
      </c>
      <c r="N155" s="25">
        <v>1</v>
      </c>
      <c r="O155" s="29">
        <v>224.70000000000005</v>
      </c>
      <c r="P155" s="29">
        <v>224.70000000000005</v>
      </c>
      <c r="Q155" s="25" t="s">
        <v>533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62"/>
        <v>224.70000000000005</v>
      </c>
      <c r="AF155" s="32">
        <f t="shared" si="63"/>
        <v>0</v>
      </c>
      <c r="AG155" s="30"/>
      <c r="AH155" s="33">
        <v>1</v>
      </c>
      <c r="AI155" s="34">
        <f t="shared" si="64"/>
        <v>224.70000000000005</v>
      </c>
      <c r="AJ155" s="35">
        <v>46158</v>
      </c>
      <c r="AK155" s="30">
        <v>1</v>
      </c>
      <c r="AL155" s="36">
        <f t="shared" si="65"/>
        <v>224.70000000000005</v>
      </c>
      <c r="AM155" s="35">
        <v>46165</v>
      </c>
      <c r="AN155" s="30">
        <v>1</v>
      </c>
      <c r="AO155" s="36">
        <f t="shared" si="66"/>
        <v>224.70000000000005</v>
      </c>
      <c r="AP155" s="35"/>
      <c r="AQ155" s="30"/>
      <c r="AR155" s="36">
        <f t="shared" si="67"/>
        <v>0</v>
      </c>
      <c r="AS155" s="27" t="s">
        <v>620</v>
      </c>
      <c r="AT155" s="37">
        <v>46203</v>
      </c>
      <c r="AU155" s="30">
        <v>1</v>
      </c>
      <c r="AV155" s="36">
        <f t="shared" si="68"/>
        <v>224.70000000000005</v>
      </c>
      <c r="AW155" s="35">
        <v>46208</v>
      </c>
      <c r="AX155" s="30">
        <v>1</v>
      </c>
      <c r="AY155" s="32">
        <f t="shared" si="69"/>
        <v>224.70000000000005</v>
      </c>
      <c r="AZ155" s="30" t="s">
        <v>616</v>
      </c>
      <c r="BA155" s="63" t="s">
        <v>617</v>
      </c>
      <c r="BB155" s="71"/>
      <c r="BC155" s="71"/>
      <c r="BD155" s="71"/>
    </row>
    <row r="156" spans="1:56" hidden="1" x14ac:dyDescent="0.25">
      <c r="A156" s="24">
        <f>IF(B156="","",SUBTOTAL(3,$B$4:B156))</f>
        <v>0</v>
      </c>
      <c r="B156" s="25" t="s">
        <v>569</v>
      </c>
      <c r="C156" s="25" t="str">
        <f t="shared" si="61"/>
        <v>Shipment 1 PAR-550-22 Main</v>
      </c>
      <c r="D156" s="25" t="s">
        <v>570</v>
      </c>
      <c r="E156" s="25" t="s">
        <v>571</v>
      </c>
      <c r="F156" s="25"/>
      <c r="G156" s="65">
        <v>46393</v>
      </c>
      <c r="H156" s="25" t="s">
        <v>572</v>
      </c>
      <c r="I156" s="25" t="s">
        <v>575</v>
      </c>
      <c r="J156" s="26" t="s">
        <v>622</v>
      </c>
      <c r="K156" s="27" t="s">
        <v>312</v>
      </c>
      <c r="L156" s="28" t="s">
        <v>313</v>
      </c>
      <c r="M156" s="28" t="s">
        <v>247</v>
      </c>
      <c r="N156" s="25">
        <v>1</v>
      </c>
      <c r="O156" s="29">
        <v>511.40000000000003</v>
      </c>
      <c r="P156" s="29">
        <v>511.40000000000003</v>
      </c>
      <c r="Q156" s="25" t="s">
        <v>534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62"/>
        <v>511.40000000000003</v>
      </c>
      <c r="AF156" s="32">
        <f t="shared" si="63"/>
        <v>0</v>
      </c>
      <c r="AG156" s="30"/>
      <c r="AH156" s="33">
        <v>1</v>
      </c>
      <c r="AI156" s="34">
        <f t="shared" si="64"/>
        <v>511.40000000000003</v>
      </c>
      <c r="AJ156" s="35">
        <v>46158</v>
      </c>
      <c r="AK156" s="30">
        <v>1</v>
      </c>
      <c r="AL156" s="36">
        <f t="shared" si="65"/>
        <v>511.40000000000003</v>
      </c>
      <c r="AM156" s="35">
        <v>46164</v>
      </c>
      <c r="AN156" s="30">
        <v>1</v>
      </c>
      <c r="AO156" s="36">
        <f t="shared" si="66"/>
        <v>511.40000000000003</v>
      </c>
      <c r="AP156" s="35"/>
      <c r="AQ156" s="30"/>
      <c r="AR156" s="36">
        <f t="shared" si="67"/>
        <v>0</v>
      </c>
      <c r="AS156" s="27" t="s">
        <v>581</v>
      </c>
      <c r="AT156" s="37">
        <v>46164</v>
      </c>
      <c r="AU156" s="30">
        <v>1</v>
      </c>
      <c r="AV156" s="36">
        <f t="shared" si="68"/>
        <v>511.40000000000003</v>
      </c>
      <c r="AW156" s="35">
        <v>46167</v>
      </c>
      <c r="AX156" s="30">
        <v>1</v>
      </c>
      <c r="AY156" s="32">
        <f t="shared" si="69"/>
        <v>511.40000000000003</v>
      </c>
      <c r="AZ156" s="30" t="s">
        <v>580</v>
      </c>
      <c r="BA156" s="63" t="s">
        <v>579</v>
      </c>
      <c r="BB156" s="71" t="e">
        <f>SUMIFS([1]Form!$F$8:$F$21,[1]Form!$J$8:$J$21,K156)</f>
        <v>#VALUE!</v>
      </c>
      <c r="BC156" s="71"/>
      <c r="BD156" s="71"/>
    </row>
    <row r="157" spans="1:56" hidden="1" x14ac:dyDescent="0.25">
      <c r="A157" s="24">
        <f>IF(B157="","",SUBTOTAL(3,$B$4:B157))</f>
        <v>0</v>
      </c>
      <c r="B157" s="25" t="s">
        <v>569</v>
      </c>
      <c r="C157" s="25" t="str">
        <f t="shared" si="61"/>
        <v>Shipment 1 PAR-550-22 Main</v>
      </c>
      <c r="D157" s="25" t="s">
        <v>570</v>
      </c>
      <c r="E157" s="25" t="s">
        <v>571</v>
      </c>
      <c r="F157" s="25"/>
      <c r="G157" s="65">
        <v>46393</v>
      </c>
      <c r="H157" s="25" t="s">
        <v>572</v>
      </c>
      <c r="I157" s="25" t="s">
        <v>575</v>
      </c>
      <c r="J157" s="26" t="s">
        <v>622</v>
      </c>
      <c r="K157" s="27" t="s">
        <v>314</v>
      </c>
      <c r="L157" s="28" t="s">
        <v>315</v>
      </c>
      <c r="M157" s="28" t="s">
        <v>247</v>
      </c>
      <c r="N157" s="25">
        <v>1</v>
      </c>
      <c r="O157" s="29">
        <v>765.7</v>
      </c>
      <c r="P157" s="29">
        <v>765.7</v>
      </c>
      <c r="Q157" s="25" t="s">
        <v>513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62"/>
        <v>765.70000000000016</v>
      </c>
      <c r="AF157" s="32">
        <f t="shared" si="63"/>
        <v>0</v>
      </c>
      <c r="AG157" s="30"/>
      <c r="AH157" s="33">
        <f>INDEX([2]M296PAR55022!$X:$X,MATCH(K157,[2]M296PAR55022!$B:$B,0))</f>
        <v>0.89473684210526316</v>
      </c>
      <c r="AI157" s="34">
        <f t="shared" si="64"/>
        <v>685.1</v>
      </c>
      <c r="AJ157" s="35">
        <v>46163</v>
      </c>
      <c r="AK157" s="30">
        <v>1</v>
      </c>
      <c r="AL157" s="36">
        <f t="shared" si="65"/>
        <v>765.7</v>
      </c>
      <c r="AM157" s="35">
        <v>46165</v>
      </c>
      <c r="AN157" s="30">
        <v>1</v>
      </c>
      <c r="AO157" s="36">
        <f t="shared" si="66"/>
        <v>765.7</v>
      </c>
      <c r="AP157" s="35"/>
      <c r="AQ157" s="30"/>
      <c r="AR157" s="36">
        <f t="shared" si="67"/>
        <v>0</v>
      </c>
      <c r="AS157" s="27" t="s">
        <v>584</v>
      </c>
      <c r="AT157" s="37">
        <v>46165</v>
      </c>
      <c r="AU157" s="30">
        <v>1</v>
      </c>
      <c r="AV157" s="36">
        <f t="shared" si="68"/>
        <v>765.7</v>
      </c>
      <c r="AW157" s="35">
        <v>46171</v>
      </c>
      <c r="AX157" s="30">
        <v>1</v>
      </c>
      <c r="AY157" s="32">
        <f t="shared" ref="AY157" si="71">IFERROR(AX157*$P157/$N157,0)</f>
        <v>765.7</v>
      </c>
      <c r="AZ157" s="30" t="s">
        <v>580</v>
      </c>
      <c r="BA157" s="63" t="s">
        <v>583</v>
      </c>
      <c r="BB157" s="71" t="e">
        <f>SUMIFS([1]Form!$F$8:$F$21,[1]Form!$J$8:$J$21,K157)</f>
        <v>#VALUE!</v>
      </c>
      <c r="BC157" s="71"/>
      <c r="BD157" s="71"/>
    </row>
    <row r="158" spans="1:56" hidden="1" x14ac:dyDescent="0.25">
      <c r="A158" s="24">
        <f>IF(B158="","",SUBTOTAL(3,$B$4:B158))</f>
        <v>0</v>
      </c>
      <c r="B158" s="25" t="s">
        <v>569</v>
      </c>
      <c r="C158" s="25" t="str">
        <f t="shared" si="61"/>
        <v>Shipment 1 PAR-550-22 Main</v>
      </c>
      <c r="D158" s="25" t="s">
        <v>570</v>
      </c>
      <c r="E158" s="25" t="s">
        <v>571</v>
      </c>
      <c r="F158" s="25"/>
      <c r="G158" s="65">
        <v>46393</v>
      </c>
      <c r="H158" s="25" t="s">
        <v>572</v>
      </c>
      <c r="I158" s="25" t="s">
        <v>575</v>
      </c>
      <c r="J158" s="26" t="s">
        <v>622</v>
      </c>
      <c r="K158" s="27" t="s">
        <v>316</v>
      </c>
      <c r="L158" s="28" t="s">
        <v>317</v>
      </c>
      <c r="M158" s="28" t="s">
        <v>247</v>
      </c>
      <c r="N158" s="25">
        <v>1</v>
      </c>
      <c r="O158" s="29">
        <v>515.79999999999995</v>
      </c>
      <c r="P158" s="29">
        <v>515.79999999999995</v>
      </c>
      <c r="Q158" s="25" t="s">
        <v>512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62"/>
        <v>515.79999999999995</v>
      </c>
      <c r="AF158" s="32">
        <f t="shared" si="63"/>
        <v>0</v>
      </c>
      <c r="AG158" s="30"/>
      <c r="AH158" s="33">
        <v>1</v>
      </c>
      <c r="AI158" s="34">
        <f t="shared" si="64"/>
        <v>515.79999999999995</v>
      </c>
      <c r="AJ158" s="35">
        <v>46163</v>
      </c>
      <c r="AK158" s="30">
        <v>1</v>
      </c>
      <c r="AL158" s="36">
        <f t="shared" si="65"/>
        <v>515.79999999999995</v>
      </c>
      <c r="AM158" s="35">
        <v>46164</v>
      </c>
      <c r="AN158" s="30">
        <v>1</v>
      </c>
      <c r="AO158" s="36">
        <f t="shared" si="66"/>
        <v>515.79999999999995</v>
      </c>
      <c r="AP158" s="35"/>
      <c r="AQ158" s="30"/>
      <c r="AR158" s="36">
        <f t="shared" si="67"/>
        <v>0</v>
      </c>
      <c r="AS158" s="27" t="s">
        <v>581</v>
      </c>
      <c r="AT158" s="37">
        <v>46164</v>
      </c>
      <c r="AU158" s="30">
        <v>1</v>
      </c>
      <c r="AV158" s="36">
        <f t="shared" si="68"/>
        <v>515.79999999999995</v>
      </c>
      <c r="AW158" s="35">
        <v>46167</v>
      </c>
      <c r="AX158" s="30">
        <v>1</v>
      </c>
      <c r="AY158" s="32">
        <f t="shared" si="69"/>
        <v>515.79999999999995</v>
      </c>
      <c r="AZ158" s="30" t="s">
        <v>580</v>
      </c>
      <c r="BA158" s="63" t="s">
        <v>579</v>
      </c>
      <c r="BB158" s="71" t="e">
        <f>SUMIFS([1]Form!$F$8:$F$21,[1]Form!$J$8:$J$21,K158)</f>
        <v>#VALUE!</v>
      </c>
      <c r="BC158" s="71"/>
      <c r="BD158" s="71"/>
    </row>
    <row r="159" spans="1:56" hidden="1" x14ac:dyDescent="0.25">
      <c r="A159" s="24">
        <f>IF(B159="","",SUBTOTAL(3,$B$4:B159))</f>
        <v>0</v>
      </c>
      <c r="B159" s="25" t="s">
        <v>569</v>
      </c>
      <c r="C159" s="25" t="str">
        <f t="shared" si="61"/>
        <v>Shipment 1 PAR-550-22 Main</v>
      </c>
      <c r="D159" s="25" t="s">
        <v>570</v>
      </c>
      <c r="E159" s="25" t="s">
        <v>571</v>
      </c>
      <c r="F159" s="25"/>
      <c r="G159" s="65">
        <v>46393</v>
      </c>
      <c r="H159" s="25" t="s">
        <v>572</v>
      </c>
      <c r="I159" s="25" t="s">
        <v>575</v>
      </c>
      <c r="J159" s="26" t="s">
        <v>622</v>
      </c>
      <c r="K159" s="27" t="s">
        <v>318</v>
      </c>
      <c r="L159" s="28" t="s">
        <v>319</v>
      </c>
      <c r="M159" s="28" t="s">
        <v>247</v>
      </c>
      <c r="N159" s="25">
        <v>1</v>
      </c>
      <c r="O159" s="29">
        <v>515.79999999999995</v>
      </c>
      <c r="P159" s="29">
        <v>515.79999999999995</v>
      </c>
      <c r="Q159" s="25" t="s">
        <v>512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62"/>
        <v>515.79999999999995</v>
      </c>
      <c r="AF159" s="32">
        <f t="shared" si="63"/>
        <v>0</v>
      </c>
      <c r="AG159" s="30"/>
      <c r="AH159" s="33">
        <v>1</v>
      </c>
      <c r="AI159" s="34">
        <f t="shared" si="64"/>
        <v>515.79999999999995</v>
      </c>
      <c r="AJ159" s="35">
        <v>46157</v>
      </c>
      <c r="AK159" s="30">
        <v>1</v>
      </c>
      <c r="AL159" s="36">
        <f t="shared" si="65"/>
        <v>515.79999999999995</v>
      </c>
      <c r="AM159" s="35">
        <v>46164</v>
      </c>
      <c r="AN159" s="30">
        <v>1</v>
      </c>
      <c r="AO159" s="36">
        <f t="shared" si="66"/>
        <v>515.79999999999995</v>
      </c>
      <c r="AP159" s="35"/>
      <c r="AQ159" s="30"/>
      <c r="AR159" s="36">
        <f t="shared" si="67"/>
        <v>0</v>
      </c>
      <c r="AS159" s="27" t="s">
        <v>581</v>
      </c>
      <c r="AT159" s="37">
        <v>46164</v>
      </c>
      <c r="AU159" s="30">
        <v>1</v>
      </c>
      <c r="AV159" s="36">
        <f t="shared" si="68"/>
        <v>515.79999999999995</v>
      </c>
      <c r="AW159" s="35">
        <v>46167</v>
      </c>
      <c r="AX159" s="30">
        <v>1</v>
      </c>
      <c r="AY159" s="32">
        <f t="shared" si="69"/>
        <v>515.79999999999995</v>
      </c>
      <c r="AZ159" s="30" t="s">
        <v>580</v>
      </c>
      <c r="BA159" s="63" t="s">
        <v>579</v>
      </c>
      <c r="BB159" s="71" t="e">
        <f>SUMIFS([1]Form!$F$8:$F$21,[1]Form!$J$8:$J$21,K159)</f>
        <v>#VALUE!</v>
      </c>
      <c r="BC159" s="71"/>
      <c r="BD159" s="71"/>
    </row>
    <row r="160" spans="1:56" hidden="1" x14ac:dyDescent="0.25">
      <c r="A160" s="24">
        <f>IF(B160="","",SUBTOTAL(3,$B$4:B160))</f>
        <v>0</v>
      </c>
      <c r="B160" s="25" t="s">
        <v>569</v>
      </c>
      <c r="C160" s="25" t="str">
        <f t="shared" si="61"/>
        <v>Shipment 1 PAR-550-22 Main</v>
      </c>
      <c r="D160" s="25" t="s">
        <v>570</v>
      </c>
      <c r="E160" s="25" t="s">
        <v>571</v>
      </c>
      <c r="F160" s="25"/>
      <c r="G160" s="65">
        <v>46393</v>
      </c>
      <c r="H160" s="25" t="s">
        <v>572</v>
      </c>
      <c r="I160" s="25" t="s">
        <v>575</v>
      </c>
      <c r="J160" s="26" t="s">
        <v>622</v>
      </c>
      <c r="K160" s="27" t="s">
        <v>320</v>
      </c>
      <c r="L160" s="28" t="s">
        <v>321</v>
      </c>
      <c r="M160" s="28" t="s">
        <v>247</v>
      </c>
      <c r="N160" s="25">
        <v>1</v>
      </c>
      <c r="O160" s="29">
        <v>753.1</v>
      </c>
      <c r="P160" s="29">
        <v>753.1</v>
      </c>
      <c r="Q160" s="25" t="s">
        <v>535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62"/>
        <v>753.09999999999991</v>
      </c>
      <c r="AF160" s="32">
        <f t="shared" si="63"/>
        <v>0</v>
      </c>
      <c r="AG160" s="30"/>
      <c r="AH160" s="33">
        <f>INDEX([2]M296PAR55022!$X:$X,MATCH(K160,[2]M296PAR55022!$B:$B,0))</f>
        <v>1</v>
      </c>
      <c r="AI160" s="34">
        <f t="shared" si="64"/>
        <v>753.1</v>
      </c>
      <c r="AJ160" s="35">
        <v>46163</v>
      </c>
      <c r="AK160" s="30">
        <v>1</v>
      </c>
      <c r="AL160" s="36">
        <f t="shared" si="65"/>
        <v>753.1</v>
      </c>
      <c r="AM160" s="35">
        <v>46165</v>
      </c>
      <c r="AN160" s="30">
        <v>1</v>
      </c>
      <c r="AO160" s="36">
        <f t="shared" si="66"/>
        <v>753.1</v>
      </c>
      <c r="AP160" s="35"/>
      <c r="AQ160" s="30"/>
      <c r="AR160" s="36">
        <f t="shared" si="67"/>
        <v>0</v>
      </c>
      <c r="AS160" s="27" t="s">
        <v>584</v>
      </c>
      <c r="AT160" s="37">
        <v>46165</v>
      </c>
      <c r="AU160" s="30">
        <v>1</v>
      </c>
      <c r="AV160" s="36">
        <f t="shared" si="68"/>
        <v>753.1</v>
      </c>
      <c r="AW160" s="35">
        <v>46171</v>
      </c>
      <c r="AX160" s="30">
        <v>1</v>
      </c>
      <c r="AY160" s="32">
        <f t="shared" ref="AY160:AY161" si="72">IFERROR(AX160*$P160/$N160,0)</f>
        <v>753.1</v>
      </c>
      <c r="AZ160" s="30" t="s">
        <v>580</v>
      </c>
      <c r="BA160" s="63" t="s">
        <v>583</v>
      </c>
      <c r="BB160" s="71" t="e">
        <f>SUMIFS([1]Form!$F$8:$F$21,[1]Form!$J$8:$J$21,K160)</f>
        <v>#VALUE!</v>
      </c>
      <c r="BC160" s="71"/>
      <c r="BD160" s="71"/>
    </row>
    <row r="161" spans="1:56" hidden="1" x14ac:dyDescent="0.25">
      <c r="A161" s="24">
        <f>IF(B161="","",SUBTOTAL(3,$B$4:B161))</f>
        <v>0</v>
      </c>
      <c r="B161" s="25" t="s">
        <v>569</v>
      </c>
      <c r="C161" s="25" t="str">
        <f t="shared" si="61"/>
        <v>Shipment 1 PAR-550-22 Main</v>
      </c>
      <c r="D161" s="25" t="s">
        <v>570</v>
      </c>
      <c r="E161" s="25" t="s">
        <v>571</v>
      </c>
      <c r="F161" s="25"/>
      <c r="G161" s="65">
        <v>46393</v>
      </c>
      <c r="H161" s="25" t="s">
        <v>572</v>
      </c>
      <c r="I161" s="25" t="s">
        <v>576</v>
      </c>
      <c r="J161" s="26" t="s">
        <v>622</v>
      </c>
      <c r="K161" s="27" t="s">
        <v>322</v>
      </c>
      <c r="L161" s="28" t="s">
        <v>323</v>
      </c>
      <c r="M161" s="28" t="s">
        <v>247</v>
      </c>
      <c r="N161" s="25">
        <v>1</v>
      </c>
      <c r="O161" s="29">
        <v>351.5</v>
      </c>
      <c r="P161" s="29">
        <v>351.5</v>
      </c>
      <c r="Q161" s="25" t="s">
        <v>536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62"/>
        <v>351.5</v>
      </c>
      <c r="AF161" s="32">
        <f t="shared" si="63"/>
        <v>0</v>
      </c>
      <c r="AG161" s="30"/>
      <c r="AH161" s="33">
        <v>1</v>
      </c>
      <c r="AI161" s="34">
        <f t="shared" si="64"/>
        <v>351.5</v>
      </c>
      <c r="AJ161" s="35">
        <v>46160</v>
      </c>
      <c r="AK161" s="30">
        <v>1</v>
      </c>
      <c r="AL161" s="36">
        <f t="shared" si="65"/>
        <v>351.5</v>
      </c>
      <c r="AM161" s="35">
        <v>46162</v>
      </c>
      <c r="AN161" s="30">
        <v>1</v>
      </c>
      <c r="AO161" s="36">
        <f t="shared" si="66"/>
        <v>351.5</v>
      </c>
      <c r="AP161" s="35"/>
      <c r="AQ161" s="30"/>
      <c r="AR161" s="36">
        <f t="shared" si="67"/>
        <v>0</v>
      </c>
      <c r="AS161" s="27" t="s">
        <v>614</v>
      </c>
      <c r="AT161" s="37">
        <v>46182</v>
      </c>
      <c r="AU161" s="30">
        <v>1</v>
      </c>
      <c r="AV161" s="36">
        <f t="shared" si="68"/>
        <v>351.5</v>
      </c>
      <c r="AW161" s="35">
        <v>46184</v>
      </c>
      <c r="AX161" s="30">
        <v>1</v>
      </c>
      <c r="AY161" s="32">
        <f t="shared" si="72"/>
        <v>351.5</v>
      </c>
      <c r="AZ161" s="30" t="s">
        <v>611</v>
      </c>
      <c r="BA161" s="63" t="s">
        <v>612</v>
      </c>
      <c r="BB161" s="71" t="e">
        <f>SUMIFS([1]Form!$F$8:$F$21,[1]Form!$J$8:$J$21,K161)</f>
        <v>#VALUE!</v>
      </c>
      <c r="BC161" s="71"/>
      <c r="BD161" s="71"/>
    </row>
    <row r="162" spans="1:56" hidden="1" x14ac:dyDescent="0.25">
      <c r="A162" s="24">
        <f>IF(B162="","",SUBTOTAL(3,$B$4:B162))</f>
        <v>0</v>
      </c>
      <c r="B162" s="25" t="s">
        <v>569</v>
      </c>
      <c r="C162" s="25" t="str">
        <f t="shared" si="61"/>
        <v>Shipment 1 PAR-550-22 Main</v>
      </c>
      <c r="D162" s="25" t="s">
        <v>570</v>
      </c>
      <c r="E162" s="25" t="s">
        <v>571</v>
      </c>
      <c r="F162" s="25"/>
      <c r="G162" s="65">
        <v>46393</v>
      </c>
      <c r="H162" s="25" t="s">
        <v>572</v>
      </c>
      <c r="I162" s="25" t="s">
        <v>575</v>
      </c>
      <c r="J162" s="26" t="s">
        <v>622</v>
      </c>
      <c r="K162" s="27" t="s">
        <v>324</v>
      </c>
      <c r="L162" s="28" t="s">
        <v>325</v>
      </c>
      <c r="M162" s="28" t="s">
        <v>247</v>
      </c>
      <c r="N162" s="25">
        <v>1</v>
      </c>
      <c r="O162" s="29">
        <v>567.6</v>
      </c>
      <c r="P162" s="29">
        <v>567.6</v>
      </c>
      <c r="Q162" s="25" t="s">
        <v>537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62"/>
        <v>567.6</v>
      </c>
      <c r="AF162" s="32">
        <f t="shared" si="63"/>
        <v>0</v>
      </c>
      <c r="AG162" s="30"/>
      <c r="AH162" s="33">
        <f>INDEX([2]M296PAR55022!$X:$X,MATCH(K162,[2]M296PAR55022!$B:$B,0))</f>
        <v>1</v>
      </c>
      <c r="AI162" s="34">
        <f t="shared" si="64"/>
        <v>567.6</v>
      </c>
      <c r="AJ162" s="35">
        <v>46161</v>
      </c>
      <c r="AK162" s="30">
        <v>1</v>
      </c>
      <c r="AL162" s="36">
        <f t="shared" si="65"/>
        <v>567.6</v>
      </c>
      <c r="AM162" s="35">
        <v>46162</v>
      </c>
      <c r="AN162" s="30">
        <v>1</v>
      </c>
      <c r="AO162" s="36">
        <f t="shared" si="66"/>
        <v>567.6</v>
      </c>
      <c r="AP162" s="35"/>
      <c r="AQ162" s="30"/>
      <c r="AR162" s="36">
        <f t="shared" si="67"/>
        <v>0</v>
      </c>
      <c r="AS162" s="27" t="s">
        <v>588</v>
      </c>
      <c r="AT162" s="37">
        <v>46168</v>
      </c>
      <c r="AU162" s="30">
        <v>1</v>
      </c>
      <c r="AV162" s="36">
        <f t="shared" si="68"/>
        <v>567.6</v>
      </c>
      <c r="AW162" s="35">
        <v>46171</v>
      </c>
      <c r="AX162" s="30">
        <v>1</v>
      </c>
      <c r="AY162" s="32">
        <f t="shared" ref="AY162" si="73">IFERROR(AX162*$P162/$N162,0)</f>
        <v>567.6</v>
      </c>
      <c r="AZ162" s="30" t="s">
        <v>580</v>
      </c>
      <c r="BA162" s="63" t="s">
        <v>585</v>
      </c>
      <c r="BB162" s="71" t="e">
        <f>SUMIFS([1]Form!$F$8:$F$21,[1]Form!$J$8:$J$21,K162)</f>
        <v>#VALUE!</v>
      </c>
      <c r="BC162" s="71"/>
      <c r="BD162" s="71"/>
    </row>
    <row r="163" spans="1:56" hidden="1" x14ac:dyDescent="0.25">
      <c r="A163" s="24">
        <f>IF(B163="","",SUBTOTAL(3,$B$4:B163))</f>
        <v>0</v>
      </c>
      <c r="B163" s="25" t="s">
        <v>569</v>
      </c>
      <c r="C163" s="25" t="str">
        <f t="shared" si="61"/>
        <v>Shipment 1 PAR-550-22 Main</v>
      </c>
      <c r="D163" s="25" t="s">
        <v>570</v>
      </c>
      <c r="E163" s="25" t="s">
        <v>571</v>
      </c>
      <c r="F163" s="25"/>
      <c r="G163" s="65">
        <v>46393</v>
      </c>
      <c r="H163" s="25" t="s">
        <v>572</v>
      </c>
      <c r="I163" s="25" t="s">
        <v>575</v>
      </c>
      <c r="J163" s="26" t="s">
        <v>622</v>
      </c>
      <c r="K163" s="27" t="s">
        <v>326</v>
      </c>
      <c r="L163" s="28" t="s">
        <v>327</v>
      </c>
      <c r="M163" s="28" t="s">
        <v>247</v>
      </c>
      <c r="N163" s="25">
        <v>1</v>
      </c>
      <c r="O163" s="29">
        <v>558.40000000000009</v>
      </c>
      <c r="P163" s="29">
        <v>558.40000000000009</v>
      </c>
      <c r="Q163" s="25" t="s">
        <v>538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62"/>
        <v>558.40000000000009</v>
      </c>
      <c r="AF163" s="32">
        <f t="shared" si="63"/>
        <v>0</v>
      </c>
      <c r="AG163" s="30"/>
      <c r="AH163" s="33">
        <f>INDEX([2]M296PAR55022!$X:$X,MATCH(K163,[2]M296PAR55022!$B:$B,0))</f>
        <v>1</v>
      </c>
      <c r="AI163" s="34">
        <f t="shared" si="64"/>
        <v>558.40000000000009</v>
      </c>
      <c r="AJ163" s="35">
        <v>46161</v>
      </c>
      <c r="AK163" s="30">
        <v>1</v>
      </c>
      <c r="AL163" s="36">
        <f t="shared" si="65"/>
        <v>558.40000000000009</v>
      </c>
      <c r="AM163" s="35">
        <v>46162</v>
      </c>
      <c r="AN163" s="30">
        <v>1</v>
      </c>
      <c r="AO163" s="36">
        <f t="shared" si="66"/>
        <v>558.40000000000009</v>
      </c>
      <c r="AP163" s="35"/>
      <c r="AQ163" s="30"/>
      <c r="AR163" s="36">
        <f t="shared" si="67"/>
        <v>0</v>
      </c>
      <c r="AS163" s="27" t="s">
        <v>584</v>
      </c>
      <c r="AT163" s="37">
        <v>46165</v>
      </c>
      <c r="AU163" s="30">
        <v>1</v>
      </c>
      <c r="AV163" s="36">
        <f t="shared" si="68"/>
        <v>558.40000000000009</v>
      </c>
      <c r="AW163" s="35">
        <v>46171</v>
      </c>
      <c r="AX163" s="30">
        <v>1</v>
      </c>
      <c r="AY163" s="32">
        <f t="shared" ref="AY163:AY166" si="74">IFERROR(AX163*$P163/$N163,0)</f>
        <v>558.40000000000009</v>
      </c>
      <c r="AZ163" s="30" t="s">
        <v>580</v>
      </c>
      <c r="BA163" s="63" t="s">
        <v>583</v>
      </c>
      <c r="BB163" s="71" t="e">
        <f>SUMIFS([1]Form!$F$8:$F$21,[1]Form!$J$8:$J$21,K163)</f>
        <v>#VALUE!</v>
      </c>
      <c r="BC163" s="71"/>
      <c r="BD163" s="71"/>
    </row>
    <row r="164" spans="1:56" hidden="1" x14ac:dyDescent="0.25">
      <c r="A164" s="24">
        <f>IF(B164="","",SUBTOTAL(3,$B$4:B164))</f>
        <v>0</v>
      </c>
      <c r="B164" s="25" t="s">
        <v>569</v>
      </c>
      <c r="C164" s="25" t="str">
        <f t="shared" si="61"/>
        <v>Shipment 1 PAR-550-22 Main</v>
      </c>
      <c r="D164" s="25" t="s">
        <v>570</v>
      </c>
      <c r="E164" s="25" t="s">
        <v>571</v>
      </c>
      <c r="F164" s="25"/>
      <c r="G164" s="65">
        <v>46393</v>
      </c>
      <c r="H164" s="25" t="s">
        <v>572</v>
      </c>
      <c r="I164" s="25" t="s">
        <v>575</v>
      </c>
      <c r="J164" s="26" t="s">
        <v>622</v>
      </c>
      <c r="K164" s="27" t="s">
        <v>328</v>
      </c>
      <c r="L164" s="28" t="s">
        <v>329</v>
      </c>
      <c r="M164" s="28" t="s">
        <v>247</v>
      </c>
      <c r="N164" s="25">
        <v>1</v>
      </c>
      <c r="O164" s="29">
        <v>582.80000000000007</v>
      </c>
      <c r="P164" s="29">
        <v>582.80000000000007</v>
      </c>
      <c r="Q164" s="25" t="s">
        <v>539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62"/>
        <v>582.80000000000007</v>
      </c>
      <c r="AF164" s="32">
        <f t="shared" si="63"/>
        <v>0</v>
      </c>
      <c r="AG164" s="30"/>
      <c r="AH164" s="33">
        <f>INDEX([2]M296PAR55022!$X:$X,MATCH(K164,[2]M296PAR55022!$B:$B,0))</f>
        <v>1</v>
      </c>
      <c r="AI164" s="34">
        <f t="shared" si="64"/>
        <v>582.80000000000007</v>
      </c>
      <c r="AJ164" s="35">
        <v>46161</v>
      </c>
      <c r="AK164" s="30">
        <v>1</v>
      </c>
      <c r="AL164" s="36">
        <f t="shared" si="65"/>
        <v>582.80000000000007</v>
      </c>
      <c r="AM164" s="35">
        <v>46162</v>
      </c>
      <c r="AN164" s="30">
        <v>1</v>
      </c>
      <c r="AO164" s="36">
        <f t="shared" si="66"/>
        <v>582.80000000000007</v>
      </c>
      <c r="AP164" s="35"/>
      <c r="AQ164" s="30"/>
      <c r="AR164" s="36">
        <f t="shared" si="67"/>
        <v>0</v>
      </c>
      <c r="AS164" s="27" t="s">
        <v>584</v>
      </c>
      <c r="AT164" s="37">
        <v>46165</v>
      </c>
      <c r="AU164" s="30">
        <v>1</v>
      </c>
      <c r="AV164" s="36">
        <f t="shared" si="68"/>
        <v>582.80000000000007</v>
      </c>
      <c r="AW164" s="35">
        <v>46171</v>
      </c>
      <c r="AX164" s="30">
        <v>1</v>
      </c>
      <c r="AY164" s="32">
        <f t="shared" si="74"/>
        <v>582.80000000000007</v>
      </c>
      <c r="AZ164" s="30" t="s">
        <v>580</v>
      </c>
      <c r="BA164" s="63" t="s">
        <v>583</v>
      </c>
      <c r="BB164" s="71" t="e">
        <f>SUMIFS([1]Form!$F$8:$F$21,[1]Form!$J$8:$J$21,K164)</f>
        <v>#VALUE!</v>
      </c>
      <c r="BC164" s="71"/>
      <c r="BD164" s="71"/>
    </row>
    <row r="165" spans="1:56" hidden="1" x14ac:dyDescent="0.25">
      <c r="A165" s="24">
        <f>IF(B165="","",SUBTOTAL(3,$B$4:B165))</f>
        <v>0</v>
      </c>
      <c r="B165" s="25" t="s">
        <v>569</v>
      </c>
      <c r="C165" s="25" t="str">
        <f t="shared" si="61"/>
        <v>Shipment 1 PAR-550-22 Main</v>
      </c>
      <c r="D165" s="25" t="s">
        <v>570</v>
      </c>
      <c r="E165" s="25" t="s">
        <v>571</v>
      </c>
      <c r="F165" s="25"/>
      <c r="G165" s="65">
        <v>46393</v>
      </c>
      <c r="H165" s="25" t="s">
        <v>572</v>
      </c>
      <c r="I165" s="25" t="s">
        <v>576</v>
      </c>
      <c r="J165" s="26" t="s">
        <v>622</v>
      </c>
      <c r="K165" s="27" t="s">
        <v>330</v>
      </c>
      <c r="L165" s="28" t="s">
        <v>331</v>
      </c>
      <c r="M165" s="28" t="s">
        <v>247</v>
      </c>
      <c r="N165" s="25">
        <v>1</v>
      </c>
      <c r="O165" s="29">
        <v>49.599999999999994</v>
      </c>
      <c r="P165" s="29">
        <v>49.599999999999994</v>
      </c>
      <c r="Q165" s="25" t="s">
        <v>540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62"/>
        <v>49.6</v>
      </c>
      <c r="AF165" s="32">
        <f t="shared" si="63"/>
        <v>0</v>
      </c>
      <c r="AG165" s="30"/>
      <c r="AH165" s="33">
        <v>1</v>
      </c>
      <c r="AI165" s="34">
        <f t="shared" si="64"/>
        <v>49.599999999999994</v>
      </c>
      <c r="AJ165" s="35">
        <v>46160</v>
      </c>
      <c r="AK165" s="30">
        <v>1</v>
      </c>
      <c r="AL165" s="36">
        <f t="shared" si="65"/>
        <v>49.599999999999994</v>
      </c>
      <c r="AM165" s="35">
        <v>46162</v>
      </c>
      <c r="AN165" s="30">
        <v>1</v>
      </c>
      <c r="AO165" s="36">
        <f t="shared" si="66"/>
        <v>49.599999999999994</v>
      </c>
      <c r="AP165" s="35"/>
      <c r="AQ165" s="30"/>
      <c r="AR165" s="36">
        <f t="shared" si="67"/>
        <v>0</v>
      </c>
      <c r="AS165" s="27" t="s">
        <v>620</v>
      </c>
      <c r="AT165" s="37">
        <v>46203</v>
      </c>
      <c r="AU165" s="30">
        <v>1</v>
      </c>
      <c r="AV165" s="36">
        <f t="shared" si="68"/>
        <v>49.599999999999994</v>
      </c>
      <c r="AW165" s="35">
        <v>46208</v>
      </c>
      <c r="AX165" s="30">
        <v>1</v>
      </c>
      <c r="AY165" s="32">
        <f t="shared" si="74"/>
        <v>49.599999999999994</v>
      </c>
      <c r="AZ165" s="30" t="s">
        <v>616</v>
      </c>
      <c r="BA165" s="63" t="s">
        <v>617</v>
      </c>
      <c r="BB165" s="71"/>
      <c r="BC165" s="71"/>
      <c r="BD165" s="71"/>
    </row>
    <row r="166" spans="1:56" hidden="1" x14ac:dyDescent="0.25">
      <c r="A166" s="24">
        <f>IF(B166="","",SUBTOTAL(3,$B$4:B166))</f>
        <v>0</v>
      </c>
      <c r="B166" s="25" t="s">
        <v>569</v>
      </c>
      <c r="C166" s="25" t="str">
        <f t="shared" si="61"/>
        <v>Shipment 1 PAR-550-22 Main</v>
      </c>
      <c r="D166" s="25" t="s">
        <v>570</v>
      </c>
      <c r="E166" s="25" t="s">
        <v>571</v>
      </c>
      <c r="F166" s="25"/>
      <c r="G166" s="65">
        <v>46393</v>
      </c>
      <c r="H166" s="25" t="s">
        <v>572</v>
      </c>
      <c r="I166" s="25" t="s">
        <v>576</v>
      </c>
      <c r="J166" s="26" t="s">
        <v>622</v>
      </c>
      <c r="K166" s="27" t="s">
        <v>332</v>
      </c>
      <c r="L166" s="28" t="s">
        <v>333</v>
      </c>
      <c r="M166" s="28" t="s">
        <v>247</v>
      </c>
      <c r="N166" s="25">
        <v>1</v>
      </c>
      <c r="O166" s="29">
        <v>45</v>
      </c>
      <c r="P166" s="29">
        <v>45</v>
      </c>
      <c r="Q166" s="25" t="s">
        <v>541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62"/>
        <v>45</v>
      </c>
      <c r="AF166" s="32">
        <f t="shared" si="63"/>
        <v>0</v>
      </c>
      <c r="AG166" s="30"/>
      <c r="AH166" s="33">
        <v>1</v>
      </c>
      <c r="AI166" s="34">
        <f t="shared" si="64"/>
        <v>45</v>
      </c>
      <c r="AJ166" s="35">
        <v>46160</v>
      </c>
      <c r="AK166" s="30">
        <v>1</v>
      </c>
      <c r="AL166" s="36">
        <f t="shared" si="65"/>
        <v>45</v>
      </c>
      <c r="AM166" s="35">
        <v>46162</v>
      </c>
      <c r="AN166" s="30">
        <v>1</v>
      </c>
      <c r="AO166" s="36">
        <f t="shared" si="66"/>
        <v>45</v>
      </c>
      <c r="AP166" s="35"/>
      <c r="AQ166" s="30"/>
      <c r="AR166" s="36">
        <f t="shared" si="67"/>
        <v>0</v>
      </c>
      <c r="AS166" s="27" t="s">
        <v>620</v>
      </c>
      <c r="AT166" s="37">
        <v>46203</v>
      </c>
      <c r="AU166" s="30">
        <v>1</v>
      </c>
      <c r="AV166" s="36">
        <f t="shared" si="68"/>
        <v>45</v>
      </c>
      <c r="AW166" s="35">
        <v>46208</v>
      </c>
      <c r="AX166" s="30">
        <v>1</v>
      </c>
      <c r="AY166" s="32">
        <f t="shared" si="74"/>
        <v>45</v>
      </c>
      <c r="AZ166" s="30" t="s">
        <v>616</v>
      </c>
      <c r="BA166" s="63" t="s">
        <v>617</v>
      </c>
      <c r="BB166" s="71"/>
      <c r="BC166" s="71"/>
      <c r="BD166" s="71"/>
    </row>
    <row r="167" spans="1:56" hidden="1" x14ac:dyDescent="0.25">
      <c r="A167" s="24">
        <f>IF(B167="","",SUBTOTAL(3,$B$4:B167))</f>
        <v>0</v>
      </c>
      <c r="B167" s="25" t="s">
        <v>569</v>
      </c>
      <c r="C167" s="25" t="str">
        <f t="shared" si="61"/>
        <v>Shipment 1 PAR-550-22 Main</v>
      </c>
      <c r="D167" s="25" t="s">
        <v>570</v>
      </c>
      <c r="E167" s="25" t="s">
        <v>571</v>
      </c>
      <c r="F167" s="25"/>
      <c r="G167" s="65">
        <v>46393</v>
      </c>
      <c r="H167" s="25" t="s">
        <v>572</v>
      </c>
      <c r="I167" s="25" t="s">
        <v>576</v>
      </c>
      <c r="J167" s="26" t="s">
        <v>622</v>
      </c>
      <c r="K167" s="27" t="s">
        <v>334</v>
      </c>
      <c r="L167" s="28" t="s">
        <v>335</v>
      </c>
      <c r="M167" s="28" t="s">
        <v>247</v>
      </c>
      <c r="N167" s="25">
        <v>1</v>
      </c>
      <c r="O167" s="29">
        <v>351.7</v>
      </c>
      <c r="P167" s="29">
        <v>351.7</v>
      </c>
      <c r="Q167" s="25" t="s">
        <v>536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62"/>
        <v>351.7</v>
      </c>
      <c r="AF167" s="32">
        <f t="shared" si="63"/>
        <v>0</v>
      </c>
      <c r="AG167" s="30"/>
      <c r="AH167" s="33">
        <v>1</v>
      </c>
      <c r="AI167" s="34">
        <f t="shared" si="64"/>
        <v>351.7</v>
      </c>
      <c r="AJ167" s="35">
        <v>46160</v>
      </c>
      <c r="AK167" s="30">
        <v>1</v>
      </c>
      <c r="AL167" s="36">
        <f t="shared" si="65"/>
        <v>351.7</v>
      </c>
      <c r="AM167" s="35">
        <v>46162</v>
      </c>
      <c r="AN167" s="30">
        <v>1</v>
      </c>
      <c r="AO167" s="36">
        <f t="shared" si="66"/>
        <v>351.7</v>
      </c>
      <c r="AP167" s="35"/>
      <c r="AQ167" s="30"/>
      <c r="AR167" s="36">
        <f t="shared" si="67"/>
        <v>0</v>
      </c>
      <c r="AS167" s="27" t="s">
        <v>584</v>
      </c>
      <c r="AT167" s="37">
        <v>46165</v>
      </c>
      <c r="AU167" s="30">
        <v>1</v>
      </c>
      <c r="AV167" s="36">
        <f t="shared" si="68"/>
        <v>351.7</v>
      </c>
      <c r="AW167" s="35">
        <v>46171</v>
      </c>
      <c r="AX167" s="30">
        <v>1</v>
      </c>
      <c r="AY167" s="32">
        <f t="shared" ref="AY167:AY169" si="75">IFERROR(AX167*$P167/$N167,0)</f>
        <v>351.7</v>
      </c>
      <c r="AZ167" s="30" t="s">
        <v>580</v>
      </c>
      <c r="BA167" s="63" t="s">
        <v>583</v>
      </c>
      <c r="BB167" s="71" t="e">
        <f>SUMIFS([1]Form!$F$8:$F$21,[1]Form!$J$8:$J$21,K167)</f>
        <v>#VALUE!</v>
      </c>
      <c r="BC167" s="71"/>
      <c r="BD167" s="71"/>
    </row>
    <row r="168" spans="1:56" hidden="1" x14ac:dyDescent="0.25">
      <c r="A168" s="24">
        <f>IF(B168="","",SUBTOTAL(3,$B$4:B168))</f>
        <v>0</v>
      </c>
      <c r="B168" s="25" t="s">
        <v>569</v>
      </c>
      <c r="C168" s="25" t="str">
        <f t="shared" si="61"/>
        <v>Shipment 1 PAR-550-22 Main</v>
      </c>
      <c r="D168" s="25" t="s">
        <v>570</v>
      </c>
      <c r="E168" s="25" t="s">
        <v>571</v>
      </c>
      <c r="F168" s="25"/>
      <c r="G168" s="65">
        <v>46393</v>
      </c>
      <c r="H168" s="25" t="s">
        <v>572</v>
      </c>
      <c r="I168" s="25" t="s">
        <v>576</v>
      </c>
      <c r="J168" s="26" t="s">
        <v>622</v>
      </c>
      <c r="K168" s="27" t="s">
        <v>336</v>
      </c>
      <c r="L168" s="28" t="s">
        <v>337</v>
      </c>
      <c r="M168" s="28" t="s">
        <v>247</v>
      </c>
      <c r="N168" s="25">
        <v>1</v>
      </c>
      <c r="O168" s="29">
        <v>225.20000000000005</v>
      </c>
      <c r="P168" s="29">
        <v>225.20000000000005</v>
      </c>
      <c r="Q168" s="25" t="s">
        <v>542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62"/>
        <v>225.20000000000007</v>
      </c>
      <c r="AF168" s="32">
        <f t="shared" si="63"/>
        <v>0</v>
      </c>
      <c r="AG168" s="30"/>
      <c r="AH168" s="33">
        <v>1</v>
      </c>
      <c r="AI168" s="34">
        <f t="shared" si="64"/>
        <v>225.20000000000005</v>
      </c>
      <c r="AJ168" s="35">
        <v>46160</v>
      </c>
      <c r="AK168" s="30">
        <v>1</v>
      </c>
      <c r="AL168" s="36">
        <f t="shared" si="65"/>
        <v>225.20000000000005</v>
      </c>
      <c r="AM168" s="35">
        <v>46162</v>
      </c>
      <c r="AN168" s="30">
        <v>1</v>
      </c>
      <c r="AO168" s="36">
        <f t="shared" si="66"/>
        <v>225.20000000000005</v>
      </c>
      <c r="AP168" s="35"/>
      <c r="AQ168" s="30"/>
      <c r="AR168" s="36">
        <f t="shared" si="67"/>
        <v>0</v>
      </c>
      <c r="AS168" s="27" t="s">
        <v>584</v>
      </c>
      <c r="AT168" s="37">
        <v>46165</v>
      </c>
      <c r="AU168" s="30">
        <v>1</v>
      </c>
      <c r="AV168" s="36">
        <f t="shared" si="68"/>
        <v>225.20000000000005</v>
      </c>
      <c r="AW168" s="35">
        <v>46171</v>
      </c>
      <c r="AX168" s="30">
        <v>1</v>
      </c>
      <c r="AY168" s="32">
        <f t="shared" si="75"/>
        <v>225.20000000000005</v>
      </c>
      <c r="AZ168" s="30" t="s">
        <v>580</v>
      </c>
      <c r="BA168" s="63" t="s">
        <v>583</v>
      </c>
      <c r="BB168" s="71" t="e">
        <f>SUMIFS([1]Form!$F$8:$F$21,[1]Form!$J$8:$J$21,K168)</f>
        <v>#VALUE!</v>
      </c>
      <c r="BC168" s="71"/>
      <c r="BD168" s="71"/>
    </row>
    <row r="169" spans="1:56" hidden="1" x14ac:dyDescent="0.25">
      <c r="A169" s="24">
        <f>IF(B169="","",SUBTOTAL(3,$B$4:B169))</f>
        <v>0</v>
      </c>
      <c r="B169" s="25" t="s">
        <v>569</v>
      </c>
      <c r="C169" s="25" t="str">
        <f t="shared" si="61"/>
        <v>Shipment 1 PAR-550-22 Main</v>
      </c>
      <c r="D169" s="25" t="s">
        <v>570</v>
      </c>
      <c r="E169" s="25" t="s">
        <v>571</v>
      </c>
      <c r="F169" s="25"/>
      <c r="G169" s="65">
        <v>46393</v>
      </c>
      <c r="H169" s="25" t="s">
        <v>572</v>
      </c>
      <c r="I169" s="25" t="s">
        <v>575</v>
      </c>
      <c r="J169" s="26" t="s">
        <v>622</v>
      </c>
      <c r="K169" s="27" t="s">
        <v>338</v>
      </c>
      <c r="L169" s="28" t="s">
        <v>339</v>
      </c>
      <c r="M169" s="28" t="s">
        <v>247</v>
      </c>
      <c r="N169" s="25">
        <v>1</v>
      </c>
      <c r="O169" s="29">
        <v>766.59999999999991</v>
      </c>
      <c r="P169" s="29">
        <v>766.59999999999991</v>
      </c>
      <c r="Q169" s="25" t="s">
        <v>526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62"/>
        <v>766.59999999999991</v>
      </c>
      <c r="AF169" s="32">
        <f t="shared" si="63"/>
        <v>0</v>
      </c>
      <c r="AG169" s="30"/>
      <c r="AH169" s="33">
        <f>INDEX([2]M296PAR55022!$X:$X,MATCH(K169,[2]M296PAR55022!$B:$B,0))</f>
        <v>1</v>
      </c>
      <c r="AI169" s="34">
        <f t="shared" si="64"/>
        <v>766.59999999999991</v>
      </c>
      <c r="AJ169" s="35">
        <v>46163</v>
      </c>
      <c r="AK169" s="30">
        <v>1</v>
      </c>
      <c r="AL169" s="36">
        <f t="shared" si="65"/>
        <v>766.59999999999991</v>
      </c>
      <c r="AM169" s="35">
        <v>46170</v>
      </c>
      <c r="AN169" s="30">
        <v>1</v>
      </c>
      <c r="AO169" s="36">
        <f t="shared" si="66"/>
        <v>766.59999999999991</v>
      </c>
      <c r="AP169" s="35"/>
      <c r="AQ169" s="30"/>
      <c r="AR169" s="36">
        <f t="shared" si="67"/>
        <v>0</v>
      </c>
      <c r="AS169" s="27" t="s">
        <v>610</v>
      </c>
      <c r="AT169" s="37">
        <v>46175</v>
      </c>
      <c r="AU169" s="30">
        <v>1</v>
      </c>
      <c r="AV169" s="36">
        <f t="shared" si="68"/>
        <v>766.59999999999991</v>
      </c>
      <c r="AW169" s="35">
        <v>46177</v>
      </c>
      <c r="AX169" s="30">
        <v>1</v>
      </c>
      <c r="AY169" s="32">
        <f t="shared" si="75"/>
        <v>766.59999999999991</v>
      </c>
      <c r="AZ169" s="30" t="s">
        <v>611</v>
      </c>
      <c r="BA169" s="63" t="s">
        <v>588</v>
      </c>
      <c r="BB169" s="71" t="e">
        <f>SUMIFS([1]Form!$F$8:$F$21,[1]Form!$J$8:$J$21,K169)</f>
        <v>#VALUE!</v>
      </c>
      <c r="BC169" s="71"/>
      <c r="BD169" s="71"/>
    </row>
    <row r="170" spans="1:56" hidden="1" x14ac:dyDescent="0.25">
      <c r="A170" s="24">
        <f>IF(B170="","",SUBTOTAL(3,$B$4:B170))</f>
        <v>0</v>
      </c>
      <c r="B170" s="25" t="s">
        <v>569</v>
      </c>
      <c r="C170" s="25" t="str">
        <f t="shared" si="61"/>
        <v>Shipment 1 PAR-550-22 Main</v>
      </c>
      <c r="D170" s="25" t="s">
        <v>570</v>
      </c>
      <c r="E170" s="25" t="s">
        <v>571</v>
      </c>
      <c r="F170" s="25"/>
      <c r="G170" s="65">
        <v>46393</v>
      </c>
      <c r="H170" s="25" t="s">
        <v>572</v>
      </c>
      <c r="I170" s="25" t="s">
        <v>575</v>
      </c>
      <c r="J170" s="26" t="s">
        <v>622</v>
      </c>
      <c r="K170" s="27" t="s">
        <v>340</v>
      </c>
      <c r="L170" s="28" t="s">
        <v>341</v>
      </c>
      <c r="M170" s="28" t="s">
        <v>247</v>
      </c>
      <c r="N170" s="25">
        <v>1</v>
      </c>
      <c r="O170" s="29">
        <v>556.29999999999995</v>
      </c>
      <c r="P170" s="29">
        <v>556.29999999999995</v>
      </c>
      <c r="Q170" s="25" t="s">
        <v>543</v>
      </c>
      <c r="R170" s="25"/>
      <c r="S170" s="26" t="s">
        <v>568</v>
      </c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62"/>
        <v>556.29999999999995</v>
      </c>
      <c r="AF170" s="32">
        <f t="shared" si="63"/>
        <v>0</v>
      </c>
      <c r="AG170" s="30"/>
      <c r="AH170" s="33">
        <v>1</v>
      </c>
      <c r="AI170" s="34">
        <f t="shared" si="64"/>
        <v>556.29999999999995</v>
      </c>
      <c r="AJ170" s="35">
        <v>46160</v>
      </c>
      <c r="AK170" s="30">
        <v>1</v>
      </c>
      <c r="AL170" s="36">
        <f t="shared" si="65"/>
        <v>556.29999999999995</v>
      </c>
      <c r="AM170" s="35">
        <v>46162</v>
      </c>
      <c r="AN170" s="30">
        <v>1</v>
      </c>
      <c r="AO170" s="36">
        <f t="shared" si="66"/>
        <v>556.29999999999995</v>
      </c>
      <c r="AP170" s="35"/>
      <c r="AQ170" s="30"/>
      <c r="AR170" s="36">
        <f t="shared" si="67"/>
        <v>0</v>
      </c>
      <c r="AS170" s="27" t="s">
        <v>585</v>
      </c>
      <c r="AT170" s="37">
        <v>46165</v>
      </c>
      <c r="AU170" s="30">
        <v>1</v>
      </c>
      <c r="AV170" s="36">
        <f t="shared" si="68"/>
        <v>556.29999999999995</v>
      </c>
      <c r="AW170" s="35">
        <v>46167</v>
      </c>
      <c r="AX170" s="30">
        <v>1</v>
      </c>
      <c r="AY170" s="32">
        <f t="shared" si="69"/>
        <v>556.29999999999995</v>
      </c>
      <c r="AZ170" s="30" t="s">
        <v>580</v>
      </c>
      <c r="BA170" s="63" t="s">
        <v>584</v>
      </c>
      <c r="BB170" s="71" t="e">
        <f>SUMIFS([1]Form!$F$8:$F$21,[1]Form!$J$8:$J$21,K170)</f>
        <v>#VALUE!</v>
      </c>
      <c r="BC170" s="71"/>
      <c r="BD170" s="71"/>
    </row>
    <row r="171" spans="1:56" hidden="1" x14ac:dyDescent="0.25">
      <c r="A171" s="24">
        <f>IF(B171="","",SUBTOTAL(3,$B$4:B171))</f>
        <v>0</v>
      </c>
      <c r="B171" s="25" t="s">
        <v>569</v>
      </c>
      <c r="C171" s="25" t="str">
        <f t="shared" si="61"/>
        <v>Shipment 1 PAR-550-22 Main</v>
      </c>
      <c r="D171" s="25" t="s">
        <v>570</v>
      </c>
      <c r="E171" s="25" t="s">
        <v>571</v>
      </c>
      <c r="F171" s="25"/>
      <c r="G171" s="65">
        <v>46393</v>
      </c>
      <c r="H171" s="25" t="s">
        <v>572</v>
      </c>
      <c r="I171" s="25" t="s">
        <v>575</v>
      </c>
      <c r="J171" s="26" t="s">
        <v>622</v>
      </c>
      <c r="K171" s="27" t="s">
        <v>340</v>
      </c>
      <c r="L171" s="28" t="s">
        <v>342</v>
      </c>
      <c r="M171" s="28" t="s">
        <v>247</v>
      </c>
      <c r="N171" s="25">
        <v>1</v>
      </c>
      <c r="O171" s="29">
        <v>556.29999999999995</v>
      </c>
      <c r="P171" s="29">
        <v>556.29999999999995</v>
      </c>
      <c r="Q171" s="25" t="s">
        <v>543</v>
      </c>
      <c r="R171" s="25"/>
      <c r="S171" s="26" t="s">
        <v>568</v>
      </c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62"/>
        <v>556.29999999999995</v>
      </c>
      <c r="AF171" s="32">
        <f t="shared" si="63"/>
        <v>0</v>
      </c>
      <c r="AG171" s="30"/>
      <c r="AH171" s="33">
        <v>1</v>
      </c>
      <c r="AI171" s="34">
        <f t="shared" si="64"/>
        <v>556.29999999999995</v>
      </c>
      <c r="AJ171" s="35">
        <v>46160</v>
      </c>
      <c r="AK171" s="30">
        <v>1</v>
      </c>
      <c r="AL171" s="36">
        <f t="shared" si="65"/>
        <v>556.29999999999995</v>
      </c>
      <c r="AM171" s="35">
        <v>46162</v>
      </c>
      <c r="AN171" s="30">
        <v>1</v>
      </c>
      <c r="AO171" s="36">
        <f t="shared" si="66"/>
        <v>556.29999999999995</v>
      </c>
      <c r="AP171" s="35"/>
      <c r="AQ171" s="30"/>
      <c r="AR171" s="36">
        <f t="shared" si="67"/>
        <v>0</v>
      </c>
      <c r="AS171" s="27" t="s">
        <v>585</v>
      </c>
      <c r="AT171" s="37">
        <v>46165</v>
      </c>
      <c r="AU171" s="30">
        <v>1</v>
      </c>
      <c r="AV171" s="36">
        <f t="shared" si="68"/>
        <v>556.29999999999995</v>
      </c>
      <c r="AW171" s="35">
        <v>46167</v>
      </c>
      <c r="AX171" s="30">
        <v>1</v>
      </c>
      <c r="AY171" s="32">
        <f t="shared" ref="AY171:AY186" si="76">IFERROR(AX171*$P171/$N171,0)</f>
        <v>556.29999999999995</v>
      </c>
      <c r="AZ171" s="30" t="s">
        <v>580</v>
      </c>
      <c r="BA171" s="63" t="s">
        <v>584</v>
      </c>
      <c r="BB171" s="71" t="e">
        <f>SUMIFS([1]Form!$F$8:$F$21,[1]Form!$J$8:$J$21,K171)</f>
        <v>#VALUE!</v>
      </c>
      <c r="BC171" s="71"/>
      <c r="BD171" s="71"/>
    </row>
    <row r="172" spans="1:56" hidden="1" x14ac:dyDescent="0.25">
      <c r="A172" s="24">
        <f>IF(B172="","",SUBTOTAL(3,$B$4:B172))</f>
        <v>0</v>
      </c>
      <c r="B172" s="25" t="s">
        <v>569</v>
      </c>
      <c r="C172" s="25" t="str">
        <f t="shared" si="61"/>
        <v>Shipment 1 PAR-550-22 Main</v>
      </c>
      <c r="D172" s="25" t="s">
        <v>570</v>
      </c>
      <c r="E172" s="25" t="s">
        <v>571</v>
      </c>
      <c r="F172" s="25"/>
      <c r="G172" s="65">
        <v>46393</v>
      </c>
      <c r="H172" s="25" t="s">
        <v>572</v>
      </c>
      <c r="I172" s="25" t="s">
        <v>575</v>
      </c>
      <c r="J172" s="26" t="s">
        <v>622</v>
      </c>
      <c r="K172" s="27" t="s">
        <v>343</v>
      </c>
      <c r="L172" s="28" t="s">
        <v>344</v>
      </c>
      <c r="M172" s="28" t="s">
        <v>247</v>
      </c>
      <c r="N172" s="25">
        <v>1</v>
      </c>
      <c r="O172" s="29">
        <v>264.03333333333336</v>
      </c>
      <c r="P172" s="29">
        <v>264.03333333333336</v>
      </c>
      <c r="Q172" s="25" t="s">
        <v>544</v>
      </c>
      <c r="R172" s="25"/>
      <c r="S172" s="26" t="s">
        <v>568</v>
      </c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62"/>
        <v>264.03333333333336</v>
      </c>
      <c r="AF172" s="32">
        <f t="shared" si="63"/>
        <v>0</v>
      </c>
      <c r="AG172" s="30"/>
      <c r="AH172" s="33">
        <v>1</v>
      </c>
      <c r="AI172" s="34">
        <f t="shared" si="64"/>
        <v>264.03333333333336</v>
      </c>
      <c r="AJ172" s="35">
        <v>46160</v>
      </c>
      <c r="AK172" s="30">
        <v>1</v>
      </c>
      <c r="AL172" s="36">
        <f t="shared" si="65"/>
        <v>264.03333333333336</v>
      </c>
      <c r="AM172" s="35">
        <v>46162</v>
      </c>
      <c r="AN172" s="30">
        <v>1</v>
      </c>
      <c r="AO172" s="36">
        <f t="shared" si="66"/>
        <v>264.03333333333336</v>
      </c>
      <c r="AP172" s="35"/>
      <c r="AQ172" s="30"/>
      <c r="AR172" s="36">
        <f t="shared" si="67"/>
        <v>0</v>
      </c>
      <c r="AS172" s="27" t="s">
        <v>585</v>
      </c>
      <c r="AT172" s="37">
        <v>46165</v>
      </c>
      <c r="AU172" s="30">
        <v>1</v>
      </c>
      <c r="AV172" s="36">
        <f t="shared" si="68"/>
        <v>264.03333333333336</v>
      </c>
      <c r="AW172" s="35">
        <v>46167</v>
      </c>
      <c r="AX172" s="30">
        <v>1</v>
      </c>
      <c r="AY172" s="32">
        <f t="shared" si="76"/>
        <v>264.03333333333336</v>
      </c>
      <c r="AZ172" s="30" t="s">
        <v>580</v>
      </c>
      <c r="BA172" s="63" t="s">
        <v>584</v>
      </c>
      <c r="BB172" s="71" t="e">
        <f>SUMIFS([1]Form!$F$8:$F$21,[1]Form!$J$8:$J$21,K172)</f>
        <v>#VALUE!</v>
      </c>
      <c r="BC172" s="71"/>
      <c r="BD172" s="71"/>
    </row>
    <row r="173" spans="1:56" hidden="1" x14ac:dyDescent="0.25">
      <c r="A173" s="24">
        <f>IF(B173="","",SUBTOTAL(3,$B$4:B173))</f>
        <v>0</v>
      </c>
      <c r="B173" s="25" t="s">
        <v>569</v>
      </c>
      <c r="C173" s="25" t="str">
        <f t="shared" si="61"/>
        <v>Shipment 1 PAR-550-22 Main</v>
      </c>
      <c r="D173" s="25" t="s">
        <v>570</v>
      </c>
      <c r="E173" s="25" t="s">
        <v>571</v>
      </c>
      <c r="F173" s="25"/>
      <c r="G173" s="65">
        <v>46393</v>
      </c>
      <c r="H173" s="25" t="s">
        <v>572</v>
      </c>
      <c r="I173" s="25" t="s">
        <v>575</v>
      </c>
      <c r="J173" s="26" t="s">
        <v>622</v>
      </c>
      <c r="K173" s="27" t="s">
        <v>343</v>
      </c>
      <c r="L173" s="28" t="s">
        <v>345</v>
      </c>
      <c r="M173" s="28" t="s">
        <v>247</v>
      </c>
      <c r="N173" s="25">
        <v>1</v>
      </c>
      <c r="O173" s="29">
        <v>264.03333333333336</v>
      </c>
      <c r="P173" s="29">
        <v>264.03333333333336</v>
      </c>
      <c r="Q173" s="25" t="s">
        <v>544</v>
      </c>
      <c r="R173" s="25"/>
      <c r="S173" s="26" t="s">
        <v>568</v>
      </c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62"/>
        <v>264.03333333333336</v>
      </c>
      <c r="AF173" s="32">
        <f t="shared" si="63"/>
        <v>0</v>
      </c>
      <c r="AG173" s="30"/>
      <c r="AH173" s="33">
        <v>1</v>
      </c>
      <c r="AI173" s="34">
        <f t="shared" si="64"/>
        <v>264.03333333333336</v>
      </c>
      <c r="AJ173" s="35">
        <v>46160</v>
      </c>
      <c r="AK173" s="30">
        <v>1</v>
      </c>
      <c r="AL173" s="36">
        <f t="shared" si="65"/>
        <v>264.03333333333336</v>
      </c>
      <c r="AM173" s="35">
        <v>46162</v>
      </c>
      <c r="AN173" s="30">
        <v>1</v>
      </c>
      <c r="AO173" s="36">
        <f t="shared" si="66"/>
        <v>264.03333333333336</v>
      </c>
      <c r="AP173" s="35"/>
      <c r="AQ173" s="30"/>
      <c r="AR173" s="36">
        <f t="shared" si="67"/>
        <v>0</v>
      </c>
      <c r="AS173" s="27" t="s">
        <v>585</v>
      </c>
      <c r="AT173" s="37">
        <v>46165</v>
      </c>
      <c r="AU173" s="30">
        <v>1</v>
      </c>
      <c r="AV173" s="36">
        <f t="shared" si="68"/>
        <v>264.03333333333336</v>
      </c>
      <c r="AW173" s="35">
        <v>46167</v>
      </c>
      <c r="AX173" s="30">
        <v>1</v>
      </c>
      <c r="AY173" s="32">
        <f t="shared" si="76"/>
        <v>264.03333333333336</v>
      </c>
      <c r="AZ173" s="30" t="s">
        <v>580</v>
      </c>
      <c r="BA173" s="63" t="s">
        <v>584</v>
      </c>
      <c r="BB173" s="71" t="e">
        <f>SUMIFS([1]Form!$F$8:$F$21,[1]Form!$J$8:$J$21,K173)</f>
        <v>#VALUE!</v>
      </c>
      <c r="BC173" s="71"/>
      <c r="BD173" s="71"/>
    </row>
    <row r="174" spans="1:56" hidden="1" x14ac:dyDescent="0.25">
      <c r="A174" s="24">
        <f>IF(B174="","",SUBTOTAL(3,$B$4:B174))</f>
        <v>0</v>
      </c>
      <c r="B174" s="25" t="s">
        <v>569</v>
      </c>
      <c r="C174" s="25" t="str">
        <f t="shared" si="61"/>
        <v>Shipment 1 PAR-550-22 Main</v>
      </c>
      <c r="D174" s="25" t="s">
        <v>570</v>
      </c>
      <c r="E174" s="25" t="s">
        <v>571</v>
      </c>
      <c r="F174" s="25"/>
      <c r="G174" s="65">
        <v>46393</v>
      </c>
      <c r="H174" s="25" t="s">
        <v>572</v>
      </c>
      <c r="I174" s="25" t="s">
        <v>575</v>
      </c>
      <c r="J174" s="26" t="s">
        <v>622</v>
      </c>
      <c r="K174" s="27" t="s">
        <v>343</v>
      </c>
      <c r="L174" s="28" t="s">
        <v>346</v>
      </c>
      <c r="M174" s="28" t="s">
        <v>247</v>
      </c>
      <c r="N174" s="25">
        <v>1</v>
      </c>
      <c r="O174" s="29">
        <v>264.03333333333336</v>
      </c>
      <c r="P174" s="29">
        <v>264.03333333333336</v>
      </c>
      <c r="Q174" s="25" t="s">
        <v>544</v>
      </c>
      <c r="R174" s="25"/>
      <c r="S174" s="26" t="s">
        <v>568</v>
      </c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62"/>
        <v>264.03333333333336</v>
      </c>
      <c r="AF174" s="32">
        <f t="shared" si="63"/>
        <v>0</v>
      </c>
      <c r="AG174" s="30"/>
      <c r="AH174" s="33">
        <v>1</v>
      </c>
      <c r="AI174" s="34">
        <f t="shared" si="64"/>
        <v>264.03333333333336</v>
      </c>
      <c r="AJ174" s="35">
        <v>46160</v>
      </c>
      <c r="AK174" s="30">
        <v>1</v>
      </c>
      <c r="AL174" s="36">
        <f t="shared" si="65"/>
        <v>264.03333333333336</v>
      </c>
      <c r="AM174" s="35">
        <v>46165</v>
      </c>
      <c r="AN174" s="30">
        <v>1</v>
      </c>
      <c r="AO174" s="36">
        <f t="shared" si="66"/>
        <v>264.03333333333336</v>
      </c>
      <c r="AP174" s="35"/>
      <c r="AQ174" s="30"/>
      <c r="AR174" s="36">
        <f t="shared" si="67"/>
        <v>0</v>
      </c>
      <c r="AS174" s="27" t="s">
        <v>585</v>
      </c>
      <c r="AT174" s="37">
        <v>46165</v>
      </c>
      <c r="AU174" s="30">
        <v>1</v>
      </c>
      <c r="AV174" s="36">
        <f t="shared" si="68"/>
        <v>264.03333333333336</v>
      </c>
      <c r="AW174" s="35">
        <v>46167</v>
      </c>
      <c r="AX174" s="30">
        <v>1</v>
      </c>
      <c r="AY174" s="32">
        <f t="shared" si="76"/>
        <v>264.03333333333336</v>
      </c>
      <c r="AZ174" s="30" t="s">
        <v>580</v>
      </c>
      <c r="BA174" s="63" t="s">
        <v>584</v>
      </c>
      <c r="BB174" s="71" t="e">
        <f>SUMIFS([1]Form!$F$8:$F$21,[1]Form!$J$8:$J$21,K174)</f>
        <v>#VALUE!</v>
      </c>
      <c r="BC174" s="71"/>
      <c r="BD174" s="71"/>
    </row>
    <row r="175" spans="1:56" hidden="1" x14ac:dyDescent="0.25">
      <c r="A175" s="24">
        <f>IF(B175="","",SUBTOTAL(3,$B$4:B175))</f>
        <v>0</v>
      </c>
      <c r="B175" s="25" t="s">
        <v>569</v>
      </c>
      <c r="C175" s="25" t="str">
        <f t="shared" si="61"/>
        <v>Shipment 1 PAR-550-22 Main</v>
      </c>
      <c r="D175" s="25" t="s">
        <v>570</v>
      </c>
      <c r="E175" s="25" t="s">
        <v>571</v>
      </c>
      <c r="F175" s="25"/>
      <c r="G175" s="65">
        <v>46393</v>
      </c>
      <c r="H175" s="25" t="s">
        <v>572</v>
      </c>
      <c r="I175" s="25" t="s">
        <v>576</v>
      </c>
      <c r="J175" s="26" t="s">
        <v>622</v>
      </c>
      <c r="K175" s="27" t="s">
        <v>347</v>
      </c>
      <c r="L175" s="28" t="s">
        <v>348</v>
      </c>
      <c r="M175" s="28" t="s">
        <v>349</v>
      </c>
      <c r="N175" s="25">
        <v>1</v>
      </c>
      <c r="O175" s="29">
        <v>108.4</v>
      </c>
      <c r="P175" s="29">
        <v>108.4</v>
      </c>
      <c r="Q175" s="25" t="s">
        <v>545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62"/>
        <v>108.4</v>
      </c>
      <c r="AF175" s="32">
        <f t="shared" si="63"/>
        <v>0</v>
      </c>
      <c r="AG175" s="30"/>
      <c r="AH175" s="33">
        <v>1</v>
      </c>
      <c r="AI175" s="34">
        <f t="shared" si="64"/>
        <v>108.4</v>
      </c>
      <c r="AJ175" s="35">
        <v>46163</v>
      </c>
      <c r="AK175" s="30">
        <v>1</v>
      </c>
      <c r="AL175" s="36">
        <f t="shared" si="65"/>
        <v>108.4</v>
      </c>
      <c r="AM175" s="35">
        <v>46168</v>
      </c>
      <c r="AN175" s="30">
        <v>1</v>
      </c>
      <c r="AO175" s="36">
        <f t="shared" si="66"/>
        <v>108.4</v>
      </c>
      <c r="AP175" s="35"/>
      <c r="AQ175" s="30"/>
      <c r="AR175" s="36">
        <f t="shared" si="67"/>
        <v>0</v>
      </c>
      <c r="AS175" s="27" t="s">
        <v>588</v>
      </c>
      <c r="AT175" s="37">
        <v>46168</v>
      </c>
      <c r="AU175" s="30">
        <v>1</v>
      </c>
      <c r="AV175" s="36">
        <f t="shared" si="68"/>
        <v>108.4</v>
      </c>
      <c r="AW175" s="35">
        <v>46171</v>
      </c>
      <c r="AX175" s="30">
        <v>1</v>
      </c>
      <c r="AY175" s="32">
        <f t="shared" si="76"/>
        <v>108.4</v>
      </c>
      <c r="AZ175" s="30" t="s">
        <v>580</v>
      </c>
      <c r="BA175" s="63" t="s">
        <v>585</v>
      </c>
      <c r="BB175" s="71" t="e">
        <f>SUMIFS([1]Form!$F$8:$F$21,[1]Form!$J$8:$J$21,K175)</f>
        <v>#VALUE!</v>
      </c>
      <c r="BC175" s="71"/>
      <c r="BD175" s="71"/>
    </row>
    <row r="176" spans="1:56" hidden="1" x14ac:dyDescent="0.25">
      <c r="A176" s="24">
        <f>IF(B176="","",SUBTOTAL(3,$B$4:B176))</f>
        <v>0</v>
      </c>
      <c r="B176" s="25" t="s">
        <v>569</v>
      </c>
      <c r="C176" s="25" t="str">
        <f t="shared" si="61"/>
        <v>Shipment 1 PAR-550-22 Main</v>
      </c>
      <c r="D176" s="25" t="s">
        <v>570</v>
      </c>
      <c r="E176" s="25" t="s">
        <v>571</v>
      </c>
      <c r="F176" s="25"/>
      <c r="G176" s="65">
        <v>46393</v>
      </c>
      <c r="H176" s="25" t="s">
        <v>572</v>
      </c>
      <c r="I176" s="25" t="s">
        <v>576</v>
      </c>
      <c r="J176" s="26" t="s">
        <v>622</v>
      </c>
      <c r="K176" s="27" t="s">
        <v>347</v>
      </c>
      <c r="L176" s="28" t="s">
        <v>350</v>
      </c>
      <c r="M176" s="28" t="s">
        <v>349</v>
      </c>
      <c r="N176" s="25">
        <v>1</v>
      </c>
      <c r="O176" s="29">
        <v>108.4</v>
      </c>
      <c r="P176" s="29">
        <v>108.4</v>
      </c>
      <c r="Q176" s="25" t="s">
        <v>545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62"/>
        <v>108.4</v>
      </c>
      <c r="AF176" s="32">
        <f t="shared" si="63"/>
        <v>0</v>
      </c>
      <c r="AG176" s="30"/>
      <c r="AH176" s="33">
        <v>1</v>
      </c>
      <c r="AI176" s="34">
        <f t="shared" si="64"/>
        <v>108.4</v>
      </c>
      <c r="AJ176" s="35">
        <v>46163</v>
      </c>
      <c r="AK176" s="30">
        <v>1</v>
      </c>
      <c r="AL176" s="36">
        <f t="shared" si="65"/>
        <v>108.4</v>
      </c>
      <c r="AM176" s="35">
        <v>46168</v>
      </c>
      <c r="AN176" s="30">
        <v>1</v>
      </c>
      <c r="AO176" s="36">
        <f t="shared" si="66"/>
        <v>108.4</v>
      </c>
      <c r="AP176" s="35"/>
      <c r="AQ176" s="30"/>
      <c r="AR176" s="36">
        <f t="shared" si="67"/>
        <v>0</v>
      </c>
      <c r="AS176" s="27" t="s">
        <v>588</v>
      </c>
      <c r="AT176" s="37">
        <v>46168</v>
      </c>
      <c r="AU176" s="30">
        <v>1</v>
      </c>
      <c r="AV176" s="36">
        <f t="shared" si="68"/>
        <v>108.4</v>
      </c>
      <c r="AW176" s="35">
        <v>46171</v>
      </c>
      <c r="AX176" s="30">
        <v>1</v>
      </c>
      <c r="AY176" s="32">
        <f t="shared" si="76"/>
        <v>108.4</v>
      </c>
      <c r="AZ176" s="30" t="s">
        <v>580</v>
      </c>
      <c r="BA176" s="63" t="s">
        <v>585</v>
      </c>
      <c r="BB176" s="71" t="e">
        <f>SUMIFS([1]Form!$F$8:$F$21,[1]Form!$J$8:$J$21,K176)</f>
        <v>#VALUE!</v>
      </c>
      <c r="BC176" s="71"/>
      <c r="BD176" s="71"/>
    </row>
    <row r="177" spans="1:56" hidden="1" x14ac:dyDescent="0.25">
      <c r="A177" s="24">
        <f>IF(B177="","",SUBTOTAL(3,$B$4:B177))</f>
        <v>0</v>
      </c>
      <c r="B177" s="25" t="s">
        <v>569</v>
      </c>
      <c r="C177" s="25" t="str">
        <f t="shared" si="61"/>
        <v>Shipment 1 PAR-550-22 Main</v>
      </c>
      <c r="D177" s="25" t="s">
        <v>570</v>
      </c>
      <c r="E177" s="25" t="s">
        <v>571</v>
      </c>
      <c r="F177" s="25"/>
      <c r="G177" s="65">
        <v>46393</v>
      </c>
      <c r="H177" s="25" t="s">
        <v>572</v>
      </c>
      <c r="I177" s="25" t="s">
        <v>576</v>
      </c>
      <c r="J177" s="26" t="s">
        <v>622</v>
      </c>
      <c r="K177" s="27" t="s">
        <v>351</v>
      </c>
      <c r="L177" s="28" t="s">
        <v>352</v>
      </c>
      <c r="M177" s="28" t="s">
        <v>349</v>
      </c>
      <c r="N177" s="25">
        <v>1</v>
      </c>
      <c r="O177" s="29">
        <v>105.75</v>
      </c>
      <c r="P177" s="29">
        <v>105.75</v>
      </c>
      <c r="Q177" s="25" t="s">
        <v>546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62"/>
        <v>105.75000000000001</v>
      </c>
      <c r="AF177" s="32">
        <f t="shared" si="63"/>
        <v>0</v>
      </c>
      <c r="AG177" s="30"/>
      <c r="AH177" s="33">
        <v>1</v>
      </c>
      <c r="AI177" s="34">
        <f t="shared" si="64"/>
        <v>105.75</v>
      </c>
      <c r="AJ177" s="35">
        <v>46163</v>
      </c>
      <c r="AK177" s="30">
        <v>1</v>
      </c>
      <c r="AL177" s="36">
        <f t="shared" si="65"/>
        <v>105.75</v>
      </c>
      <c r="AM177" s="35">
        <v>46168</v>
      </c>
      <c r="AN177" s="30">
        <v>1</v>
      </c>
      <c r="AO177" s="36">
        <f t="shared" si="66"/>
        <v>105.75</v>
      </c>
      <c r="AP177" s="35"/>
      <c r="AQ177" s="30"/>
      <c r="AR177" s="36">
        <f t="shared" si="67"/>
        <v>0</v>
      </c>
      <c r="AS177" s="27" t="s">
        <v>588</v>
      </c>
      <c r="AT177" s="37">
        <v>46168</v>
      </c>
      <c r="AU177" s="30">
        <v>1</v>
      </c>
      <c r="AV177" s="36">
        <f t="shared" si="68"/>
        <v>105.75</v>
      </c>
      <c r="AW177" s="35">
        <v>46171</v>
      </c>
      <c r="AX177" s="30">
        <v>1</v>
      </c>
      <c r="AY177" s="32">
        <f t="shared" si="76"/>
        <v>105.75</v>
      </c>
      <c r="AZ177" s="30" t="s">
        <v>580</v>
      </c>
      <c r="BA177" s="63" t="s">
        <v>585</v>
      </c>
      <c r="BB177" s="71" t="e">
        <f>SUMIFS([1]Form!$F$8:$F$21,[1]Form!$J$8:$J$21,K177)</f>
        <v>#VALUE!</v>
      </c>
      <c r="BC177" s="71"/>
      <c r="BD177" s="71"/>
    </row>
    <row r="178" spans="1:56" hidden="1" x14ac:dyDescent="0.25">
      <c r="A178" s="24">
        <f>IF(B178="","",SUBTOTAL(3,$B$4:B178))</f>
        <v>0</v>
      </c>
      <c r="B178" s="25" t="s">
        <v>569</v>
      </c>
      <c r="C178" s="25" t="str">
        <f t="shared" si="61"/>
        <v>Shipment 1 PAR-550-22 Main</v>
      </c>
      <c r="D178" s="25" t="s">
        <v>570</v>
      </c>
      <c r="E178" s="25" t="s">
        <v>571</v>
      </c>
      <c r="F178" s="25"/>
      <c r="G178" s="65">
        <v>46393</v>
      </c>
      <c r="H178" s="25" t="s">
        <v>572</v>
      </c>
      <c r="I178" s="25" t="s">
        <v>576</v>
      </c>
      <c r="J178" s="26" t="s">
        <v>622</v>
      </c>
      <c r="K178" s="27" t="s">
        <v>351</v>
      </c>
      <c r="L178" s="28" t="s">
        <v>353</v>
      </c>
      <c r="M178" s="28" t="s">
        <v>349</v>
      </c>
      <c r="N178" s="25">
        <v>1</v>
      </c>
      <c r="O178" s="29">
        <v>105.75</v>
      </c>
      <c r="P178" s="29">
        <v>105.75</v>
      </c>
      <c r="Q178" s="25" t="s">
        <v>546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62"/>
        <v>105.75000000000001</v>
      </c>
      <c r="AF178" s="32">
        <f t="shared" si="63"/>
        <v>0</v>
      </c>
      <c r="AG178" s="30"/>
      <c r="AH178" s="33">
        <v>1</v>
      </c>
      <c r="AI178" s="34">
        <f t="shared" si="64"/>
        <v>105.75</v>
      </c>
      <c r="AJ178" s="35">
        <v>46163</v>
      </c>
      <c r="AK178" s="30">
        <v>1</v>
      </c>
      <c r="AL178" s="36">
        <f t="shared" si="65"/>
        <v>105.75</v>
      </c>
      <c r="AM178" s="35">
        <v>46168</v>
      </c>
      <c r="AN178" s="30">
        <v>1</v>
      </c>
      <c r="AO178" s="36">
        <f t="shared" si="66"/>
        <v>105.75</v>
      </c>
      <c r="AP178" s="35"/>
      <c r="AQ178" s="30"/>
      <c r="AR178" s="36">
        <f t="shared" si="67"/>
        <v>0</v>
      </c>
      <c r="AS178" s="27" t="s">
        <v>588</v>
      </c>
      <c r="AT178" s="37">
        <v>46168</v>
      </c>
      <c r="AU178" s="30">
        <v>1</v>
      </c>
      <c r="AV178" s="36">
        <f t="shared" si="68"/>
        <v>105.75</v>
      </c>
      <c r="AW178" s="35">
        <v>46171</v>
      </c>
      <c r="AX178" s="30">
        <v>1</v>
      </c>
      <c r="AY178" s="32">
        <f t="shared" si="76"/>
        <v>105.75</v>
      </c>
      <c r="AZ178" s="30" t="s">
        <v>580</v>
      </c>
      <c r="BA178" s="63" t="s">
        <v>585</v>
      </c>
      <c r="BB178" s="71" t="e">
        <f>SUMIFS([1]Form!$F$8:$F$21,[1]Form!$J$8:$J$21,K178)</f>
        <v>#VALUE!</v>
      </c>
      <c r="BC178" s="71"/>
      <c r="BD178" s="71"/>
    </row>
    <row r="179" spans="1:56" hidden="1" x14ac:dyDescent="0.25">
      <c r="A179" s="24">
        <f>IF(B179="","",SUBTOTAL(3,$B$4:B179))</f>
        <v>0</v>
      </c>
      <c r="B179" s="25" t="s">
        <v>569</v>
      </c>
      <c r="C179" s="25" t="str">
        <f t="shared" si="61"/>
        <v>Shipment 1 PAR-550-22 Main</v>
      </c>
      <c r="D179" s="25" t="s">
        <v>570</v>
      </c>
      <c r="E179" s="25" t="s">
        <v>571</v>
      </c>
      <c r="F179" s="25"/>
      <c r="G179" s="65">
        <v>46393</v>
      </c>
      <c r="H179" s="25" t="s">
        <v>572</v>
      </c>
      <c r="I179" s="25" t="s">
        <v>576</v>
      </c>
      <c r="J179" s="26" t="s">
        <v>622</v>
      </c>
      <c r="K179" s="27" t="s">
        <v>354</v>
      </c>
      <c r="L179" s="28" t="s">
        <v>355</v>
      </c>
      <c r="M179" s="28" t="s">
        <v>356</v>
      </c>
      <c r="N179" s="25">
        <v>1</v>
      </c>
      <c r="O179" s="29">
        <v>40.9</v>
      </c>
      <c r="P179" s="29">
        <v>40.9</v>
      </c>
      <c r="Q179" s="25" t="s">
        <v>547</v>
      </c>
      <c r="R179" s="25"/>
      <c r="S179" s="26" t="s">
        <v>568</v>
      </c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62"/>
        <v>40.900000000000006</v>
      </c>
      <c r="AF179" s="32">
        <f t="shared" si="63"/>
        <v>0</v>
      </c>
      <c r="AG179" s="30"/>
      <c r="AH179" s="33">
        <v>1</v>
      </c>
      <c r="AI179" s="34">
        <f t="shared" si="64"/>
        <v>40.9</v>
      </c>
      <c r="AJ179" s="35">
        <v>46163</v>
      </c>
      <c r="AK179" s="30">
        <v>1</v>
      </c>
      <c r="AL179" s="36">
        <f t="shared" si="65"/>
        <v>40.9</v>
      </c>
      <c r="AM179" s="35">
        <v>46168</v>
      </c>
      <c r="AN179" s="30">
        <v>1</v>
      </c>
      <c r="AO179" s="36">
        <f t="shared" si="66"/>
        <v>40.9</v>
      </c>
      <c r="AP179" s="35"/>
      <c r="AQ179" s="30"/>
      <c r="AR179" s="36">
        <f t="shared" si="67"/>
        <v>0</v>
      </c>
      <c r="AS179" s="27" t="s">
        <v>587</v>
      </c>
      <c r="AT179" s="37">
        <v>46168</v>
      </c>
      <c r="AU179" s="30">
        <v>1</v>
      </c>
      <c r="AV179" s="36">
        <f t="shared" si="68"/>
        <v>40.9</v>
      </c>
      <c r="AW179" s="35">
        <v>46171</v>
      </c>
      <c r="AX179" s="30">
        <v>1</v>
      </c>
      <c r="AY179" s="32">
        <f t="shared" si="76"/>
        <v>40.9</v>
      </c>
      <c r="AZ179" s="30" t="s">
        <v>580</v>
      </c>
      <c r="BA179" s="63" t="s">
        <v>585</v>
      </c>
      <c r="BB179" s="71" t="e">
        <f>SUMIFS([1]Form!$F$8:$F$21,[1]Form!$J$8:$J$21,K179)</f>
        <v>#VALUE!</v>
      </c>
      <c r="BC179" s="71"/>
      <c r="BD179" s="71"/>
    </row>
    <row r="180" spans="1:56" hidden="1" x14ac:dyDescent="0.25">
      <c r="A180" s="24">
        <f>IF(B180="","",SUBTOTAL(3,$B$4:B180))</f>
        <v>0</v>
      </c>
      <c r="B180" s="25" t="s">
        <v>569</v>
      </c>
      <c r="C180" s="25" t="str">
        <f t="shared" si="61"/>
        <v>Shipment 1 PAR-550-22 Main</v>
      </c>
      <c r="D180" s="25" t="s">
        <v>570</v>
      </c>
      <c r="E180" s="25" t="s">
        <v>571</v>
      </c>
      <c r="F180" s="25"/>
      <c r="G180" s="65">
        <v>46393</v>
      </c>
      <c r="H180" s="25" t="s">
        <v>572</v>
      </c>
      <c r="I180" s="25" t="s">
        <v>576</v>
      </c>
      <c r="J180" s="26" t="s">
        <v>622</v>
      </c>
      <c r="K180" s="27" t="s">
        <v>357</v>
      </c>
      <c r="L180" s="28" t="s">
        <v>358</v>
      </c>
      <c r="M180" s="28" t="s">
        <v>356</v>
      </c>
      <c r="N180" s="25">
        <v>1</v>
      </c>
      <c r="O180" s="29">
        <v>39.299999999999997</v>
      </c>
      <c r="P180" s="29">
        <v>39.299999999999997</v>
      </c>
      <c r="Q180" s="25" t="s">
        <v>548</v>
      </c>
      <c r="R180" s="25"/>
      <c r="S180" s="26" t="s">
        <v>568</v>
      </c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62"/>
        <v>39.299999999999997</v>
      </c>
      <c r="AF180" s="32">
        <f t="shared" si="63"/>
        <v>0</v>
      </c>
      <c r="AG180" s="30"/>
      <c r="AH180" s="33">
        <v>1</v>
      </c>
      <c r="AI180" s="34">
        <f t="shared" si="64"/>
        <v>39.299999999999997</v>
      </c>
      <c r="AJ180" s="35">
        <v>46163</v>
      </c>
      <c r="AK180" s="30">
        <v>1</v>
      </c>
      <c r="AL180" s="36">
        <f t="shared" si="65"/>
        <v>39.299999999999997</v>
      </c>
      <c r="AM180" s="35">
        <v>46168</v>
      </c>
      <c r="AN180" s="30">
        <v>1</v>
      </c>
      <c r="AO180" s="36">
        <f t="shared" si="66"/>
        <v>39.299999999999997</v>
      </c>
      <c r="AP180" s="35"/>
      <c r="AQ180" s="30"/>
      <c r="AR180" s="36">
        <f t="shared" si="67"/>
        <v>0</v>
      </c>
      <c r="AS180" s="27" t="s">
        <v>587</v>
      </c>
      <c r="AT180" s="37">
        <v>46168</v>
      </c>
      <c r="AU180" s="30">
        <v>1</v>
      </c>
      <c r="AV180" s="36">
        <f t="shared" si="68"/>
        <v>39.299999999999997</v>
      </c>
      <c r="AW180" s="35">
        <v>46171</v>
      </c>
      <c r="AX180" s="30">
        <v>1</v>
      </c>
      <c r="AY180" s="32">
        <f t="shared" si="76"/>
        <v>39.299999999999997</v>
      </c>
      <c r="AZ180" s="30" t="s">
        <v>580</v>
      </c>
      <c r="BA180" s="63" t="s">
        <v>585</v>
      </c>
      <c r="BB180" s="71" t="e">
        <f>SUMIFS([1]Form!$F$8:$F$21,[1]Form!$J$8:$J$21,K180)</f>
        <v>#VALUE!</v>
      </c>
      <c r="BC180" s="71"/>
      <c r="BD180" s="71"/>
    </row>
    <row r="181" spans="1:56" hidden="1" x14ac:dyDescent="0.25">
      <c r="A181" s="24">
        <f>IF(B181="","",SUBTOTAL(3,$B$4:B181))</f>
        <v>0</v>
      </c>
      <c r="B181" s="25" t="s">
        <v>569</v>
      </c>
      <c r="C181" s="25" t="str">
        <f t="shared" si="61"/>
        <v>Shipment 1 PAR-550-22 Main</v>
      </c>
      <c r="D181" s="25" t="s">
        <v>570</v>
      </c>
      <c r="E181" s="25" t="s">
        <v>571</v>
      </c>
      <c r="F181" s="25"/>
      <c r="G181" s="65">
        <v>46393</v>
      </c>
      <c r="H181" s="25" t="s">
        <v>572</v>
      </c>
      <c r="I181" s="25" t="s">
        <v>575</v>
      </c>
      <c r="J181" s="26" t="s">
        <v>622</v>
      </c>
      <c r="K181" s="27" t="s">
        <v>359</v>
      </c>
      <c r="L181" s="28" t="s">
        <v>360</v>
      </c>
      <c r="M181" s="28" t="s">
        <v>361</v>
      </c>
      <c r="N181" s="25">
        <v>1</v>
      </c>
      <c r="O181" s="29">
        <v>872.1</v>
      </c>
      <c r="P181" s="29">
        <v>872.1</v>
      </c>
      <c r="Q181" s="25" t="s">
        <v>549</v>
      </c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62"/>
        <v>872.10000000000014</v>
      </c>
      <c r="AF181" s="32">
        <f t="shared" si="63"/>
        <v>0</v>
      </c>
      <c r="AG181" s="30"/>
      <c r="AH181" s="33">
        <f>INDEX([2]M296PAR55022!$X:$X,MATCH(K181,[2]M296PAR55022!$B:$B,0))</f>
        <v>1</v>
      </c>
      <c r="AI181" s="34">
        <f t="shared" si="64"/>
        <v>872.1</v>
      </c>
      <c r="AJ181" s="35">
        <v>46161</v>
      </c>
      <c r="AK181" s="30">
        <v>1</v>
      </c>
      <c r="AL181" s="36">
        <f t="shared" si="65"/>
        <v>872.1</v>
      </c>
      <c r="AM181" s="35">
        <v>46168</v>
      </c>
      <c r="AN181" s="30">
        <v>1</v>
      </c>
      <c r="AO181" s="36">
        <f t="shared" si="66"/>
        <v>872.1</v>
      </c>
      <c r="AP181" s="35"/>
      <c r="AQ181" s="30"/>
      <c r="AR181" s="36">
        <f t="shared" si="67"/>
        <v>0</v>
      </c>
      <c r="AS181" s="27" t="s">
        <v>591</v>
      </c>
      <c r="AT181" s="37">
        <v>46172</v>
      </c>
      <c r="AU181" s="30">
        <v>1</v>
      </c>
      <c r="AV181" s="36">
        <f t="shared" si="68"/>
        <v>872.1</v>
      </c>
      <c r="AW181" s="35">
        <v>46177</v>
      </c>
      <c r="AX181" s="30">
        <v>1</v>
      </c>
      <c r="AY181" s="32">
        <f t="shared" si="76"/>
        <v>872.1</v>
      </c>
      <c r="AZ181" s="30" t="s">
        <v>611</v>
      </c>
      <c r="BA181" s="63" t="s">
        <v>587</v>
      </c>
      <c r="BB181" s="71" t="e">
        <f>SUMIFS([1]Form!$F$8:$F$21,[1]Form!$J$8:$J$21,K181)</f>
        <v>#VALUE!</v>
      </c>
      <c r="BC181" s="71"/>
      <c r="BD181" s="71"/>
    </row>
    <row r="182" spans="1:56" hidden="1" x14ac:dyDescent="0.25">
      <c r="A182" s="24">
        <f>IF(B182="","",SUBTOTAL(3,$B$4:B182))</f>
        <v>0</v>
      </c>
      <c r="B182" s="25" t="s">
        <v>569</v>
      </c>
      <c r="C182" s="25" t="str">
        <f t="shared" si="61"/>
        <v>Shipment 1 PAR-550-22 Main</v>
      </c>
      <c r="D182" s="25" t="s">
        <v>570</v>
      </c>
      <c r="E182" s="25" t="s">
        <v>571</v>
      </c>
      <c r="F182" s="25"/>
      <c r="G182" s="65">
        <v>46393</v>
      </c>
      <c r="H182" s="25" t="s">
        <v>572</v>
      </c>
      <c r="I182" s="25" t="s">
        <v>575</v>
      </c>
      <c r="J182" s="26" t="s">
        <v>622</v>
      </c>
      <c r="K182" s="27" t="s">
        <v>362</v>
      </c>
      <c r="L182" s="28" t="s">
        <v>363</v>
      </c>
      <c r="M182" s="28" t="s">
        <v>361</v>
      </c>
      <c r="N182" s="25">
        <v>1</v>
      </c>
      <c r="O182" s="29">
        <v>883</v>
      </c>
      <c r="P182" s="29">
        <v>883</v>
      </c>
      <c r="Q182" s="25" t="s">
        <v>550</v>
      </c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62"/>
        <v>883</v>
      </c>
      <c r="AF182" s="32">
        <f t="shared" si="63"/>
        <v>0</v>
      </c>
      <c r="AG182" s="30"/>
      <c r="AH182" s="33">
        <f>INDEX([2]M296PAR55022!$X:$X,MATCH(K182,[2]M296PAR55022!$B:$B,0))</f>
        <v>1</v>
      </c>
      <c r="AI182" s="34">
        <f t="shared" si="64"/>
        <v>883</v>
      </c>
      <c r="AJ182" s="35">
        <v>46162</v>
      </c>
      <c r="AK182" s="30">
        <v>1</v>
      </c>
      <c r="AL182" s="36">
        <f t="shared" si="65"/>
        <v>883</v>
      </c>
      <c r="AM182" s="35">
        <v>46170</v>
      </c>
      <c r="AN182" s="30">
        <v>1</v>
      </c>
      <c r="AO182" s="36">
        <f t="shared" si="66"/>
        <v>883</v>
      </c>
      <c r="AP182" s="35"/>
      <c r="AQ182" s="30"/>
      <c r="AR182" s="36">
        <f t="shared" si="67"/>
        <v>0</v>
      </c>
      <c r="AS182" s="27" t="s">
        <v>591</v>
      </c>
      <c r="AT182" s="37">
        <v>46172</v>
      </c>
      <c r="AU182" s="30">
        <v>1</v>
      </c>
      <c r="AV182" s="36">
        <f t="shared" si="68"/>
        <v>883</v>
      </c>
      <c r="AW182" s="35">
        <v>46177</v>
      </c>
      <c r="AX182" s="30">
        <v>1</v>
      </c>
      <c r="AY182" s="32">
        <f t="shared" si="76"/>
        <v>883</v>
      </c>
      <c r="AZ182" s="30" t="s">
        <v>611</v>
      </c>
      <c r="BA182" s="63" t="s">
        <v>587</v>
      </c>
      <c r="BB182" s="71" t="e">
        <f>SUMIFS([1]Form!$F$8:$F$21,[1]Form!$J$8:$J$21,K182)</f>
        <v>#VALUE!</v>
      </c>
      <c r="BC182" s="71"/>
      <c r="BD182" s="71"/>
    </row>
    <row r="183" spans="1:56" hidden="1" x14ac:dyDescent="0.25">
      <c r="A183" s="24">
        <f>IF(B183="","",SUBTOTAL(3,$B$4:B183))</f>
        <v>0</v>
      </c>
      <c r="B183" s="25" t="s">
        <v>569</v>
      </c>
      <c r="C183" s="25" t="str">
        <f t="shared" si="61"/>
        <v>Shipment 1 PAR-550-22 Main</v>
      </c>
      <c r="D183" s="25" t="s">
        <v>570</v>
      </c>
      <c r="E183" s="25" t="s">
        <v>571</v>
      </c>
      <c r="F183" s="25"/>
      <c r="G183" s="65">
        <v>46393</v>
      </c>
      <c r="H183" s="25" t="s">
        <v>572</v>
      </c>
      <c r="I183" s="25" t="s">
        <v>575</v>
      </c>
      <c r="J183" s="26" t="s">
        <v>622</v>
      </c>
      <c r="K183" s="27" t="s">
        <v>364</v>
      </c>
      <c r="L183" s="28" t="s">
        <v>365</v>
      </c>
      <c r="M183" s="28" t="s">
        <v>361</v>
      </c>
      <c r="N183" s="25">
        <v>1</v>
      </c>
      <c r="O183" s="29">
        <v>886.69999999999993</v>
      </c>
      <c r="P183" s="29">
        <v>886.69999999999993</v>
      </c>
      <c r="Q183" s="25" t="s">
        <v>550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62"/>
        <v>886.69999999999993</v>
      </c>
      <c r="AF183" s="32">
        <f t="shared" si="63"/>
        <v>0</v>
      </c>
      <c r="AG183" s="30"/>
      <c r="AH183" s="33">
        <f>INDEX([2]M296PAR55022!$X:$X,MATCH(K183,[2]M296PAR55022!$B:$B,0))</f>
        <v>1</v>
      </c>
      <c r="AI183" s="34">
        <f t="shared" si="64"/>
        <v>886.69999999999993</v>
      </c>
      <c r="AJ183" s="35">
        <v>46162</v>
      </c>
      <c r="AK183" s="30">
        <v>1</v>
      </c>
      <c r="AL183" s="36">
        <f t="shared" si="65"/>
        <v>886.69999999999993</v>
      </c>
      <c r="AM183" s="35">
        <v>46170</v>
      </c>
      <c r="AN183" s="30">
        <v>1</v>
      </c>
      <c r="AO183" s="36">
        <f t="shared" si="66"/>
        <v>886.69999999999993</v>
      </c>
      <c r="AP183" s="35"/>
      <c r="AQ183" s="30"/>
      <c r="AR183" s="36">
        <f t="shared" si="67"/>
        <v>0</v>
      </c>
      <c r="AS183" s="27" t="s">
        <v>614</v>
      </c>
      <c r="AT183" s="37">
        <v>46182</v>
      </c>
      <c r="AU183" s="30">
        <v>1</v>
      </c>
      <c r="AV183" s="36">
        <f t="shared" si="68"/>
        <v>886.69999999999993</v>
      </c>
      <c r="AW183" s="35">
        <v>46184</v>
      </c>
      <c r="AX183" s="30">
        <v>1</v>
      </c>
      <c r="AY183" s="32">
        <f t="shared" si="76"/>
        <v>886.69999999999993</v>
      </c>
      <c r="AZ183" s="30" t="s">
        <v>611</v>
      </c>
      <c r="BA183" s="63" t="s">
        <v>612</v>
      </c>
      <c r="BB183" s="71" t="e">
        <f>SUMIFS([1]Form!$F$8:$F$21,[1]Form!$J$8:$J$21,K183)</f>
        <v>#VALUE!</v>
      </c>
      <c r="BC183" s="71"/>
      <c r="BD183" s="71"/>
    </row>
    <row r="184" spans="1:56" hidden="1" x14ac:dyDescent="0.25">
      <c r="A184" s="24">
        <f>IF(B184="","",SUBTOTAL(3,$B$4:B184))</f>
        <v>0</v>
      </c>
      <c r="B184" s="25" t="s">
        <v>569</v>
      </c>
      <c r="C184" s="25" t="str">
        <f t="shared" si="61"/>
        <v>Shipment 1 PAR-550-22 Main</v>
      </c>
      <c r="D184" s="25" t="s">
        <v>570</v>
      </c>
      <c r="E184" s="25" t="s">
        <v>571</v>
      </c>
      <c r="F184" s="25"/>
      <c r="G184" s="65">
        <v>46393</v>
      </c>
      <c r="H184" s="25" t="s">
        <v>572</v>
      </c>
      <c r="I184" s="25" t="s">
        <v>575</v>
      </c>
      <c r="J184" s="26" t="s">
        <v>622</v>
      </c>
      <c r="K184" s="27" t="s">
        <v>366</v>
      </c>
      <c r="L184" s="28" t="s">
        <v>367</v>
      </c>
      <c r="M184" s="28" t="s">
        <v>361</v>
      </c>
      <c r="N184" s="25">
        <v>1</v>
      </c>
      <c r="O184" s="29">
        <v>872.1</v>
      </c>
      <c r="P184" s="29">
        <v>872.1</v>
      </c>
      <c r="Q184" s="25" t="s">
        <v>549</v>
      </c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62"/>
        <v>872.10000000000014</v>
      </c>
      <c r="AF184" s="32">
        <f t="shared" si="63"/>
        <v>0</v>
      </c>
      <c r="AG184" s="30"/>
      <c r="AH184" s="33">
        <f>INDEX([2]M296PAR55022!$X:$X,MATCH(K184,[2]M296PAR55022!$B:$B,0))</f>
        <v>1</v>
      </c>
      <c r="AI184" s="34">
        <f t="shared" si="64"/>
        <v>872.1</v>
      </c>
      <c r="AJ184" s="35">
        <v>46156</v>
      </c>
      <c r="AK184" s="30">
        <v>1</v>
      </c>
      <c r="AL184" s="36">
        <f t="shared" si="65"/>
        <v>872.1</v>
      </c>
      <c r="AM184" s="35">
        <v>46161</v>
      </c>
      <c r="AN184" s="30">
        <v>1</v>
      </c>
      <c r="AO184" s="36">
        <f t="shared" si="66"/>
        <v>872.1</v>
      </c>
      <c r="AP184" s="35"/>
      <c r="AQ184" s="30"/>
      <c r="AR184" s="36">
        <f t="shared" si="67"/>
        <v>0</v>
      </c>
      <c r="AS184" s="27" t="s">
        <v>614</v>
      </c>
      <c r="AT184" s="37">
        <v>46182</v>
      </c>
      <c r="AU184" s="30">
        <v>1</v>
      </c>
      <c r="AV184" s="36">
        <f t="shared" si="68"/>
        <v>872.1</v>
      </c>
      <c r="AW184" s="35">
        <v>46184</v>
      </c>
      <c r="AX184" s="30">
        <v>1</v>
      </c>
      <c r="AY184" s="32">
        <f t="shared" si="76"/>
        <v>872.1</v>
      </c>
      <c r="AZ184" s="30" t="s">
        <v>611</v>
      </c>
      <c r="BA184" s="63" t="s">
        <v>612</v>
      </c>
      <c r="BB184" s="71" t="e">
        <f>SUMIFS([1]Form!$F$8:$F$21,[1]Form!$J$8:$J$21,K184)</f>
        <v>#VALUE!</v>
      </c>
      <c r="BC184" s="71"/>
      <c r="BD184" s="71"/>
    </row>
    <row r="185" spans="1:56" hidden="1" x14ac:dyDescent="0.25">
      <c r="A185" s="24">
        <f>IF(B185="","",SUBTOTAL(3,$B$4:B185))</f>
        <v>0</v>
      </c>
      <c r="B185" s="25" t="s">
        <v>569</v>
      </c>
      <c r="C185" s="25" t="str">
        <f t="shared" si="61"/>
        <v>Shipment 1 PAR-550-22 Main</v>
      </c>
      <c r="D185" s="25" t="s">
        <v>570</v>
      </c>
      <c r="E185" s="25" t="s">
        <v>571</v>
      </c>
      <c r="F185" s="25"/>
      <c r="G185" s="65">
        <v>46393</v>
      </c>
      <c r="H185" s="25" t="s">
        <v>572</v>
      </c>
      <c r="I185" s="25" t="s">
        <v>575</v>
      </c>
      <c r="J185" s="26" t="s">
        <v>622</v>
      </c>
      <c r="K185" s="27" t="s">
        <v>368</v>
      </c>
      <c r="L185" s="28" t="s">
        <v>369</v>
      </c>
      <c r="M185" s="28" t="s">
        <v>361</v>
      </c>
      <c r="N185" s="25">
        <v>1</v>
      </c>
      <c r="O185" s="29">
        <v>883</v>
      </c>
      <c r="P185" s="29">
        <v>883</v>
      </c>
      <c r="Q185" s="25" t="s">
        <v>550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62"/>
        <v>883</v>
      </c>
      <c r="AF185" s="32">
        <f t="shared" si="63"/>
        <v>0</v>
      </c>
      <c r="AG185" s="30"/>
      <c r="AH185" s="33">
        <f>INDEX([2]M296PAR55022!$X:$X,MATCH(K185,[2]M296PAR55022!$B:$B,0))</f>
        <v>1</v>
      </c>
      <c r="AI185" s="34">
        <f t="shared" si="64"/>
        <v>883</v>
      </c>
      <c r="AJ185" s="35">
        <v>46156</v>
      </c>
      <c r="AK185" s="30">
        <v>1</v>
      </c>
      <c r="AL185" s="36">
        <f t="shared" si="65"/>
        <v>883</v>
      </c>
      <c r="AM185" s="35">
        <v>46161</v>
      </c>
      <c r="AN185" s="30">
        <v>1</v>
      </c>
      <c r="AO185" s="36">
        <f t="shared" si="66"/>
        <v>883</v>
      </c>
      <c r="AP185" s="35"/>
      <c r="AQ185" s="30"/>
      <c r="AR185" s="36">
        <f t="shared" si="67"/>
        <v>0</v>
      </c>
      <c r="AS185" s="27" t="s">
        <v>614</v>
      </c>
      <c r="AT185" s="37">
        <v>46182</v>
      </c>
      <c r="AU185" s="30">
        <v>1</v>
      </c>
      <c r="AV185" s="36">
        <f t="shared" si="68"/>
        <v>883</v>
      </c>
      <c r="AW185" s="35">
        <v>46184</v>
      </c>
      <c r="AX185" s="30">
        <v>1</v>
      </c>
      <c r="AY185" s="32">
        <f t="shared" si="76"/>
        <v>883</v>
      </c>
      <c r="AZ185" s="30" t="s">
        <v>611</v>
      </c>
      <c r="BA185" s="63" t="s">
        <v>612</v>
      </c>
      <c r="BB185" s="71" t="e">
        <f>SUMIFS([1]Form!$F$8:$F$21,[1]Form!$J$8:$J$21,K185)</f>
        <v>#VALUE!</v>
      </c>
      <c r="BC185" s="71"/>
      <c r="BD185" s="71"/>
    </row>
    <row r="186" spans="1:56" hidden="1" x14ac:dyDescent="0.25">
      <c r="A186" s="24">
        <f>IF(B186="","",SUBTOTAL(3,$B$4:B186))</f>
        <v>0</v>
      </c>
      <c r="B186" s="25" t="s">
        <v>569</v>
      </c>
      <c r="C186" s="25" t="str">
        <f t="shared" si="61"/>
        <v>Shipment 1 PAR-550-22 Main</v>
      </c>
      <c r="D186" s="25" t="s">
        <v>570</v>
      </c>
      <c r="E186" s="25" t="s">
        <v>571</v>
      </c>
      <c r="F186" s="25"/>
      <c r="G186" s="65">
        <v>46393</v>
      </c>
      <c r="H186" s="25" t="s">
        <v>572</v>
      </c>
      <c r="I186" s="25" t="s">
        <v>575</v>
      </c>
      <c r="J186" s="26" t="s">
        <v>622</v>
      </c>
      <c r="K186" s="27" t="s">
        <v>370</v>
      </c>
      <c r="L186" s="28" t="s">
        <v>371</v>
      </c>
      <c r="M186" s="28" t="s">
        <v>361</v>
      </c>
      <c r="N186" s="25">
        <v>1</v>
      </c>
      <c r="O186" s="29">
        <v>885.9</v>
      </c>
      <c r="P186" s="29">
        <v>885.9</v>
      </c>
      <c r="Q186" s="25" t="s">
        <v>550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62"/>
        <v>885.9</v>
      </c>
      <c r="AF186" s="32">
        <f t="shared" si="63"/>
        <v>0</v>
      </c>
      <c r="AG186" s="30"/>
      <c r="AH186" s="33">
        <f>INDEX([2]M296PAR55022!$X:$X,MATCH(K186,[2]M296PAR55022!$B:$B,0))</f>
        <v>1</v>
      </c>
      <c r="AI186" s="34">
        <f t="shared" si="64"/>
        <v>885.9</v>
      </c>
      <c r="AJ186" s="35">
        <v>46156</v>
      </c>
      <c r="AK186" s="30">
        <v>1</v>
      </c>
      <c r="AL186" s="36">
        <f t="shared" si="65"/>
        <v>885.9</v>
      </c>
      <c r="AM186" s="35">
        <v>46161</v>
      </c>
      <c r="AN186" s="30">
        <v>1</v>
      </c>
      <c r="AO186" s="36">
        <f t="shared" si="66"/>
        <v>885.9</v>
      </c>
      <c r="AP186" s="35"/>
      <c r="AQ186" s="30"/>
      <c r="AR186" s="36">
        <f t="shared" si="67"/>
        <v>0</v>
      </c>
      <c r="AS186" s="27" t="s">
        <v>614</v>
      </c>
      <c r="AT186" s="37">
        <v>46182</v>
      </c>
      <c r="AU186" s="30">
        <v>1</v>
      </c>
      <c r="AV186" s="36">
        <f t="shared" si="68"/>
        <v>885.9</v>
      </c>
      <c r="AW186" s="35">
        <v>46184</v>
      </c>
      <c r="AX186" s="30">
        <v>1</v>
      </c>
      <c r="AY186" s="32">
        <f t="shared" si="76"/>
        <v>885.9</v>
      </c>
      <c r="AZ186" s="30" t="s">
        <v>611</v>
      </c>
      <c r="BA186" s="63" t="s">
        <v>612</v>
      </c>
      <c r="BB186" s="71" t="e">
        <f>SUMIFS([1]Form!$F$8:$F$21,[1]Form!$J$8:$J$21,K186)</f>
        <v>#VALUE!</v>
      </c>
      <c r="BC186" s="71"/>
      <c r="BD186" s="71"/>
    </row>
    <row r="187" spans="1:56" x14ac:dyDescent="0.25">
      <c r="A187" s="24">
        <f>IF(B187="","",SUBTOTAL(3,$B$4:B187))</f>
        <v>1</v>
      </c>
      <c r="B187" s="25" t="s">
        <v>569</v>
      </c>
      <c r="C187" s="25" t="str">
        <f t="shared" si="61"/>
        <v>Shipment 1 PAR-550-22 Main</v>
      </c>
      <c r="D187" s="25" t="s">
        <v>570</v>
      </c>
      <c r="E187" s="25" t="s">
        <v>571</v>
      </c>
      <c r="F187" s="25"/>
      <c r="G187" s="65">
        <v>46393</v>
      </c>
      <c r="H187" s="25" t="s">
        <v>572</v>
      </c>
      <c r="I187" s="25" t="s">
        <v>576</v>
      </c>
      <c r="J187" s="26" t="s">
        <v>622</v>
      </c>
      <c r="K187" s="27" t="s">
        <v>372</v>
      </c>
      <c r="L187" s="28" t="s">
        <v>373</v>
      </c>
      <c r="M187" s="28" t="s">
        <v>374</v>
      </c>
      <c r="N187" s="25">
        <v>1</v>
      </c>
      <c r="O187" s="29">
        <v>195</v>
      </c>
      <c r="P187" s="29">
        <v>195</v>
      </c>
      <c r="Q187" s="25" t="s">
        <v>551</v>
      </c>
      <c r="R187" s="25"/>
      <c r="S187" s="26" t="s">
        <v>568</v>
      </c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62"/>
        <v>195</v>
      </c>
      <c r="AF187" s="32">
        <f t="shared" si="63"/>
        <v>0</v>
      </c>
      <c r="AG187" s="30"/>
      <c r="AH187" s="33">
        <v>1</v>
      </c>
      <c r="AI187" s="34">
        <f t="shared" si="64"/>
        <v>195</v>
      </c>
      <c r="AJ187" s="35">
        <v>46165</v>
      </c>
      <c r="AK187" s="30">
        <v>1</v>
      </c>
      <c r="AL187" s="36">
        <f t="shared" si="65"/>
        <v>195</v>
      </c>
      <c r="AM187" s="35">
        <v>46167</v>
      </c>
      <c r="AN187" s="30">
        <v>1</v>
      </c>
      <c r="AO187" s="36">
        <f t="shared" si="66"/>
        <v>195</v>
      </c>
      <c r="AP187" s="35"/>
      <c r="AQ187" s="30"/>
      <c r="AR187" s="36">
        <f t="shared" si="67"/>
        <v>0</v>
      </c>
      <c r="AS187" s="27" t="s">
        <v>624</v>
      </c>
      <c r="AT187" s="37">
        <v>46223</v>
      </c>
      <c r="AU187" s="30">
        <v>1</v>
      </c>
      <c r="AV187" s="36">
        <f t="shared" si="68"/>
        <v>195</v>
      </c>
      <c r="AW187" s="35">
        <v>46233</v>
      </c>
      <c r="AX187" s="30">
        <v>1</v>
      </c>
      <c r="AY187" s="32">
        <f t="shared" si="69"/>
        <v>195</v>
      </c>
      <c r="AZ187" s="30" t="s">
        <v>616</v>
      </c>
      <c r="BA187" s="63" t="s">
        <v>620</v>
      </c>
      <c r="BB187" s="71"/>
      <c r="BC187" s="71"/>
      <c r="BD187" s="71"/>
    </row>
    <row r="188" spans="1:56" hidden="1" x14ac:dyDescent="0.25">
      <c r="A188" s="24">
        <f>IF(B188="","",SUBTOTAL(3,$B$4:B188))</f>
        <v>1</v>
      </c>
      <c r="B188" s="25" t="s">
        <v>569</v>
      </c>
      <c r="C188" s="25" t="str">
        <f t="shared" si="61"/>
        <v>Shipment 1 PAR-550-22 Main</v>
      </c>
      <c r="D188" s="25" t="s">
        <v>570</v>
      </c>
      <c r="E188" s="25" t="s">
        <v>571</v>
      </c>
      <c r="F188" s="25"/>
      <c r="G188" s="65">
        <v>46393</v>
      </c>
      <c r="H188" s="25" t="s">
        <v>572</v>
      </c>
      <c r="I188" s="25" t="s">
        <v>576</v>
      </c>
      <c r="J188" s="26" t="s">
        <v>622</v>
      </c>
      <c r="K188" s="27" t="s">
        <v>375</v>
      </c>
      <c r="L188" s="28" t="s">
        <v>376</v>
      </c>
      <c r="M188" s="28" t="s">
        <v>374</v>
      </c>
      <c r="N188" s="25">
        <v>1</v>
      </c>
      <c r="O188" s="29">
        <v>196.95</v>
      </c>
      <c r="P188" s="29">
        <v>196.95</v>
      </c>
      <c r="Q188" s="25" t="s">
        <v>552</v>
      </c>
      <c r="R188" s="25"/>
      <c r="S188" s="26" t="s">
        <v>568</v>
      </c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62"/>
        <v>196.95</v>
      </c>
      <c r="AF188" s="32">
        <f t="shared" si="63"/>
        <v>0</v>
      </c>
      <c r="AG188" s="30"/>
      <c r="AH188" s="33">
        <v>1</v>
      </c>
      <c r="AI188" s="34">
        <f t="shared" si="64"/>
        <v>196.95</v>
      </c>
      <c r="AJ188" s="35">
        <v>46165</v>
      </c>
      <c r="AK188" s="30">
        <v>1</v>
      </c>
      <c r="AL188" s="36">
        <f t="shared" si="65"/>
        <v>196.95</v>
      </c>
      <c r="AM188" s="35">
        <v>46167</v>
      </c>
      <c r="AN188" s="30">
        <v>1</v>
      </c>
      <c r="AO188" s="36">
        <f t="shared" si="66"/>
        <v>196.95</v>
      </c>
      <c r="AP188" s="35"/>
      <c r="AQ188" s="30"/>
      <c r="AR188" s="36">
        <f t="shared" si="67"/>
        <v>0</v>
      </c>
      <c r="AS188" s="27" t="s">
        <v>621</v>
      </c>
      <c r="AT188" s="37">
        <v>46207</v>
      </c>
      <c r="AU188" s="30">
        <v>1</v>
      </c>
      <c r="AV188" s="36">
        <f t="shared" si="68"/>
        <v>196.95</v>
      </c>
      <c r="AW188" s="35">
        <v>46209</v>
      </c>
      <c r="AX188" s="30">
        <v>1</v>
      </c>
      <c r="AY188" s="32">
        <f t="shared" si="69"/>
        <v>196.95</v>
      </c>
      <c r="AZ188" s="30" t="s">
        <v>616</v>
      </c>
      <c r="BA188" s="63" t="s">
        <v>618</v>
      </c>
      <c r="BB188" s="71"/>
      <c r="BC188" s="71"/>
      <c r="BD188" s="71"/>
    </row>
    <row r="189" spans="1:56" hidden="1" x14ac:dyDescent="0.25">
      <c r="A189" s="24">
        <f>IF(B189="","",SUBTOTAL(3,$B$4:B189))</f>
        <v>1</v>
      </c>
      <c r="B189" s="25" t="s">
        <v>569</v>
      </c>
      <c r="C189" s="25" t="str">
        <f t="shared" si="61"/>
        <v>Shipment 1 PAR-550-22 Main</v>
      </c>
      <c r="D189" s="25" t="s">
        <v>570</v>
      </c>
      <c r="E189" s="25" t="s">
        <v>571</v>
      </c>
      <c r="F189" s="25"/>
      <c r="G189" s="65">
        <v>46393</v>
      </c>
      <c r="H189" s="25" t="s">
        <v>572</v>
      </c>
      <c r="I189" s="25" t="s">
        <v>576</v>
      </c>
      <c r="J189" s="26" t="s">
        <v>622</v>
      </c>
      <c r="K189" s="27" t="s">
        <v>375</v>
      </c>
      <c r="L189" s="28" t="s">
        <v>377</v>
      </c>
      <c r="M189" s="28" t="s">
        <v>374</v>
      </c>
      <c r="N189" s="25">
        <v>1</v>
      </c>
      <c r="O189" s="29">
        <v>196.95</v>
      </c>
      <c r="P189" s="29">
        <v>196.95</v>
      </c>
      <c r="Q189" s="25" t="s">
        <v>552</v>
      </c>
      <c r="R189" s="25"/>
      <c r="S189" s="26" t="s">
        <v>568</v>
      </c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62"/>
        <v>196.95</v>
      </c>
      <c r="AF189" s="32">
        <f t="shared" si="63"/>
        <v>0</v>
      </c>
      <c r="AG189" s="30"/>
      <c r="AH189" s="33">
        <v>1</v>
      </c>
      <c r="AI189" s="34">
        <f t="shared" si="64"/>
        <v>196.95</v>
      </c>
      <c r="AJ189" s="35">
        <v>46165</v>
      </c>
      <c r="AK189" s="30">
        <v>1</v>
      </c>
      <c r="AL189" s="36">
        <f t="shared" si="65"/>
        <v>196.95</v>
      </c>
      <c r="AM189" s="35">
        <v>46167</v>
      </c>
      <c r="AN189" s="30">
        <v>1</v>
      </c>
      <c r="AO189" s="36">
        <f t="shared" si="66"/>
        <v>196.95</v>
      </c>
      <c r="AP189" s="35"/>
      <c r="AQ189" s="30"/>
      <c r="AR189" s="36">
        <f t="shared" si="67"/>
        <v>0</v>
      </c>
      <c r="AS189" s="27" t="s">
        <v>621</v>
      </c>
      <c r="AT189" s="37">
        <v>46207</v>
      </c>
      <c r="AU189" s="30">
        <v>1</v>
      </c>
      <c r="AV189" s="36">
        <f t="shared" si="68"/>
        <v>196.95</v>
      </c>
      <c r="AW189" s="35">
        <v>46209</v>
      </c>
      <c r="AX189" s="30">
        <v>1</v>
      </c>
      <c r="AY189" s="32">
        <f t="shared" ref="AY189:AY191" si="77">IFERROR(AX189*$P189/$N189,0)</f>
        <v>196.95</v>
      </c>
      <c r="AZ189" s="30" t="s">
        <v>616</v>
      </c>
      <c r="BA189" s="63" t="s">
        <v>618</v>
      </c>
      <c r="BB189" s="71"/>
      <c r="BC189" s="71"/>
      <c r="BD189" s="71"/>
    </row>
    <row r="190" spans="1:56" x14ac:dyDescent="0.25">
      <c r="A190" s="24">
        <f>IF(B190="","",SUBTOTAL(3,$B$4:B190))</f>
        <v>2</v>
      </c>
      <c r="B190" s="25" t="s">
        <v>569</v>
      </c>
      <c r="C190" s="25" t="str">
        <f t="shared" si="61"/>
        <v>Shipment 1 PAR-550-22 Main</v>
      </c>
      <c r="D190" s="25" t="s">
        <v>570</v>
      </c>
      <c r="E190" s="25" t="s">
        <v>571</v>
      </c>
      <c r="F190" s="25"/>
      <c r="G190" s="65">
        <v>46393</v>
      </c>
      <c r="H190" s="25" t="s">
        <v>572</v>
      </c>
      <c r="I190" s="25" t="s">
        <v>576</v>
      </c>
      <c r="J190" s="26" t="s">
        <v>622</v>
      </c>
      <c r="K190" s="27" t="s">
        <v>378</v>
      </c>
      <c r="L190" s="28" t="s">
        <v>379</v>
      </c>
      <c r="M190" s="28" t="s">
        <v>374</v>
      </c>
      <c r="N190" s="25">
        <v>1</v>
      </c>
      <c r="O190" s="29">
        <v>197.20000000000002</v>
      </c>
      <c r="P190" s="29">
        <v>197.20000000000002</v>
      </c>
      <c r="Q190" s="25" t="s">
        <v>552</v>
      </c>
      <c r="R190" s="25"/>
      <c r="S190" s="26" t="s">
        <v>568</v>
      </c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62"/>
        <v>197.20000000000002</v>
      </c>
      <c r="AF190" s="32">
        <f t="shared" si="63"/>
        <v>0</v>
      </c>
      <c r="AG190" s="30"/>
      <c r="AH190" s="33">
        <v>1</v>
      </c>
      <c r="AI190" s="34">
        <f t="shared" si="64"/>
        <v>197.20000000000002</v>
      </c>
      <c r="AJ190" s="35">
        <v>46165</v>
      </c>
      <c r="AK190" s="30">
        <v>1</v>
      </c>
      <c r="AL190" s="36">
        <f t="shared" si="65"/>
        <v>197.20000000000002</v>
      </c>
      <c r="AM190" s="35">
        <v>46167</v>
      </c>
      <c r="AN190" s="30">
        <v>1</v>
      </c>
      <c r="AO190" s="36">
        <f t="shared" si="66"/>
        <v>197.20000000000002</v>
      </c>
      <c r="AP190" s="35"/>
      <c r="AQ190" s="30"/>
      <c r="AR190" s="36">
        <f t="shared" si="67"/>
        <v>0</v>
      </c>
      <c r="AS190" s="27" t="s">
        <v>624</v>
      </c>
      <c r="AT190" s="37">
        <v>46223</v>
      </c>
      <c r="AU190" s="30">
        <v>1</v>
      </c>
      <c r="AV190" s="36">
        <f t="shared" si="68"/>
        <v>197.20000000000002</v>
      </c>
      <c r="AW190" s="35">
        <v>46233</v>
      </c>
      <c r="AX190" s="30">
        <v>1</v>
      </c>
      <c r="AY190" s="32">
        <f t="shared" si="77"/>
        <v>197.20000000000002</v>
      </c>
      <c r="AZ190" s="30" t="s">
        <v>616</v>
      </c>
      <c r="BA190" s="63" t="s">
        <v>620</v>
      </c>
      <c r="BB190" s="71"/>
      <c r="BC190" s="71"/>
      <c r="BD190" s="71"/>
    </row>
    <row r="191" spans="1:56" x14ac:dyDescent="0.25">
      <c r="A191" s="24">
        <f>IF(B191="","",SUBTOTAL(3,$B$4:B191))</f>
        <v>3</v>
      </c>
      <c r="B191" s="25" t="s">
        <v>569</v>
      </c>
      <c r="C191" s="25" t="str">
        <f t="shared" si="61"/>
        <v>Shipment 1 PAR-550-22 Main</v>
      </c>
      <c r="D191" s="25" t="s">
        <v>570</v>
      </c>
      <c r="E191" s="25" t="s">
        <v>571</v>
      </c>
      <c r="F191" s="25"/>
      <c r="G191" s="65">
        <v>46393</v>
      </c>
      <c r="H191" s="25" t="s">
        <v>572</v>
      </c>
      <c r="I191" s="25" t="s">
        <v>576</v>
      </c>
      <c r="J191" s="26" t="s">
        <v>622</v>
      </c>
      <c r="K191" s="27" t="s">
        <v>380</v>
      </c>
      <c r="L191" s="28" t="s">
        <v>381</v>
      </c>
      <c r="M191" s="28" t="s">
        <v>374</v>
      </c>
      <c r="N191" s="25">
        <v>1</v>
      </c>
      <c r="O191" s="29">
        <v>195.39999999999998</v>
      </c>
      <c r="P191" s="29">
        <v>195.39999999999998</v>
      </c>
      <c r="Q191" s="25" t="s">
        <v>553</v>
      </c>
      <c r="R191" s="25"/>
      <c r="S191" s="26" t="s">
        <v>568</v>
      </c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62"/>
        <v>195.39999999999998</v>
      </c>
      <c r="AF191" s="32">
        <f t="shared" si="63"/>
        <v>0</v>
      </c>
      <c r="AG191" s="30"/>
      <c r="AH191" s="33">
        <v>1</v>
      </c>
      <c r="AI191" s="34">
        <f t="shared" si="64"/>
        <v>195.39999999999998</v>
      </c>
      <c r="AJ191" s="35">
        <v>46165</v>
      </c>
      <c r="AK191" s="30">
        <v>1</v>
      </c>
      <c r="AL191" s="36">
        <f t="shared" si="65"/>
        <v>195.39999999999998</v>
      </c>
      <c r="AM191" s="35">
        <v>46167</v>
      </c>
      <c r="AN191" s="30">
        <v>1</v>
      </c>
      <c r="AO191" s="36">
        <f t="shared" si="66"/>
        <v>195.39999999999998</v>
      </c>
      <c r="AP191" s="35"/>
      <c r="AQ191" s="30"/>
      <c r="AR191" s="36">
        <f t="shared" si="67"/>
        <v>0</v>
      </c>
      <c r="AS191" s="27" t="s">
        <v>624</v>
      </c>
      <c r="AT191" s="37">
        <v>46223</v>
      </c>
      <c r="AU191" s="30">
        <v>1</v>
      </c>
      <c r="AV191" s="36">
        <f t="shared" si="68"/>
        <v>195.39999999999998</v>
      </c>
      <c r="AW191" s="35">
        <v>46233</v>
      </c>
      <c r="AX191" s="30">
        <v>1</v>
      </c>
      <c r="AY191" s="32">
        <f t="shared" si="77"/>
        <v>195.39999999999998</v>
      </c>
      <c r="AZ191" s="30" t="s">
        <v>616</v>
      </c>
      <c r="BA191" s="63" t="s">
        <v>620</v>
      </c>
      <c r="BB191" s="71"/>
      <c r="BC191" s="71"/>
      <c r="BD191" s="71"/>
    </row>
    <row r="192" spans="1:56" hidden="1" x14ac:dyDescent="0.25">
      <c r="A192" s="24">
        <f>IF(B192="","",SUBTOTAL(3,$B$4:B192))</f>
        <v>3</v>
      </c>
      <c r="B192" s="25" t="s">
        <v>569</v>
      </c>
      <c r="C192" s="25" t="str">
        <f t="shared" si="61"/>
        <v>Shipment 1 PAR-550-22 Main</v>
      </c>
      <c r="D192" s="25" t="s">
        <v>570</v>
      </c>
      <c r="E192" s="25" t="s">
        <v>571</v>
      </c>
      <c r="F192" s="25"/>
      <c r="G192" s="65">
        <v>46393</v>
      </c>
      <c r="H192" s="25" t="s">
        <v>572</v>
      </c>
      <c r="I192" s="25" t="s">
        <v>576</v>
      </c>
      <c r="J192" s="26" t="s">
        <v>622</v>
      </c>
      <c r="K192" s="27" t="s">
        <v>382</v>
      </c>
      <c r="L192" s="28" t="s">
        <v>383</v>
      </c>
      <c r="M192" s="28" t="s">
        <v>374</v>
      </c>
      <c r="N192" s="25">
        <v>1</v>
      </c>
      <c r="O192" s="29">
        <v>189.3</v>
      </c>
      <c r="P192" s="29">
        <v>189.3</v>
      </c>
      <c r="Q192" s="25" t="s">
        <v>551</v>
      </c>
      <c r="R192" s="25"/>
      <c r="S192" s="26" t="s">
        <v>568</v>
      </c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62"/>
        <v>189.3</v>
      </c>
      <c r="AF192" s="32">
        <f t="shared" si="63"/>
        <v>0</v>
      </c>
      <c r="AG192" s="30"/>
      <c r="AH192" s="33">
        <v>1</v>
      </c>
      <c r="AI192" s="34">
        <f t="shared" si="64"/>
        <v>189.3</v>
      </c>
      <c r="AJ192" s="35">
        <v>46165</v>
      </c>
      <c r="AK192" s="30">
        <v>1</v>
      </c>
      <c r="AL192" s="36">
        <f t="shared" si="65"/>
        <v>189.3</v>
      </c>
      <c r="AM192" s="35">
        <v>46167</v>
      </c>
      <c r="AN192" s="30">
        <v>1</v>
      </c>
      <c r="AO192" s="36">
        <f t="shared" si="66"/>
        <v>189.3</v>
      </c>
      <c r="AP192" s="35"/>
      <c r="AQ192" s="30"/>
      <c r="AR192" s="36">
        <f t="shared" si="67"/>
        <v>0</v>
      </c>
      <c r="AS192" s="27" t="s">
        <v>621</v>
      </c>
      <c r="AT192" s="37">
        <v>46207</v>
      </c>
      <c r="AU192" s="30">
        <v>1</v>
      </c>
      <c r="AV192" s="36">
        <f t="shared" si="68"/>
        <v>189.3</v>
      </c>
      <c r="AW192" s="35">
        <v>46209</v>
      </c>
      <c r="AX192" s="30">
        <v>1</v>
      </c>
      <c r="AY192" s="32">
        <f t="shared" ref="AY192:AY197" si="78">IFERROR(AX192*$P192/$N192,0)</f>
        <v>189.3</v>
      </c>
      <c r="AZ192" s="30" t="s">
        <v>616</v>
      </c>
      <c r="BA192" s="63" t="s">
        <v>618</v>
      </c>
      <c r="BB192" s="71"/>
      <c r="BC192" s="71"/>
      <c r="BD192" s="71"/>
    </row>
    <row r="193" spans="1:56" hidden="1" x14ac:dyDescent="0.25">
      <c r="A193" s="24">
        <f>IF(B193="","",SUBTOTAL(3,$B$4:B193))</f>
        <v>3</v>
      </c>
      <c r="B193" s="25" t="s">
        <v>569</v>
      </c>
      <c r="C193" s="25" t="str">
        <f t="shared" si="61"/>
        <v>Shipment 1 PAR-550-22 Main</v>
      </c>
      <c r="D193" s="25" t="s">
        <v>570</v>
      </c>
      <c r="E193" s="25" t="s">
        <v>571</v>
      </c>
      <c r="F193" s="25"/>
      <c r="G193" s="65">
        <v>46393</v>
      </c>
      <c r="H193" s="25" t="s">
        <v>572</v>
      </c>
      <c r="I193" s="25" t="s">
        <v>576</v>
      </c>
      <c r="J193" s="26" t="s">
        <v>622</v>
      </c>
      <c r="K193" s="27" t="s">
        <v>384</v>
      </c>
      <c r="L193" s="28" t="s">
        <v>385</v>
      </c>
      <c r="M193" s="28" t="s">
        <v>374</v>
      </c>
      <c r="N193" s="25">
        <v>1</v>
      </c>
      <c r="O193" s="29">
        <v>191.24999999999997</v>
      </c>
      <c r="P193" s="29">
        <v>191.24999999999997</v>
      </c>
      <c r="Q193" s="25" t="s">
        <v>552</v>
      </c>
      <c r="R193" s="25"/>
      <c r="S193" s="26" t="s">
        <v>568</v>
      </c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62"/>
        <v>191.24999999999997</v>
      </c>
      <c r="AF193" s="32">
        <f t="shared" si="63"/>
        <v>0</v>
      </c>
      <c r="AG193" s="30"/>
      <c r="AH193" s="33">
        <v>1</v>
      </c>
      <c r="AI193" s="34">
        <f t="shared" si="64"/>
        <v>191.24999999999997</v>
      </c>
      <c r="AJ193" s="35">
        <v>46165</v>
      </c>
      <c r="AK193" s="30">
        <v>1</v>
      </c>
      <c r="AL193" s="36">
        <f t="shared" si="65"/>
        <v>191.24999999999997</v>
      </c>
      <c r="AM193" s="35">
        <v>46167</v>
      </c>
      <c r="AN193" s="30">
        <v>1</v>
      </c>
      <c r="AO193" s="36">
        <f t="shared" si="66"/>
        <v>191.24999999999997</v>
      </c>
      <c r="AP193" s="35"/>
      <c r="AQ193" s="30"/>
      <c r="AR193" s="36">
        <f t="shared" si="67"/>
        <v>0</v>
      </c>
      <c r="AS193" s="27" t="s">
        <v>621</v>
      </c>
      <c r="AT193" s="37">
        <v>46207</v>
      </c>
      <c r="AU193" s="30">
        <v>1</v>
      </c>
      <c r="AV193" s="36">
        <f t="shared" si="68"/>
        <v>191.24999999999997</v>
      </c>
      <c r="AW193" s="35">
        <v>46209</v>
      </c>
      <c r="AX193" s="30">
        <v>1</v>
      </c>
      <c r="AY193" s="32">
        <f t="shared" si="78"/>
        <v>191.24999999999997</v>
      </c>
      <c r="AZ193" s="30" t="s">
        <v>616</v>
      </c>
      <c r="BA193" s="63" t="s">
        <v>618</v>
      </c>
      <c r="BB193" s="71"/>
      <c r="BC193" s="71"/>
      <c r="BD193" s="71"/>
    </row>
    <row r="194" spans="1:56" hidden="1" x14ac:dyDescent="0.25">
      <c r="A194" s="24">
        <f>IF(B194="","",SUBTOTAL(3,$B$4:B194))</f>
        <v>3</v>
      </c>
      <c r="B194" s="25" t="s">
        <v>569</v>
      </c>
      <c r="C194" s="25" t="str">
        <f t="shared" si="61"/>
        <v>Shipment 1 PAR-550-22 Main</v>
      </c>
      <c r="D194" s="25" t="s">
        <v>570</v>
      </c>
      <c r="E194" s="25" t="s">
        <v>571</v>
      </c>
      <c r="F194" s="25"/>
      <c r="G194" s="65">
        <v>46393</v>
      </c>
      <c r="H194" s="25" t="s">
        <v>572</v>
      </c>
      <c r="I194" s="25" t="s">
        <v>576</v>
      </c>
      <c r="J194" s="26" t="s">
        <v>622</v>
      </c>
      <c r="K194" s="27" t="s">
        <v>384</v>
      </c>
      <c r="L194" s="28" t="s">
        <v>386</v>
      </c>
      <c r="M194" s="28" t="s">
        <v>374</v>
      </c>
      <c r="N194" s="25">
        <v>1</v>
      </c>
      <c r="O194" s="29">
        <v>191.24999999999997</v>
      </c>
      <c r="P194" s="29">
        <v>191.24999999999997</v>
      </c>
      <c r="Q194" s="25" t="s">
        <v>552</v>
      </c>
      <c r="R194" s="25"/>
      <c r="S194" s="26" t="s">
        <v>568</v>
      </c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62"/>
        <v>191.24999999999997</v>
      </c>
      <c r="AF194" s="32">
        <f t="shared" si="63"/>
        <v>0</v>
      </c>
      <c r="AG194" s="30"/>
      <c r="AH194" s="33">
        <v>1</v>
      </c>
      <c r="AI194" s="34">
        <f t="shared" si="64"/>
        <v>191.24999999999997</v>
      </c>
      <c r="AJ194" s="35">
        <v>46165</v>
      </c>
      <c r="AK194" s="30">
        <v>1</v>
      </c>
      <c r="AL194" s="36">
        <f t="shared" si="65"/>
        <v>191.24999999999997</v>
      </c>
      <c r="AM194" s="35">
        <v>46167</v>
      </c>
      <c r="AN194" s="30">
        <v>1</v>
      </c>
      <c r="AO194" s="36">
        <f t="shared" si="66"/>
        <v>191.24999999999997</v>
      </c>
      <c r="AP194" s="35"/>
      <c r="AQ194" s="30"/>
      <c r="AR194" s="36">
        <f t="shared" si="67"/>
        <v>0</v>
      </c>
      <c r="AS194" s="27" t="s">
        <v>621</v>
      </c>
      <c r="AT194" s="37">
        <v>46207</v>
      </c>
      <c r="AU194" s="30">
        <v>1</v>
      </c>
      <c r="AV194" s="36">
        <f t="shared" si="68"/>
        <v>191.24999999999997</v>
      </c>
      <c r="AW194" s="35">
        <v>46209</v>
      </c>
      <c r="AX194" s="30">
        <v>1</v>
      </c>
      <c r="AY194" s="32">
        <f t="shared" si="78"/>
        <v>191.24999999999997</v>
      </c>
      <c r="AZ194" s="30" t="s">
        <v>616</v>
      </c>
      <c r="BA194" s="63" t="s">
        <v>618</v>
      </c>
      <c r="BB194" s="71"/>
      <c r="BC194" s="71"/>
      <c r="BD194" s="71"/>
    </row>
    <row r="195" spans="1:56" hidden="1" x14ac:dyDescent="0.25">
      <c r="A195" s="24">
        <f>IF(B195="","",SUBTOTAL(3,$B$4:B195))</f>
        <v>3</v>
      </c>
      <c r="B195" s="25" t="s">
        <v>569</v>
      </c>
      <c r="C195" s="25" t="str">
        <f t="shared" si="61"/>
        <v>Shipment 1 PAR-550-22 Main</v>
      </c>
      <c r="D195" s="25" t="s">
        <v>570</v>
      </c>
      <c r="E195" s="25" t="s">
        <v>571</v>
      </c>
      <c r="F195" s="25"/>
      <c r="G195" s="65">
        <v>46393</v>
      </c>
      <c r="H195" s="25" t="s">
        <v>572</v>
      </c>
      <c r="I195" s="25" t="s">
        <v>576</v>
      </c>
      <c r="J195" s="26" t="s">
        <v>622</v>
      </c>
      <c r="K195" s="27" t="s">
        <v>387</v>
      </c>
      <c r="L195" s="28" t="s">
        <v>388</v>
      </c>
      <c r="M195" s="28" t="s">
        <v>374</v>
      </c>
      <c r="N195" s="25">
        <v>1</v>
      </c>
      <c r="O195" s="29">
        <v>191.49999999999997</v>
      </c>
      <c r="P195" s="29">
        <v>191.49999999999997</v>
      </c>
      <c r="Q195" s="25" t="s">
        <v>552</v>
      </c>
      <c r="R195" s="25"/>
      <c r="S195" s="26" t="s">
        <v>568</v>
      </c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62"/>
        <v>191.49999999999997</v>
      </c>
      <c r="AF195" s="32">
        <f t="shared" si="63"/>
        <v>0</v>
      </c>
      <c r="AG195" s="30"/>
      <c r="AH195" s="33">
        <v>1</v>
      </c>
      <c r="AI195" s="34">
        <f t="shared" si="64"/>
        <v>191.49999999999997</v>
      </c>
      <c r="AJ195" s="35">
        <v>46165</v>
      </c>
      <c r="AK195" s="30">
        <v>1</v>
      </c>
      <c r="AL195" s="36">
        <f t="shared" si="65"/>
        <v>191.49999999999997</v>
      </c>
      <c r="AM195" s="35">
        <v>46167</v>
      </c>
      <c r="AN195" s="30">
        <v>1</v>
      </c>
      <c r="AO195" s="36">
        <f t="shared" si="66"/>
        <v>191.49999999999997</v>
      </c>
      <c r="AP195" s="35"/>
      <c r="AQ195" s="30"/>
      <c r="AR195" s="36">
        <f t="shared" si="67"/>
        <v>0</v>
      </c>
      <c r="AS195" s="27" t="s">
        <v>621</v>
      </c>
      <c r="AT195" s="37">
        <v>46207</v>
      </c>
      <c r="AU195" s="30">
        <v>1</v>
      </c>
      <c r="AV195" s="36">
        <f t="shared" si="68"/>
        <v>191.49999999999997</v>
      </c>
      <c r="AW195" s="35">
        <v>46209</v>
      </c>
      <c r="AX195" s="30">
        <v>1</v>
      </c>
      <c r="AY195" s="32">
        <f t="shared" si="78"/>
        <v>191.49999999999997</v>
      </c>
      <c r="AZ195" s="30" t="s">
        <v>616</v>
      </c>
      <c r="BA195" s="63" t="s">
        <v>618</v>
      </c>
      <c r="BB195" s="71"/>
      <c r="BC195" s="71"/>
      <c r="BD195" s="71"/>
    </row>
    <row r="196" spans="1:56" x14ac:dyDescent="0.25">
      <c r="A196" s="24">
        <f>IF(B196="","",SUBTOTAL(3,$B$4:B196))</f>
        <v>4</v>
      </c>
      <c r="B196" s="25" t="s">
        <v>569</v>
      </c>
      <c r="C196" s="25" t="str">
        <f t="shared" si="61"/>
        <v>Shipment 1 PAR-550-22 Main</v>
      </c>
      <c r="D196" s="25" t="s">
        <v>570</v>
      </c>
      <c r="E196" s="25" t="s">
        <v>571</v>
      </c>
      <c r="F196" s="25"/>
      <c r="G196" s="65">
        <v>46393</v>
      </c>
      <c r="H196" s="25" t="s">
        <v>572</v>
      </c>
      <c r="I196" s="25" t="s">
        <v>576</v>
      </c>
      <c r="J196" s="26" t="s">
        <v>622</v>
      </c>
      <c r="K196" s="27" t="s">
        <v>389</v>
      </c>
      <c r="L196" s="28" t="s">
        <v>390</v>
      </c>
      <c r="M196" s="28" t="s">
        <v>374</v>
      </c>
      <c r="N196" s="25">
        <v>1</v>
      </c>
      <c r="O196" s="29">
        <v>187.8</v>
      </c>
      <c r="P196" s="29">
        <v>187.8</v>
      </c>
      <c r="Q196" s="25" t="s">
        <v>553</v>
      </c>
      <c r="R196" s="25"/>
      <c r="S196" s="26" t="s">
        <v>568</v>
      </c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62"/>
        <v>187.8</v>
      </c>
      <c r="AF196" s="32">
        <f t="shared" si="63"/>
        <v>0</v>
      </c>
      <c r="AG196" s="30"/>
      <c r="AH196" s="33">
        <v>1</v>
      </c>
      <c r="AI196" s="34">
        <f t="shared" si="64"/>
        <v>187.8</v>
      </c>
      <c r="AJ196" s="35">
        <v>46165</v>
      </c>
      <c r="AK196" s="30">
        <v>1</v>
      </c>
      <c r="AL196" s="36">
        <f t="shared" si="65"/>
        <v>187.8</v>
      </c>
      <c r="AM196" s="35">
        <v>46167</v>
      </c>
      <c r="AN196" s="30">
        <v>1</v>
      </c>
      <c r="AO196" s="36">
        <f t="shared" si="66"/>
        <v>187.8</v>
      </c>
      <c r="AP196" s="35"/>
      <c r="AQ196" s="30"/>
      <c r="AR196" s="36">
        <f t="shared" si="67"/>
        <v>0</v>
      </c>
      <c r="AS196" s="27" t="s">
        <v>624</v>
      </c>
      <c r="AT196" s="37">
        <v>46223</v>
      </c>
      <c r="AU196" s="30">
        <v>1</v>
      </c>
      <c r="AV196" s="36">
        <f t="shared" si="68"/>
        <v>187.8</v>
      </c>
      <c r="AW196" s="35">
        <v>46233</v>
      </c>
      <c r="AX196" s="30">
        <v>1</v>
      </c>
      <c r="AY196" s="32">
        <f t="shared" si="78"/>
        <v>187.8</v>
      </c>
      <c r="AZ196" s="30" t="s">
        <v>616</v>
      </c>
      <c r="BA196" s="63" t="s">
        <v>620</v>
      </c>
      <c r="BB196" s="71"/>
      <c r="BC196" s="71"/>
      <c r="BD196" s="71"/>
    </row>
    <row r="197" spans="1:56" x14ac:dyDescent="0.25">
      <c r="A197" s="24">
        <f>IF(B197="","",SUBTOTAL(3,$B$4:B197))</f>
        <v>5</v>
      </c>
      <c r="B197" s="25" t="s">
        <v>569</v>
      </c>
      <c r="C197" s="25" t="str">
        <f t="shared" si="61"/>
        <v>Shipment 1 PAR-550-22 Main</v>
      </c>
      <c r="D197" s="25" t="s">
        <v>570</v>
      </c>
      <c r="E197" s="25" t="s">
        <v>571</v>
      </c>
      <c r="F197" s="25"/>
      <c r="G197" s="65">
        <v>46393</v>
      </c>
      <c r="H197" s="25" t="s">
        <v>572</v>
      </c>
      <c r="I197" s="25" t="s">
        <v>576</v>
      </c>
      <c r="J197" s="26" t="s">
        <v>622</v>
      </c>
      <c r="K197" s="27" t="s">
        <v>391</v>
      </c>
      <c r="L197" s="28" t="s">
        <v>392</v>
      </c>
      <c r="M197" s="28" t="s">
        <v>374</v>
      </c>
      <c r="N197" s="25">
        <v>1</v>
      </c>
      <c r="O197" s="29">
        <v>189.3</v>
      </c>
      <c r="P197" s="29">
        <v>189.3</v>
      </c>
      <c r="Q197" s="25" t="s">
        <v>551</v>
      </c>
      <c r="R197" s="25"/>
      <c r="S197" s="26" t="s">
        <v>568</v>
      </c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62"/>
        <v>189.3</v>
      </c>
      <c r="AF197" s="32">
        <f t="shared" si="63"/>
        <v>0</v>
      </c>
      <c r="AG197" s="30"/>
      <c r="AH197" s="33">
        <v>1</v>
      </c>
      <c r="AI197" s="34">
        <f t="shared" si="64"/>
        <v>189.3</v>
      </c>
      <c r="AJ197" s="35">
        <v>46165</v>
      </c>
      <c r="AK197" s="30">
        <v>1</v>
      </c>
      <c r="AL197" s="36">
        <f t="shared" si="65"/>
        <v>189.3</v>
      </c>
      <c r="AM197" s="35">
        <v>46167</v>
      </c>
      <c r="AN197" s="30">
        <v>1</v>
      </c>
      <c r="AO197" s="36">
        <f t="shared" si="66"/>
        <v>189.3</v>
      </c>
      <c r="AP197" s="35"/>
      <c r="AQ197" s="30"/>
      <c r="AR197" s="36">
        <f t="shared" si="67"/>
        <v>0</v>
      </c>
      <c r="AS197" s="27" t="s">
        <v>624</v>
      </c>
      <c r="AT197" s="37">
        <v>46223</v>
      </c>
      <c r="AU197" s="30">
        <v>1</v>
      </c>
      <c r="AV197" s="36">
        <f t="shared" si="68"/>
        <v>189.3</v>
      </c>
      <c r="AW197" s="35">
        <v>46233</v>
      </c>
      <c r="AX197" s="30">
        <v>1</v>
      </c>
      <c r="AY197" s="32">
        <f t="shared" si="78"/>
        <v>189.3</v>
      </c>
      <c r="AZ197" s="30" t="s">
        <v>616</v>
      </c>
      <c r="BA197" s="63" t="s">
        <v>620</v>
      </c>
      <c r="BB197" s="71"/>
      <c r="BC197" s="71"/>
      <c r="BD197" s="71"/>
    </row>
    <row r="198" spans="1:56" hidden="1" x14ac:dyDescent="0.25">
      <c r="A198" s="24">
        <f>IF(B198="","",SUBTOTAL(3,$B$4:B198))</f>
        <v>5</v>
      </c>
      <c r="B198" s="25" t="s">
        <v>569</v>
      </c>
      <c r="C198" s="25" t="str">
        <f t="shared" si="61"/>
        <v>Shipment 1 PAR-550-22 Main</v>
      </c>
      <c r="D198" s="25" t="s">
        <v>570</v>
      </c>
      <c r="E198" s="25" t="s">
        <v>571</v>
      </c>
      <c r="F198" s="25"/>
      <c r="G198" s="65">
        <v>46393</v>
      </c>
      <c r="H198" s="25" t="s">
        <v>572</v>
      </c>
      <c r="I198" s="25" t="s">
        <v>576</v>
      </c>
      <c r="J198" s="26" t="s">
        <v>622</v>
      </c>
      <c r="K198" s="27" t="s">
        <v>393</v>
      </c>
      <c r="L198" s="28" t="s">
        <v>394</v>
      </c>
      <c r="M198" s="28" t="s">
        <v>374</v>
      </c>
      <c r="N198" s="25">
        <v>1</v>
      </c>
      <c r="O198" s="29">
        <v>191.24999999999997</v>
      </c>
      <c r="P198" s="29">
        <v>191.24999999999997</v>
      </c>
      <c r="Q198" s="25" t="s">
        <v>552</v>
      </c>
      <c r="R198" s="25"/>
      <c r="S198" s="26" t="s">
        <v>568</v>
      </c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62"/>
        <v>191.24999999999997</v>
      </c>
      <c r="AF198" s="32">
        <f t="shared" si="63"/>
        <v>0</v>
      </c>
      <c r="AG198" s="30"/>
      <c r="AH198" s="33">
        <v>1</v>
      </c>
      <c r="AI198" s="34">
        <f t="shared" si="64"/>
        <v>191.24999999999997</v>
      </c>
      <c r="AJ198" s="35">
        <v>46165</v>
      </c>
      <c r="AK198" s="30">
        <v>1</v>
      </c>
      <c r="AL198" s="36">
        <f t="shared" si="65"/>
        <v>191.24999999999997</v>
      </c>
      <c r="AM198" s="35">
        <v>46167</v>
      </c>
      <c r="AN198" s="30">
        <v>1</v>
      </c>
      <c r="AO198" s="36">
        <f t="shared" si="66"/>
        <v>191.24999999999997</v>
      </c>
      <c r="AP198" s="35"/>
      <c r="AQ198" s="30"/>
      <c r="AR198" s="36">
        <f t="shared" si="67"/>
        <v>0</v>
      </c>
      <c r="AS198" s="27" t="s">
        <v>621</v>
      </c>
      <c r="AT198" s="37">
        <v>46207</v>
      </c>
      <c r="AU198" s="30">
        <v>1</v>
      </c>
      <c r="AV198" s="36">
        <f t="shared" si="68"/>
        <v>191.24999999999997</v>
      </c>
      <c r="AW198" s="35">
        <v>46209</v>
      </c>
      <c r="AX198" s="30">
        <v>1</v>
      </c>
      <c r="AY198" s="32">
        <f t="shared" ref="AY198:AY202" si="79">IFERROR(AX198*$P198/$N198,0)</f>
        <v>191.24999999999997</v>
      </c>
      <c r="AZ198" s="30" t="s">
        <v>616</v>
      </c>
      <c r="BA198" s="63" t="s">
        <v>618</v>
      </c>
      <c r="BB198" s="71"/>
      <c r="BC198" s="71"/>
      <c r="BD198" s="71"/>
    </row>
    <row r="199" spans="1:56" hidden="1" x14ac:dyDescent="0.25">
      <c r="A199" s="24">
        <f>IF(B199="","",SUBTOTAL(3,$B$4:B199))</f>
        <v>5</v>
      </c>
      <c r="B199" s="25" t="s">
        <v>569</v>
      </c>
      <c r="C199" s="25" t="str">
        <f t="shared" si="61"/>
        <v>Shipment 1 PAR-550-22 Main</v>
      </c>
      <c r="D199" s="25" t="s">
        <v>570</v>
      </c>
      <c r="E199" s="25" t="s">
        <v>571</v>
      </c>
      <c r="F199" s="25"/>
      <c r="G199" s="65">
        <v>46393</v>
      </c>
      <c r="H199" s="25" t="s">
        <v>572</v>
      </c>
      <c r="I199" s="25" t="s">
        <v>576</v>
      </c>
      <c r="J199" s="26" t="s">
        <v>622</v>
      </c>
      <c r="K199" s="27" t="s">
        <v>393</v>
      </c>
      <c r="L199" s="28" t="s">
        <v>395</v>
      </c>
      <c r="M199" s="28" t="s">
        <v>374</v>
      </c>
      <c r="N199" s="25">
        <v>1</v>
      </c>
      <c r="O199" s="29">
        <v>191.24999999999997</v>
      </c>
      <c r="P199" s="29">
        <v>191.24999999999997</v>
      </c>
      <c r="Q199" s="25" t="s">
        <v>552</v>
      </c>
      <c r="R199" s="25"/>
      <c r="S199" s="26" t="s">
        <v>568</v>
      </c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62"/>
        <v>191.24999999999997</v>
      </c>
      <c r="AF199" s="32">
        <f t="shared" si="63"/>
        <v>0</v>
      </c>
      <c r="AG199" s="30"/>
      <c r="AH199" s="33">
        <v>1</v>
      </c>
      <c r="AI199" s="34">
        <f t="shared" si="64"/>
        <v>191.24999999999997</v>
      </c>
      <c r="AJ199" s="35">
        <v>46165</v>
      </c>
      <c r="AK199" s="30">
        <v>1</v>
      </c>
      <c r="AL199" s="36">
        <f t="shared" si="65"/>
        <v>191.24999999999997</v>
      </c>
      <c r="AM199" s="35">
        <v>46167</v>
      </c>
      <c r="AN199" s="30">
        <v>1</v>
      </c>
      <c r="AO199" s="36">
        <f t="shared" si="66"/>
        <v>191.24999999999997</v>
      </c>
      <c r="AP199" s="35"/>
      <c r="AQ199" s="30"/>
      <c r="AR199" s="36">
        <f t="shared" si="67"/>
        <v>0</v>
      </c>
      <c r="AS199" s="27" t="s">
        <v>621</v>
      </c>
      <c r="AT199" s="37">
        <v>46207</v>
      </c>
      <c r="AU199" s="30">
        <v>1</v>
      </c>
      <c r="AV199" s="36">
        <f t="shared" si="68"/>
        <v>191.24999999999997</v>
      </c>
      <c r="AW199" s="35">
        <v>46209</v>
      </c>
      <c r="AX199" s="30">
        <v>1</v>
      </c>
      <c r="AY199" s="32">
        <f t="shared" si="79"/>
        <v>191.24999999999997</v>
      </c>
      <c r="AZ199" s="30" t="s">
        <v>616</v>
      </c>
      <c r="BA199" s="63" t="s">
        <v>618</v>
      </c>
      <c r="BB199" s="71"/>
      <c r="BC199" s="71"/>
      <c r="BD199" s="71"/>
    </row>
    <row r="200" spans="1:56" hidden="1" x14ac:dyDescent="0.25">
      <c r="A200" s="24">
        <f>IF(B200="","",SUBTOTAL(3,$B$4:B200))</f>
        <v>5</v>
      </c>
      <c r="B200" s="25" t="s">
        <v>569</v>
      </c>
      <c r="C200" s="25" t="str">
        <f t="shared" si="61"/>
        <v>Shipment 1 PAR-550-22 Main</v>
      </c>
      <c r="D200" s="25" t="s">
        <v>570</v>
      </c>
      <c r="E200" s="25" t="s">
        <v>571</v>
      </c>
      <c r="F200" s="25"/>
      <c r="G200" s="65">
        <v>46393</v>
      </c>
      <c r="H200" s="25" t="s">
        <v>572</v>
      </c>
      <c r="I200" s="25" t="s">
        <v>576</v>
      </c>
      <c r="J200" s="26" t="s">
        <v>622</v>
      </c>
      <c r="K200" s="27" t="s">
        <v>396</v>
      </c>
      <c r="L200" s="28" t="s">
        <v>397</v>
      </c>
      <c r="M200" s="28" t="s">
        <v>374</v>
      </c>
      <c r="N200" s="25">
        <v>1</v>
      </c>
      <c r="O200" s="29">
        <v>191.2</v>
      </c>
      <c r="P200" s="29">
        <v>191.2</v>
      </c>
      <c r="Q200" s="25" t="s">
        <v>551</v>
      </c>
      <c r="R200" s="25"/>
      <c r="S200" s="26" t="s">
        <v>568</v>
      </c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62"/>
        <v>191.2</v>
      </c>
      <c r="AF200" s="32">
        <f t="shared" si="63"/>
        <v>0</v>
      </c>
      <c r="AG200" s="30"/>
      <c r="AH200" s="33">
        <v>1</v>
      </c>
      <c r="AI200" s="34">
        <f t="shared" si="64"/>
        <v>191.2</v>
      </c>
      <c r="AJ200" s="35">
        <v>46165</v>
      </c>
      <c r="AK200" s="30">
        <v>1</v>
      </c>
      <c r="AL200" s="36">
        <f t="shared" si="65"/>
        <v>191.2</v>
      </c>
      <c r="AM200" s="35">
        <v>46167</v>
      </c>
      <c r="AN200" s="30">
        <v>1</v>
      </c>
      <c r="AO200" s="36">
        <f t="shared" si="66"/>
        <v>191.2</v>
      </c>
      <c r="AP200" s="35"/>
      <c r="AQ200" s="30"/>
      <c r="AR200" s="36">
        <f t="shared" si="67"/>
        <v>0</v>
      </c>
      <c r="AS200" s="27" t="s">
        <v>621</v>
      </c>
      <c r="AT200" s="37">
        <v>46207</v>
      </c>
      <c r="AU200" s="30">
        <v>1</v>
      </c>
      <c r="AV200" s="36">
        <f t="shared" si="68"/>
        <v>191.2</v>
      </c>
      <c r="AW200" s="35">
        <v>46209</v>
      </c>
      <c r="AX200" s="30">
        <v>1</v>
      </c>
      <c r="AY200" s="32">
        <f t="shared" si="79"/>
        <v>191.2</v>
      </c>
      <c r="AZ200" s="30" t="s">
        <v>616</v>
      </c>
      <c r="BA200" s="63" t="s">
        <v>618</v>
      </c>
      <c r="BB200" s="71"/>
      <c r="BC200" s="71"/>
      <c r="BD200" s="71"/>
    </row>
    <row r="201" spans="1:56" x14ac:dyDescent="0.25">
      <c r="A201" s="24">
        <f>IF(B201="","",SUBTOTAL(3,$B$4:B201))</f>
        <v>6</v>
      </c>
      <c r="B201" s="25" t="s">
        <v>569</v>
      </c>
      <c r="C201" s="25" t="str">
        <f t="shared" si="61"/>
        <v>Shipment 1 PAR-550-22 Main</v>
      </c>
      <c r="D201" s="25" t="s">
        <v>570</v>
      </c>
      <c r="E201" s="25" t="s">
        <v>571</v>
      </c>
      <c r="F201" s="25"/>
      <c r="G201" s="65">
        <v>46393</v>
      </c>
      <c r="H201" s="25" t="s">
        <v>572</v>
      </c>
      <c r="I201" s="25" t="s">
        <v>576</v>
      </c>
      <c r="J201" s="26" t="s">
        <v>622</v>
      </c>
      <c r="K201" s="27" t="s">
        <v>398</v>
      </c>
      <c r="L201" s="28" t="s">
        <v>399</v>
      </c>
      <c r="M201" s="28" t="s">
        <v>374</v>
      </c>
      <c r="N201" s="25">
        <v>1</v>
      </c>
      <c r="O201" s="29">
        <v>146.80000000000001</v>
      </c>
      <c r="P201" s="29">
        <v>146.80000000000001</v>
      </c>
      <c r="Q201" s="25" t="s">
        <v>554</v>
      </c>
      <c r="R201" s="25"/>
      <c r="S201" s="26" t="s">
        <v>568</v>
      </c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62"/>
        <v>146.80000000000001</v>
      </c>
      <c r="AF201" s="32">
        <f t="shared" si="63"/>
        <v>0</v>
      </c>
      <c r="AG201" s="30"/>
      <c r="AH201" s="33">
        <v>1</v>
      </c>
      <c r="AI201" s="34">
        <f t="shared" si="64"/>
        <v>146.80000000000001</v>
      </c>
      <c r="AJ201" s="35">
        <v>46168</v>
      </c>
      <c r="AK201" s="30">
        <v>1</v>
      </c>
      <c r="AL201" s="36">
        <f t="shared" si="65"/>
        <v>146.80000000000001</v>
      </c>
      <c r="AM201" s="35">
        <v>46172</v>
      </c>
      <c r="AN201" s="30">
        <v>1</v>
      </c>
      <c r="AO201" s="36">
        <f t="shared" si="66"/>
        <v>146.80000000000001</v>
      </c>
      <c r="AP201" s="35"/>
      <c r="AQ201" s="30"/>
      <c r="AR201" s="36">
        <f t="shared" si="67"/>
        <v>0</v>
      </c>
      <c r="AS201" s="27" t="s">
        <v>624</v>
      </c>
      <c r="AT201" s="37">
        <v>46223</v>
      </c>
      <c r="AU201" s="30">
        <v>1</v>
      </c>
      <c r="AV201" s="36">
        <f t="shared" si="68"/>
        <v>146.80000000000001</v>
      </c>
      <c r="AW201" s="35">
        <v>46233</v>
      </c>
      <c r="AX201" s="30">
        <v>1</v>
      </c>
      <c r="AY201" s="32">
        <f t="shared" si="79"/>
        <v>146.80000000000001</v>
      </c>
      <c r="AZ201" s="30" t="s">
        <v>616</v>
      </c>
      <c r="BA201" s="63" t="s">
        <v>620</v>
      </c>
      <c r="BB201" s="71"/>
      <c r="BC201" s="71"/>
      <c r="BD201" s="71"/>
    </row>
    <row r="202" spans="1:56" x14ac:dyDescent="0.25">
      <c r="A202" s="24">
        <f>IF(B202="","",SUBTOTAL(3,$B$4:B202))</f>
        <v>7</v>
      </c>
      <c r="B202" s="25" t="s">
        <v>569</v>
      </c>
      <c r="C202" s="25" t="str">
        <f t="shared" si="61"/>
        <v>Shipment 1 PAR-550-22 Main</v>
      </c>
      <c r="D202" s="25" t="s">
        <v>570</v>
      </c>
      <c r="E202" s="25" t="s">
        <v>571</v>
      </c>
      <c r="F202" s="25"/>
      <c r="G202" s="65">
        <v>46393</v>
      </c>
      <c r="H202" s="25" t="s">
        <v>572</v>
      </c>
      <c r="I202" s="25" t="s">
        <v>576</v>
      </c>
      <c r="J202" s="26" t="s">
        <v>622</v>
      </c>
      <c r="K202" s="27" t="s">
        <v>400</v>
      </c>
      <c r="L202" s="28" t="s">
        <v>401</v>
      </c>
      <c r="M202" s="28" t="s">
        <v>374</v>
      </c>
      <c r="N202" s="25">
        <v>1</v>
      </c>
      <c r="O202" s="29">
        <v>190.1</v>
      </c>
      <c r="P202" s="29">
        <v>190.1</v>
      </c>
      <c r="Q202" s="25" t="s">
        <v>555</v>
      </c>
      <c r="R202" s="25"/>
      <c r="S202" s="26" t="s">
        <v>568</v>
      </c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62"/>
        <v>190.1</v>
      </c>
      <c r="AF202" s="32">
        <f t="shared" si="63"/>
        <v>0</v>
      </c>
      <c r="AG202" s="30"/>
      <c r="AH202" s="33">
        <v>1</v>
      </c>
      <c r="AI202" s="34">
        <f t="shared" si="64"/>
        <v>190.1</v>
      </c>
      <c r="AJ202" s="35">
        <v>46168</v>
      </c>
      <c r="AK202" s="30">
        <v>1</v>
      </c>
      <c r="AL202" s="36">
        <f t="shared" si="65"/>
        <v>190.1</v>
      </c>
      <c r="AM202" s="35">
        <v>46172</v>
      </c>
      <c r="AN202" s="30">
        <v>1</v>
      </c>
      <c r="AO202" s="36">
        <f t="shared" si="66"/>
        <v>190.1</v>
      </c>
      <c r="AP202" s="35"/>
      <c r="AQ202" s="30"/>
      <c r="AR202" s="36">
        <f t="shared" si="67"/>
        <v>0</v>
      </c>
      <c r="AS202" s="27" t="s">
        <v>624</v>
      </c>
      <c r="AT202" s="37">
        <v>46223</v>
      </c>
      <c r="AU202" s="30">
        <v>1</v>
      </c>
      <c r="AV202" s="36">
        <f t="shared" si="68"/>
        <v>190.1</v>
      </c>
      <c r="AW202" s="35">
        <v>46233</v>
      </c>
      <c r="AX202" s="30">
        <v>1</v>
      </c>
      <c r="AY202" s="32">
        <f t="shared" si="79"/>
        <v>190.1</v>
      </c>
      <c r="AZ202" s="30" t="s">
        <v>616</v>
      </c>
      <c r="BA202" s="63" t="s">
        <v>620</v>
      </c>
      <c r="BB202" s="71"/>
      <c r="BC202" s="71"/>
      <c r="BD202" s="71"/>
    </row>
    <row r="203" spans="1:56" hidden="1" x14ac:dyDescent="0.25">
      <c r="A203" s="24">
        <f>IF(B203="","",SUBTOTAL(3,$B$4:B203))</f>
        <v>7</v>
      </c>
      <c r="B203" s="25" t="s">
        <v>569</v>
      </c>
      <c r="C203" s="25" t="str">
        <f t="shared" si="61"/>
        <v>Shipment 1 PAR-550-22 Main</v>
      </c>
      <c r="D203" s="25" t="s">
        <v>570</v>
      </c>
      <c r="E203" s="25" t="s">
        <v>571</v>
      </c>
      <c r="F203" s="25"/>
      <c r="G203" s="65">
        <v>46393</v>
      </c>
      <c r="H203" s="25" t="s">
        <v>572</v>
      </c>
      <c r="I203" s="25" t="s">
        <v>576</v>
      </c>
      <c r="J203" s="26" t="s">
        <v>622</v>
      </c>
      <c r="K203" s="27" t="s">
        <v>402</v>
      </c>
      <c r="L203" s="28" t="s">
        <v>403</v>
      </c>
      <c r="M203" s="28" t="s">
        <v>374</v>
      </c>
      <c r="N203" s="25">
        <v>1</v>
      </c>
      <c r="O203" s="29">
        <v>195</v>
      </c>
      <c r="P203" s="29">
        <v>195</v>
      </c>
      <c r="Q203" s="25" t="s">
        <v>551</v>
      </c>
      <c r="R203" s="25"/>
      <c r="S203" s="26" t="s">
        <v>568</v>
      </c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62"/>
        <v>195</v>
      </c>
      <c r="AF203" s="32">
        <f t="shared" si="63"/>
        <v>0</v>
      </c>
      <c r="AG203" s="30"/>
      <c r="AH203" s="33">
        <v>1</v>
      </c>
      <c r="AI203" s="34">
        <f t="shared" si="64"/>
        <v>195</v>
      </c>
      <c r="AJ203" s="35">
        <v>46168</v>
      </c>
      <c r="AK203" s="30">
        <v>1</v>
      </c>
      <c r="AL203" s="36">
        <f t="shared" si="65"/>
        <v>195</v>
      </c>
      <c r="AM203" s="35">
        <v>46172</v>
      </c>
      <c r="AN203" s="30">
        <v>1</v>
      </c>
      <c r="AO203" s="36">
        <f t="shared" si="66"/>
        <v>195</v>
      </c>
      <c r="AP203" s="35"/>
      <c r="AQ203" s="30"/>
      <c r="AR203" s="36">
        <f t="shared" si="67"/>
        <v>0</v>
      </c>
      <c r="AS203" s="27" t="s">
        <v>621</v>
      </c>
      <c r="AT203" s="37">
        <v>46207</v>
      </c>
      <c r="AU203" s="30">
        <v>1</v>
      </c>
      <c r="AV203" s="36">
        <f t="shared" si="68"/>
        <v>195</v>
      </c>
      <c r="AW203" s="35">
        <v>46209</v>
      </c>
      <c r="AX203" s="30">
        <v>1</v>
      </c>
      <c r="AY203" s="32">
        <f t="shared" ref="AY203:AY208" si="80">IFERROR(AX203*$P203/$N203,0)</f>
        <v>195</v>
      </c>
      <c r="AZ203" s="30" t="s">
        <v>616</v>
      </c>
      <c r="BA203" s="63" t="s">
        <v>618</v>
      </c>
      <c r="BB203" s="71"/>
      <c r="BC203" s="71"/>
      <c r="BD203" s="71"/>
    </row>
    <row r="204" spans="1:56" hidden="1" x14ac:dyDescent="0.25">
      <c r="A204" s="24">
        <f>IF(B204="","",SUBTOTAL(3,$B$4:B204))</f>
        <v>7</v>
      </c>
      <c r="B204" s="25" t="s">
        <v>569</v>
      </c>
      <c r="C204" s="25" t="str">
        <f t="shared" si="61"/>
        <v>Shipment 1 PAR-550-22 Main</v>
      </c>
      <c r="D204" s="25" t="s">
        <v>570</v>
      </c>
      <c r="E204" s="25" t="s">
        <v>571</v>
      </c>
      <c r="F204" s="25"/>
      <c r="G204" s="65">
        <v>46393</v>
      </c>
      <c r="H204" s="25" t="s">
        <v>572</v>
      </c>
      <c r="I204" s="25" t="s">
        <v>576</v>
      </c>
      <c r="J204" s="26" t="s">
        <v>622</v>
      </c>
      <c r="K204" s="27" t="s">
        <v>404</v>
      </c>
      <c r="L204" s="28" t="s">
        <v>405</v>
      </c>
      <c r="M204" s="28" t="s">
        <v>374</v>
      </c>
      <c r="N204" s="25">
        <v>1</v>
      </c>
      <c r="O204" s="29">
        <v>196.95</v>
      </c>
      <c r="P204" s="29">
        <v>196.95</v>
      </c>
      <c r="Q204" s="25" t="s">
        <v>552</v>
      </c>
      <c r="R204" s="25"/>
      <c r="S204" s="26" t="s">
        <v>568</v>
      </c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62"/>
        <v>196.95</v>
      </c>
      <c r="AF204" s="32">
        <f t="shared" si="63"/>
        <v>0</v>
      </c>
      <c r="AG204" s="30"/>
      <c r="AH204" s="33">
        <v>1</v>
      </c>
      <c r="AI204" s="34">
        <f t="shared" si="64"/>
        <v>196.95</v>
      </c>
      <c r="AJ204" s="35">
        <v>46168</v>
      </c>
      <c r="AK204" s="30">
        <v>1</v>
      </c>
      <c r="AL204" s="36">
        <f t="shared" si="65"/>
        <v>196.95</v>
      </c>
      <c r="AM204" s="35">
        <v>46172</v>
      </c>
      <c r="AN204" s="30">
        <v>1</v>
      </c>
      <c r="AO204" s="36">
        <f t="shared" si="66"/>
        <v>196.95</v>
      </c>
      <c r="AP204" s="35"/>
      <c r="AQ204" s="30"/>
      <c r="AR204" s="36">
        <f t="shared" si="67"/>
        <v>0</v>
      </c>
      <c r="AS204" s="27" t="s">
        <v>621</v>
      </c>
      <c r="AT204" s="37">
        <v>46207</v>
      </c>
      <c r="AU204" s="30">
        <v>1</v>
      </c>
      <c r="AV204" s="36">
        <f t="shared" si="68"/>
        <v>196.95</v>
      </c>
      <c r="AW204" s="35">
        <v>46209</v>
      </c>
      <c r="AX204" s="30">
        <v>1</v>
      </c>
      <c r="AY204" s="32">
        <f t="shared" si="80"/>
        <v>196.95</v>
      </c>
      <c r="AZ204" s="30" t="s">
        <v>616</v>
      </c>
      <c r="BA204" s="63" t="s">
        <v>618</v>
      </c>
      <c r="BB204" s="71"/>
      <c r="BC204" s="71"/>
      <c r="BD204" s="71"/>
    </row>
    <row r="205" spans="1:56" hidden="1" x14ac:dyDescent="0.25">
      <c r="A205" s="24">
        <f>IF(B205="","",SUBTOTAL(3,$B$4:B205))</f>
        <v>7</v>
      </c>
      <c r="B205" s="25" t="s">
        <v>569</v>
      </c>
      <c r="C205" s="25" t="str">
        <f t="shared" si="61"/>
        <v>Shipment 1 PAR-550-22 Main</v>
      </c>
      <c r="D205" s="25" t="s">
        <v>570</v>
      </c>
      <c r="E205" s="25" t="s">
        <v>571</v>
      </c>
      <c r="F205" s="25"/>
      <c r="G205" s="65">
        <v>46393</v>
      </c>
      <c r="H205" s="25" t="s">
        <v>572</v>
      </c>
      <c r="I205" s="25" t="s">
        <v>576</v>
      </c>
      <c r="J205" s="26" t="s">
        <v>622</v>
      </c>
      <c r="K205" s="27" t="s">
        <v>404</v>
      </c>
      <c r="L205" s="28" t="s">
        <v>406</v>
      </c>
      <c r="M205" s="28" t="s">
        <v>374</v>
      </c>
      <c r="N205" s="25">
        <v>1</v>
      </c>
      <c r="O205" s="29">
        <v>196.95</v>
      </c>
      <c r="P205" s="29">
        <v>196.95</v>
      </c>
      <c r="Q205" s="25" t="s">
        <v>552</v>
      </c>
      <c r="R205" s="25"/>
      <c r="S205" s="26" t="s">
        <v>568</v>
      </c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62"/>
        <v>196.95</v>
      </c>
      <c r="AF205" s="32">
        <f t="shared" si="63"/>
        <v>0</v>
      </c>
      <c r="AG205" s="30"/>
      <c r="AH205" s="33">
        <v>1</v>
      </c>
      <c r="AI205" s="34">
        <f t="shared" si="64"/>
        <v>196.95</v>
      </c>
      <c r="AJ205" s="35">
        <v>46168</v>
      </c>
      <c r="AK205" s="30">
        <v>1</v>
      </c>
      <c r="AL205" s="36">
        <f t="shared" si="65"/>
        <v>196.95</v>
      </c>
      <c r="AM205" s="35">
        <v>46172</v>
      </c>
      <c r="AN205" s="30">
        <v>1</v>
      </c>
      <c r="AO205" s="36">
        <f t="shared" si="66"/>
        <v>196.95</v>
      </c>
      <c r="AP205" s="35"/>
      <c r="AQ205" s="30"/>
      <c r="AR205" s="36">
        <f t="shared" si="67"/>
        <v>0</v>
      </c>
      <c r="AS205" s="27" t="s">
        <v>621</v>
      </c>
      <c r="AT205" s="37">
        <v>46207</v>
      </c>
      <c r="AU205" s="30">
        <v>1</v>
      </c>
      <c r="AV205" s="36">
        <f t="shared" si="68"/>
        <v>196.95</v>
      </c>
      <c r="AW205" s="35">
        <v>46209</v>
      </c>
      <c r="AX205" s="30">
        <v>1</v>
      </c>
      <c r="AY205" s="32">
        <f t="shared" si="80"/>
        <v>196.95</v>
      </c>
      <c r="AZ205" s="30" t="s">
        <v>616</v>
      </c>
      <c r="BA205" s="63" t="s">
        <v>618</v>
      </c>
      <c r="BB205" s="71"/>
      <c r="BC205" s="71"/>
      <c r="BD205" s="71"/>
    </row>
    <row r="206" spans="1:56" hidden="1" x14ac:dyDescent="0.25">
      <c r="A206" s="24">
        <f>IF(B206="","",SUBTOTAL(3,$B$4:B206))</f>
        <v>7</v>
      </c>
      <c r="B206" s="25" t="s">
        <v>569</v>
      </c>
      <c r="C206" s="25" t="str">
        <f t="shared" si="61"/>
        <v>Shipment 1 PAR-550-22 Main</v>
      </c>
      <c r="D206" s="25" t="s">
        <v>570</v>
      </c>
      <c r="E206" s="25" t="s">
        <v>571</v>
      </c>
      <c r="F206" s="25"/>
      <c r="G206" s="65">
        <v>46393</v>
      </c>
      <c r="H206" s="25" t="s">
        <v>572</v>
      </c>
      <c r="I206" s="25" t="s">
        <v>576</v>
      </c>
      <c r="J206" s="26" t="s">
        <v>622</v>
      </c>
      <c r="K206" s="27" t="s">
        <v>407</v>
      </c>
      <c r="L206" s="28" t="s">
        <v>408</v>
      </c>
      <c r="M206" s="28" t="s">
        <v>374</v>
      </c>
      <c r="N206" s="25">
        <v>1</v>
      </c>
      <c r="O206" s="29">
        <v>195</v>
      </c>
      <c r="P206" s="29">
        <v>195</v>
      </c>
      <c r="Q206" s="25" t="s">
        <v>551</v>
      </c>
      <c r="R206" s="25"/>
      <c r="S206" s="26" t="s">
        <v>568</v>
      </c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62"/>
        <v>195</v>
      </c>
      <c r="AF206" s="32">
        <f t="shared" si="63"/>
        <v>0</v>
      </c>
      <c r="AG206" s="30"/>
      <c r="AH206" s="33">
        <v>1</v>
      </c>
      <c r="AI206" s="34">
        <f t="shared" si="64"/>
        <v>195</v>
      </c>
      <c r="AJ206" s="35">
        <v>46168</v>
      </c>
      <c r="AK206" s="30">
        <v>1</v>
      </c>
      <c r="AL206" s="36">
        <f t="shared" si="65"/>
        <v>195</v>
      </c>
      <c r="AM206" s="35">
        <v>46172</v>
      </c>
      <c r="AN206" s="30">
        <v>1</v>
      </c>
      <c r="AO206" s="36">
        <f t="shared" si="66"/>
        <v>195</v>
      </c>
      <c r="AP206" s="35"/>
      <c r="AQ206" s="30"/>
      <c r="AR206" s="36">
        <f t="shared" si="67"/>
        <v>0</v>
      </c>
      <c r="AS206" s="27" t="s">
        <v>621</v>
      </c>
      <c r="AT206" s="37">
        <v>46207</v>
      </c>
      <c r="AU206" s="30">
        <v>1</v>
      </c>
      <c r="AV206" s="36">
        <f t="shared" si="68"/>
        <v>195</v>
      </c>
      <c r="AW206" s="35">
        <v>46209</v>
      </c>
      <c r="AX206" s="30">
        <v>1</v>
      </c>
      <c r="AY206" s="32">
        <f t="shared" si="80"/>
        <v>195</v>
      </c>
      <c r="AZ206" s="30" t="s">
        <v>616</v>
      </c>
      <c r="BA206" s="63" t="s">
        <v>618</v>
      </c>
      <c r="BB206" s="71"/>
      <c r="BC206" s="71"/>
      <c r="BD206" s="71"/>
    </row>
    <row r="207" spans="1:56" x14ac:dyDescent="0.25">
      <c r="A207" s="24">
        <f>IF(B207="","",SUBTOTAL(3,$B$4:B207))</f>
        <v>8</v>
      </c>
      <c r="B207" s="25" t="s">
        <v>569</v>
      </c>
      <c r="C207" s="25" t="str">
        <f t="shared" si="61"/>
        <v>Shipment 1 PAR-550-22 Main</v>
      </c>
      <c r="D207" s="25" t="s">
        <v>570</v>
      </c>
      <c r="E207" s="25" t="s">
        <v>571</v>
      </c>
      <c r="F207" s="25"/>
      <c r="G207" s="65">
        <v>46393</v>
      </c>
      <c r="H207" s="25" t="s">
        <v>572</v>
      </c>
      <c r="I207" s="25" t="s">
        <v>576</v>
      </c>
      <c r="J207" s="26" t="s">
        <v>622</v>
      </c>
      <c r="K207" s="27" t="s">
        <v>409</v>
      </c>
      <c r="L207" s="28" t="s">
        <v>410</v>
      </c>
      <c r="M207" s="28" t="s">
        <v>374</v>
      </c>
      <c r="N207" s="25">
        <v>1</v>
      </c>
      <c r="O207" s="29">
        <v>148.70000000000002</v>
      </c>
      <c r="P207" s="29">
        <v>148.70000000000002</v>
      </c>
      <c r="Q207" s="25" t="s">
        <v>554</v>
      </c>
      <c r="R207" s="25"/>
      <c r="S207" s="26" t="s">
        <v>568</v>
      </c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62"/>
        <v>148.70000000000002</v>
      </c>
      <c r="AF207" s="32">
        <f t="shared" si="63"/>
        <v>0</v>
      </c>
      <c r="AG207" s="30"/>
      <c r="AH207" s="33">
        <v>1</v>
      </c>
      <c r="AI207" s="34">
        <f t="shared" si="64"/>
        <v>148.70000000000002</v>
      </c>
      <c r="AJ207" s="35">
        <v>46168</v>
      </c>
      <c r="AK207" s="30">
        <v>1</v>
      </c>
      <c r="AL207" s="36">
        <f t="shared" si="65"/>
        <v>148.70000000000002</v>
      </c>
      <c r="AM207" s="35">
        <v>46174</v>
      </c>
      <c r="AN207" s="30">
        <v>1</v>
      </c>
      <c r="AO207" s="36">
        <f t="shared" si="66"/>
        <v>148.70000000000002</v>
      </c>
      <c r="AP207" s="35"/>
      <c r="AQ207" s="30"/>
      <c r="AR207" s="36">
        <f t="shared" si="67"/>
        <v>0</v>
      </c>
      <c r="AS207" s="27" t="s">
        <v>624</v>
      </c>
      <c r="AT207" s="37">
        <v>46223</v>
      </c>
      <c r="AU207" s="30">
        <v>1</v>
      </c>
      <c r="AV207" s="36">
        <f t="shared" si="68"/>
        <v>148.70000000000002</v>
      </c>
      <c r="AW207" s="35">
        <v>46233</v>
      </c>
      <c r="AX207" s="30">
        <v>1</v>
      </c>
      <c r="AY207" s="32">
        <f t="shared" si="80"/>
        <v>148.70000000000002</v>
      </c>
      <c r="AZ207" s="30" t="s">
        <v>616</v>
      </c>
      <c r="BA207" s="63" t="s">
        <v>620</v>
      </c>
      <c r="BB207" s="71"/>
      <c r="BC207" s="71"/>
      <c r="BD207" s="71"/>
    </row>
    <row r="208" spans="1:56" x14ac:dyDescent="0.25">
      <c r="A208" s="24">
        <f>IF(B208="","",SUBTOTAL(3,$B$4:B208))</f>
        <v>9</v>
      </c>
      <c r="B208" s="25" t="s">
        <v>569</v>
      </c>
      <c r="C208" s="25" t="str">
        <f t="shared" si="61"/>
        <v>Shipment 1 PAR-550-22 Main</v>
      </c>
      <c r="D208" s="25" t="s">
        <v>570</v>
      </c>
      <c r="E208" s="25" t="s">
        <v>571</v>
      </c>
      <c r="F208" s="25"/>
      <c r="G208" s="65">
        <v>46393</v>
      </c>
      <c r="H208" s="25" t="s">
        <v>572</v>
      </c>
      <c r="I208" s="25" t="s">
        <v>576</v>
      </c>
      <c r="J208" s="26" t="s">
        <v>622</v>
      </c>
      <c r="K208" s="27" t="s">
        <v>411</v>
      </c>
      <c r="L208" s="28" t="s">
        <v>412</v>
      </c>
      <c r="M208" s="28" t="s">
        <v>374</v>
      </c>
      <c r="N208" s="25">
        <v>1</v>
      </c>
      <c r="O208" s="29">
        <v>195.8</v>
      </c>
      <c r="P208" s="29">
        <v>195.8</v>
      </c>
      <c r="Q208" s="25" t="s">
        <v>555</v>
      </c>
      <c r="R208" s="25"/>
      <c r="S208" s="26" t="s">
        <v>568</v>
      </c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62"/>
        <v>195.80000000000004</v>
      </c>
      <c r="AF208" s="32">
        <f t="shared" si="63"/>
        <v>0</v>
      </c>
      <c r="AG208" s="30"/>
      <c r="AH208" s="33">
        <v>1</v>
      </c>
      <c r="AI208" s="34">
        <f t="shared" si="64"/>
        <v>195.8</v>
      </c>
      <c r="AJ208" s="35">
        <v>46168</v>
      </c>
      <c r="AK208" s="30">
        <v>1</v>
      </c>
      <c r="AL208" s="36">
        <f t="shared" si="65"/>
        <v>195.8</v>
      </c>
      <c r="AM208" s="35">
        <v>46174</v>
      </c>
      <c r="AN208" s="30">
        <v>1</v>
      </c>
      <c r="AO208" s="36">
        <f t="shared" si="66"/>
        <v>195.8</v>
      </c>
      <c r="AP208" s="35"/>
      <c r="AQ208" s="30"/>
      <c r="AR208" s="36">
        <f t="shared" si="67"/>
        <v>0</v>
      </c>
      <c r="AS208" s="27" t="s">
        <v>624</v>
      </c>
      <c r="AT208" s="37">
        <v>46223</v>
      </c>
      <c r="AU208" s="30">
        <v>1</v>
      </c>
      <c r="AV208" s="36">
        <f t="shared" si="68"/>
        <v>195.8</v>
      </c>
      <c r="AW208" s="35">
        <v>46233</v>
      </c>
      <c r="AX208" s="30">
        <v>1</v>
      </c>
      <c r="AY208" s="32">
        <f t="shared" si="80"/>
        <v>195.8</v>
      </c>
      <c r="AZ208" s="30" t="s">
        <v>616</v>
      </c>
      <c r="BA208" s="63" t="s">
        <v>620</v>
      </c>
      <c r="BB208" s="71"/>
      <c r="BC208" s="71"/>
      <c r="BD208" s="71"/>
    </row>
    <row r="209" spans="1:56" hidden="1" x14ac:dyDescent="0.25">
      <c r="A209" s="24">
        <f>IF(B209="","",SUBTOTAL(3,$B$4:B209))</f>
        <v>9</v>
      </c>
      <c r="B209" s="25" t="s">
        <v>569</v>
      </c>
      <c r="C209" s="25" t="str">
        <f t="shared" si="61"/>
        <v>Shipment 1 PAR-550-22 Main</v>
      </c>
      <c r="D209" s="25" t="s">
        <v>570</v>
      </c>
      <c r="E209" s="25" t="s">
        <v>571</v>
      </c>
      <c r="F209" s="25"/>
      <c r="G209" s="65">
        <v>46393</v>
      </c>
      <c r="H209" s="25" t="s">
        <v>572</v>
      </c>
      <c r="I209" s="25" t="s">
        <v>576</v>
      </c>
      <c r="J209" s="26" t="s">
        <v>622</v>
      </c>
      <c r="K209" s="27" t="s">
        <v>413</v>
      </c>
      <c r="L209" s="28" t="s">
        <v>414</v>
      </c>
      <c r="M209" s="28" t="s">
        <v>415</v>
      </c>
      <c r="N209" s="25">
        <v>1</v>
      </c>
      <c r="O209" s="29">
        <v>121.8</v>
      </c>
      <c r="P209" s="29">
        <v>121.8</v>
      </c>
      <c r="Q209" s="25" t="s">
        <v>556</v>
      </c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62"/>
        <v>121.80000000000001</v>
      </c>
      <c r="AF209" s="32">
        <f t="shared" si="63"/>
        <v>0</v>
      </c>
      <c r="AG209" s="30"/>
      <c r="AH209" s="33">
        <v>1</v>
      </c>
      <c r="AI209" s="34">
        <f t="shared" si="64"/>
        <v>121.8</v>
      </c>
      <c r="AJ209" s="35">
        <v>46163</v>
      </c>
      <c r="AK209" s="30">
        <v>1</v>
      </c>
      <c r="AL209" s="36">
        <f t="shared" si="65"/>
        <v>121.8</v>
      </c>
      <c r="AM209" s="35">
        <v>46163</v>
      </c>
      <c r="AN209" s="30">
        <v>1</v>
      </c>
      <c r="AO209" s="36">
        <f t="shared" si="66"/>
        <v>121.8</v>
      </c>
      <c r="AP209" s="35"/>
      <c r="AQ209" s="30"/>
      <c r="AR209" s="36">
        <f t="shared" si="67"/>
        <v>0</v>
      </c>
      <c r="AS209" s="27" t="s">
        <v>588</v>
      </c>
      <c r="AT209" s="37">
        <v>46168</v>
      </c>
      <c r="AU209" s="30">
        <v>1</v>
      </c>
      <c r="AV209" s="36">
        <f t="shared" si="68"/>
        <v>121.8</v>
      </c>
      <c r="AW209" s="35">
        <v>46171</v>
      </c>
      <c r="AX209" s="30">
        <v>1</v>
      </c>
      <c r="AY209" s="32">
        <f t="shared" ref="AY209:AY210" si="81">IFERROR(AX209*$P209/$N209,0)</f>
        <v>121.8</v>
      </c>
      <c r="AZ209" s="30" t="s">
        <v>580</v>
      </c>
      <c r="BA209" s="63" t="s">
        <v>585</v>
      </c>
      <c r="BB209" s="71" t="e">
        <f>SUMIFS([1]Form!$F$8:$F$21,[1]Form!$J$8:$J$21,K209)</f>
        <v>#VALUE!</v>
      </c>
      <c r="BC209" s="71"/>
      <c r="BD209" s="71"/>
    </row>
    <row r="210" spans="1:56" hidden="1" x14ac:dyDescent="0.25">
      <c r="A210" s="24">
        <f>IF(B210="","",SUBTOTAL(3,$B$4:B210))</f>
        <v>9</v>
      </c>
      <c r="B210" s="25" t="s">
        <v>569</v>
      </c>
      <c r="C210" s="25" t="str">
        <f t="shared" si="61"/>
        <v>Shipment 1 PAR-550-22 Main</v>
      </c>
      <c r="D210" s="25" t="s">
        <v>570</v>
      </c>
      <c r="E210" s="25" t="s">
        <v>571</v>
      </c>
      <c r="F210" s="25"/>
      <c r="G210" s="65">
        <v>46393</v>
      </c>
      <c r="H210" s="25" t="s">
        <v>572</v>
      </c>
      <c r="I210" s="25" t="s">
        <v>576</v>
      </c>
      <c r="J210" s="26" t="s">
        <v>622</v>
      </c>
      <c r="K210" s="27" t="s">
        <v>416</v>
      </c>
      <c r="L210" s="28" t="s">
        <v>417</v>
      </c>
      <c r="M210" s="28" t="s">
        <v>415</v>
      </c>
      <c r="N210" s="25">
        <v>1</v>
      </c>
      <c r="O210" s="29">
        <v>138.4</v>
      </c>
      <c r="P210" s="29">
        <v>138.4</v>
      </c>
      <c r="Q210" s="25" t="s">
        <v>557</v>
      </c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62"/>
        <v>138.4</v>
      </c>
      <c r="AF210" s="32">
        <f t="shared" si="63"/>
        <v>0</v>
      </c>
      <c r="AG210" s="30"/>
      <c r="AH210" s="33">
        <v>1</v>
      </c>
      <c r="AI210" s="34">
        <f t="shared" si="64"/>
        <v>138.4</v>
      </c>
      <c r="AJ210" s="35">
        <v>46163</v>
      </c>
      <c r="AK210" s="30">
        <v>1</v>
      </c>
      <c r="AL210" s="36">
        <f t="shared" si="65"/>
        <v>138.4</v>
      </c>
      <c r="AM210" s="35">
        <v>46163</v>
      </c>
      <c r="AN210" s="30">
        <v>1</v>
      </c>
      <c r="AO210" s="36">
        <f t="shared" si="66"/>
        <v>138.4</v>
      </c>
      <c r="AP210" s="35"/>
      <c r="AQ210" s="30"/>
      <c r="AR210" s="36">
        <f t="shared" si="67"/>
        <v>0</v>
      </c>
      <c r="AS210" s="27" t="s">
        <v>614</v>
      </c>
      <c r="AT210" s="37">
        <v>46182</v>
      </c>
      <c r="AU210" s="30">
        <v>1</v>
      </c>
      <c r="AV210" s="36">
        <f t="shared" si="68"/>
        <v>138.4</v>
      </c>
      <c r="AW210" s="35">
        <v>46184</v>
      </c>
      <c r="AX210" s="30">
        <v>1</v>
      </c>
      <c r="AY210" s="32">
        <f t="shared" si="81"/>
        <v>138.4</v>
      </c>
      <c r="AZ210" s="30" t="s">
        <v>611</v>
      </c>
      <c r="BA210" s="63" t="s">
        <v>612</v>
      </c>
      <c r="BB210" s="71" t="e">
        <f>SUMIFS([1]Form!$F$8:$F$21,[1]Form!$J$8:$J$21,K210)</f>
        <v>#VALUE!</v>
      </c>
      <c r="BC210" s="71"/>
      <c r="BD210" s="71"/>
    </row>
    <row r="211" spans="1:56" hidden="1" x14ac:dyDescent="0.25">
      <c r="A211" s="24">
        <f>IF(B211="","",SUBTOTAL(3,$B$4:B211))</f>
        <v>9</v>
      </c>
      <c r="B211" s="25" t="s">
        <v>569</v>
      </c>
      <c r="C211" s="25" t="str">
        <f t="shared" si="61"/>
        <v>Shipment 1 PAR-550-22 Main</v>
      </c>
      <c r="D211" s="25" t="s">
        <v>570</v>
      </c>
      <c r="E211" s="25" t="s">
        <v>571</v>
      </c>
      <c r="F211" s="25"/>
      <c r="G211" s="65">
        <v>46393</v>
      </c>
      <c r="H211" s="25" t="s">
        <v>572</v>
      </c>
      <c r="I211" s="25" t="s">
        <v>576</v>
      </c>
      <c r="J211" s="26" t="s">
        <v>622</v>
      </c>
      <c r="K211" s="27" t="s">
        <v>418</v>
      </c>
      <c r="L211" s="28" t="s">
        <v>419</v>
      </c>
      <c r="M211" s="28" t="s">
        <v>415</v>
      </c>
      <c r="N211" s="25">
        <v>1</v>
      </c>
      <c r="O211" s="29">
        <v>14.6</v>
      </c>
      <c r="P211" s="29">
        <v>14.6</v>
      </c>
      <c r="Q211" s="25" t="s">
        <v>558</v>
      </c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62"/>
        <v>14.600000000000001</v>
      </c>
      <c r="AF211" s="32">
        <f t="shared" si="63"/>
        <v>0</v>
      </c>
      <c r="AG211" s="30"/>
      <c r="AH211" s="33">
        <v>1</v>
      </c>
      <c r="AI211" s="34">
        <f t="shared" si="64"/>
        <v>14.6</v>
      </c>
      <c r="AJ211" s="35">
        <v>46163</v>
      </c>
      <c r="AK211" s="30">
        <v>1</v>
      </c>
      <c r="AL211" s="36">
        <f t="shared" si="65"/>
        <v>14.6</v>
      </c>
      <c r="AM211" s="35">
        <v>46163</v>
      </c>
      <c r="AN211" s="30">
        <v>1</v>
      </c>
      <c r="AO211" s="36">
        <f t="shared" si="66"/>
        <v>14.6</v>
      </c>
      <c r="AP211" s="35"/>
      <c r="AQ211" s="30"/>
      <c r="AR211" s="36">
        <f t="shared" si="67"/>
        <v>0</v>
      </c>
      <c r="AS211" s="27" t="s">
        <v>588</v>
      </c>
      <c r="AT211" s="37">
        <v>46168</v>
      </c>
      <c r="AU211" s="30">
        <v>1</v>
      </c>
      <c r="AV211" s="36">
        <f t="shared" si="68"/>
        <v>14.6</v>
      </c>
      <c r="AW211" s="35">
        <v>46171</v>
      </c>
      <c r="AX211" s="30">
        <v>1</v>
      </c>
      <c r="AY211" s="32">
        <f t="shared" ref="AY211:AY212" si="82">IFERROR(AX211*$P211/$N211,0)</f>
        <v>14.6</v>
      </c>
      <c r="AZ211" s="30" t="s">
        <v>580</v>
      </c>
      <c r="BA211" s="63" t="s">
        <v>585</v>
      </c>
      <c r="BB211" s="71" t="e">
        <f>SUMIFS([1]Form!$F$8:$F$21,[1]Form!$J$8:$J$21,K211)</f>
        <v>#VALUE!</v>
      </c>
      <c r="BC211" s="71"/>
      <c r="BD211" s="71"/>
    </row>
    <row r="212" spans="1:56" hidden="1" x14ac:dyDescent="0.25">
      <c r="A212" s="24">
        <f>IF(B212="","",SUBTOTAL(3,$B$4:B212))</f>
        <v>9</v>
      </c>
      <c r="B212" s="25" t="s">
        <v>569</v>
      </c>
      <c r="C212" s="25" t="str">
        <f t="shared" si="61"/>
        <v>Shipment 1 PAR-550-22 Main</v>
      </c>
      <c r="D212" s="25" t="s">
        <v>570</v>
      </c>
      <c r="E212" s="25" t="s">
        <v>571</v>
      </c>
      <c r="F212" s="25"/>
      <c r="G212" s="65">
        <v>46393</v>
      </c>
      <c r="H212" s="25" t="s">
        <v>572</v>
      </c>
      <c r="I212" s="25" t="s">
        <v>576</v>
      </c>
      <c r="J212" s="26" t="s">
        <v>622</v>
      </c>
      <c r="K212" s="27" t="s">
        <v>420</v>
      </c>
      <c r="L212" s="28" t="s">
        <v>421</v>
      </c>
      <c r="M212" s="28" t="s">
        <v>415</v>
      </c>
      <c r="N212" s="25">
        <v>1</v>
      </c>
      <c r="O212" s="29">
        <v>14.6</v>
      </c>
      <c r="P212" s="29">
        <v>14.6</v>
      </c>
      <c r="Q212" s="25" t="s">
        <v>558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62"/>
        <v>14.600000000000001</v>
      </c>
      <c r="AF212" s="32">
        <f t="shared" si="63"/>
        <v>0</v>
      </c>
      <c r="AG212" s="30"/>
      <c r="AH212" s="33">
        <v>1</v>
      </c>
      <c r="AI212" s="34">
        <f t="shared" si="64"/>
        <v>14.6</v>
      </c>
      <c r="AJ212" s="35">
        <v>46163</v>
      </c>
      <c r="AK212" s="30">
        <v>1</v>
      </c>
      <c r="AL212" s="36">
        <f t="shared" si="65"/>
        <v>14.6</v>
      </c>
      <c r="AM212" s="35">
        <v>46163</v>
      </c>
      <c r="AN212" s="30">
        <v>1</v>
      </c>
      <c r="AO212" s="36">
        <f t="shared" si="66"/>
        <v>14.6</v>
      </c>
      <c r="AP212" s="35"/>
      <c r="AQ212" s="30"/>
      <c r="AR212" s="36">
        <f t="shared" si="67"/>
        <v>0</v>
      </c>
      <c r="AS212" s="27" t="s">
        <v>588</v>
      </c>
      <c r="AT212" s="37">
        <v>46168</v>
      </c>
      <c r="AU212" s="30">
        <v>1</v>
      </c>
      <c r="AV212" s="36">
        <f t="shared" si="68"/>
        <v>14.6</v>
      </c>
      <c r="AW212" s="35">
        <v>46171</v>
      </c>
      <c r="AX212" s="30">
        <v>1</v>
      </c>
      <c r="AY212" s="32">
        <f t="shared" si="82"/>
        <v>14.6</v>
      </c>
      <c r="AZ212" s="30" t="s">
        <v>580</v>
      </c>
      <c r="BA212" s="63" t="s">
        <v>585</v>
      </c>
      <c r="BB212" s="71" t="e">
        <f>SUMIFS([1]Form!$F$8:$F$21,[1]Form!$J$8:$J$21,K212)</f>
        <v>#VALUE!</v>
      </c>
      <c r="BC212" s="71"/>
      <c r="BD212" s="71"/>
    </row>
    <row r="213" spans="1:56" hidden="1" x14ac:dyDescent="0.25">
      <c r="A213" s="24">
        <f>IF(B213="","",SUBTOTAL(3,$B$4:B213))</f>
        <v>9</v>
      </c>
      <c r="B213" s="25" t="s">
        <v>569</v>
      </c>
      <c r="C213" s="25" t="str">
        <f t="shared" si="61"/>
        <v>Shipment 1 PAR-550-22 Main</v>
      </c>
      <c r="D213" s="25" t="s">
        <v>570</v>
      </c>
      <c r="E213" s="25" t="s">
        <v>571</v>
      </c>
      <c r="F213" s="25"/>
      <c r="G213" s="65">
        <v>46393</v>
      </c>
      <c r="H213" s="25" t="s">
        <v>572</v>
      </c>
      <c r="I213" s="25" t="s">
        <v>576</v>
      </c>
      <c r="J213" s="26" t="s">
        <v>622</v>
      </c>
      <c r="K213" s="27" t="s">
        <v>422</v>
      </c>
      <c r="L213" s="28" t="s">
        <v>423</v>
      </c>
      <c r="M213" s="28" t="s">
        <v>415</v>
      </c>
      <c r="N213" s="25">
        <v>1</v>
      </c>
      <c r="O213" s="29">
        <v>209.95</v>
      </c>
      <c r="P213" s="29">
        <v>209.95</v>
      </c>
      <c r="Q213" s="25" t="s">
        <v>559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62"/>
        <v>209.95</v>
      </c>
      <c r="AF213" s="32">
        <f t="shared" si="63"/>
        <v>0</v>
      </c>
      <c r="AG213" s="30"/>
      <c r="AH213" s="33">
        <v>1</v>
      </c>
      <c r="AI213" s="34">
        <f t="shared" si="64"/>
        <v>209.95</v>
      </c>
      <c r="AJ213" s="35">
        <v>46162</v>
      </c>
      <c r="AK213" s="30">
        <v>1</v>
      </c>
      <c r="AL213" s="36">
        <f t="shared" si="65"/>
        <v>209.95</v>
      </c>
      <c r="AM213" s="35">
        <v>46163</v>
      </c>
      <c r="AN213" s="30">
        <v>1</v>
      </c>
      <c r="AO213" s="36">
        <f t="shared" si="66"/>
        <v>209.95</v>
      </c>
      <c r="AP213" s="35"/>
      <c r="AQ213" s="30"/>
      <c r="AR213" s="36">
        <f t="shared" si="67"/>
        <v>0</v>
      </c>
      <c r="AS213" s="27" t="s">
        <v>584</v>
      </c>
      <c r="AT213" s="37">
        <v>46165</v>
      </c>
      <c r="AU213" s="30">
        <v>1</v>
      </c>
      <c r="AV213" s="36">
        <f t="shared" si="68"/>
        <v>209.95</v>
      </c>
      <c r="AW213" s="35">
        <v>46171</v>
      </c>
      <c r="AX213" s="30">
        <v>1</v>
      </c>
      <c r="AY213" s="32">
        <f t="shared" ref="AY213:AY224" si="83">IFERROR(AX213*$P213/$N213,0)</f>
        <v>209.95</v>
      </c>
      <c r="AZ213" s="30" t="s">
        <v>580</v>
      </c>
      <c r="BA213" s="63" t="s">
        <v>583</v>
      </c>
      <c r="BB213" s="71" t="e">
        <f>SUMIFS([1]Form!$F$8:$F$21,[1]Form!$J$8:$J$21,K213)</f>
        <v>#VALUE!</v>
      </c>
      <c r="BC213" s="71"/>
      <c r="BD213" s="71"/>
    </row>
    <row r="214" spans="1:56" hidden="1" x14ac:dyDescent="0.25">
      <c r="A214" s="24">
        <f>IF(B214="","",SUBTOTAL(3,$B$4:B214))</f>
        <v>9</v>
      </c>
      <c r="B214" s="25" t="s">
        <v>569</v>
      </c>
      <c r="C214" s="25" t="str">
        <f t="shared" ref="C214:C227" si="84">D214&amp;" "&amp;E214</f>
        <v>Shipment 1 PAR-550-22 Main</v>
      </c>
      <c r="D214" s="25" t="s">
        <v>570</v>
      </c>
      <c r="E214" s="25" t="s">
        <v>571</v>
      </c>
      <c r="F214" s="25"/>
      <c r="G214" s="65">
        <v>46393</v>
      </c>
      <c r="H214" s="25" t="s">
        <v>572</v>
      </c>
      <c r="I214" s="25" t="s">
        <v>576</v>
      </c>
      <c r="J214" s="26" t="s">
        <v>622</v>
      </c>
      <c r="K214" s="27" t="s">
        <v>422</v>
      </c>
      <c r="L214" s="28" t="s">
        <v>424</v>
      </c>
      <c r="M214" s="28" t="s">
        <v>415</v>
      </c>
      <c r="N214" s="25">
        <v>1</v>
      </c>
      <c r="O214" s="29">
        <v>209.95</v>
      </c>
      <c r="P214" s="29">
        <v>209.95</v>
      </c>
      <c r="Q214" s="25" t="s">
        <v>559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ref="AE214:AE227" si="85">+AL214*0.5+AO214*0.4+AV214*0.1</f>
        <v>209.95</v>
      </c>
      <c r="AF214" s="32">
        <f t="shared" ref="AF214:AF227" si="86">+P214-AE214</f>
        <v>0</v>
      </c>
      <c r="AG214" s="30"/>
      <c r="AH214" s="33">
        <v>1</v>
      </c>
      <c r="AI214" s="34">
        <f t="shared" ref="AI214:AI227" si="87">+AH214*P214</f>
        <v>209.95</v>
      </c>
      <c r="AJ214" s="35">
        <v>46162</v>
      </c>
      <c r="AK214" s="30">
        <v>1</v>
      </c>
      <c r="AL214" s="36">
        <f t="shared" ref="AL214:AL227" si="88">IFERROR(AK214*$P214/$N214,0)</f>
        <v>209.95</v>
      </c>
      <c r="AM214" s="35">
        <v>46163</v>
      </c>
      <c r="AN214" s="30">
        <v>1</v>
      </c>
      <c r="AO214" s="36">
        <f t="shared" ref="AO214:AO227" si="89">IFERROR(AN214*$P214/$N214,0)</f>
        <v>209.95</v>
      </c>
      <c r="AP214" s="35"/>
      <c r="AQ214" s="30"/>
      <c r="AR214" s="36">
        <f t="shared" ref="AR214:AR227" si="90">IFERROR(AQ214*$P214/$N214,0)</f>
        <v>0</v>
      </c>
      <c r="AS214" s="27" t="s">
        <v>584</v>
      </c>
      <c r="AT214" s="37">
        <v>46165</v>
      </c>
      <c r="AU214" s="30">
        <v>1</v>
      </c>
      <c r="AV214" s="36">
        <f t="shared" ref="AV214:AV227" si="91">IFERROR(AU214*$P214/$N214,0)</f>
        <v>209.95</v>
      </c>
      <c r="AW214" s="35">
        <v>46171</v>
      </c>
      <c r="AX214" s="30">
        <v>1</v>
      </c>
      <c r="AY214" s="32">
        <f t="shared" si="83"/>
        <v>209.95</v>
      </c>
      <c r="AZ214" s="30" t="s">
        <v>580</v>
      </c>
      <c r="BA214" s="63" t="s">
        <v>583</v>
      </c>
      <c r="BB214" s="71" t="e">
        <f>SUMIFS([1]Form!$F$8:$F$21,[1]Form!$J$8:$J$21,K214)</f>
        <v>#VALUE!</v>
      </c>
      <c r="BC214" s="71"/>
      <c r="BD214" s="71"/>
    </row>
    <row r="215" spans="1:56" hidden="1" x14ac:dyDescent="0.25">
      <c r="A215" s="24">
        <f>IF(B215="","",SUBTOTAL(3,$B$4:B215))</f>
        <v>9</v>
      </c>
      <c r="B215" s="25" t="s">
        <v>569</v>
      </c>
      <c r="C215" s="25" t="str">
        <f t="shared" si="84"/>
        <v>Shipment 1 PAR-550-22 Main</v>
      </c>
      <c r="D215" s="25" t="s">
        <v>570</v>
      </c>
      <c r="E215" s="25" t="s">
        <v>571</v>
      </c>
      <c r="F215" s="25"/>
      <c r="G215" s="65">
        <v>46393</v>
      </c>
      <c r="H215" s="25" t="s">
        <v>572</v>
      </c>
      <c r="I215" s="25" t="s">
        <v>576</v>
      </c>
      <c r="J215" s="26" t="s">
        <v>622</v>
      </c>
      <c r="K215" s="27" t="s">
        <v>425</v>
      </c>
      <c r="L215" s="28" t="s">
        <v>426</v>
      </c>
      <c r="M215" s="28" t="s">
        <v>415</v>
      </c>
      <c r="N215" s="25">
        <v>1</v>
      </c>
      <c r="O215" s="29">
        <v>234.75</v>
      </c>
      <c r="P215" s="29">
        <v>234.75</v>
      </c>
      <c r="Q215" s="25" t="s">
        <v>560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85"/>
        <v>234.75</v>
      </c>
      <c r="AF215" s="32">
        <f t="shared" si="86"/>
        <v>0</v>
      </c>
      <c r="AG215" s="30"/>
      <c r="AH215" s="33">
        <v>1</v>
      </c>
      <c r="AI215" s="34">
        <f t="shared" si="87"/>
        <v>234.75</v>
      </c>
      <c r="AJ215" s="35">
        <v>46162</v>
      </c>
      <c r="AK215" s="30">
        <v>1</v>
      </c>
      <c r="AL215" s="36">
        <f t="shared" si="88"/>
        <v>234.75</v>
      </c>
      <c r="AM215" s="35">
        <v>46163</v>
      </c>
      <c r="AN215" s="30">
        <v>1</v>
      </c>
      <c r="AO215" s="36">
        <f t="shared" si="89"/>
        <v>234.75</v>
      </c>
      <c r="AP215" s="35"/>
      <c r="AQ215" s="30"/>
      <c r="AR215" s="36">
        <f t="shared" si="90"/>
        <v>0</v>
      </c>
      <c r="AS215" s="27" t="s">
        <v>584</v>
      </c>
      <c r="AT215" s="37">
        <v>46165</v>
      </c>
      <c r="AU215" s="30">
        <v>1</v>
      </c>
      <c r="AV215" s="36">
        <f t="shared" si="91"/>
        <v>234.75</v>
      </c>
      <c r="AW215" s="35">
        <v>46171</v>
      </c>
      <c r="AX215" s="30">
        <v>1</v>
      </c>
      <c r="AY215" s="32">
        <f t="shared" si="83"/>
        <v>234.75</v>
      </c>
      <c r="AZ215" s="30" t="s">
        <v>580</v>
      </c>
      <c r="BA215" s="63" t="s">
        <v>583</v>
      </c>
      <c r="BB215" s="71" t="e">
        <f>SUMIFS([1]Form!$F$8:$F$21,[1]Form!$J$8:$J$21,K215)</f>
        <v>#VALUE!</v>
      </c>
      <c r="BC215" s="71"/>
      <c r="BD215" s="71"/>
    </row>
    <row r="216" spans="1:56" hidden="1" x14ac:dyDescent="0.25">
      <c r="A216" s="24">
        <f>IF(B216="","",SUBTOTAL(3,$B$4:B216))</f>
        <v>9</v>
      </c>
      <c r="B216" s="25" t="s">
        <v>569</v>
      </c>
      <c r="C216" s="25" t="str">
        <f t="shared" si="84"/>
        <v>Shipment 1 PAR-550-22 Main</v>
      </c>
      <c r="D216" s="25" t="s">
        <v>570</v>
      </c>
      <c r="E216" s="25" t="s">
        <v>571</v>
      </c>
      <c r="F216" s="25"/>
      <c r="G216" s="65">
        <v>46393</v>
      </c>
      <c r="H216" s="25" t="s">
        <v>572</v>
      </c>
      <c r="I216" s="25" t="s">
        <v>576</v>
      </c>
      <c r="J216" s="26" t="s">
        <v>622</v>
      </c>
      <c r="K216" s="27" t="s">
        <v>425</v>
      </c>
      <c r="L216" s="28" t="s">
        <v>427</v>
      </c>
      <c r="M216" s="28" t="s">
        <v>415</v>
      </c>
      <c r="N216" s="25">
        <v>1</v>
      </c>
      <c r="O216" s="29">
        <v>234.75</v>
      </c>
      <c r="P216" s="29">
        <v>234.75</v>
      </c>
      <c r="Q216" s="25" t="s">
        <v>560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85"/>
        <v>234.75</v>
      </c>
      <c r="AF216" s="32">
        <f t="shared" si="86"/>
        <v>0</v>
      </c>
      <c r="AG216" s="30"/>
      <c r="AH216" s="33">
        <v>1</v>
      </c>
      <c r="AI216" s="34">
        <f t="shared" si="87"/>
        <v>234.75</v>
      </c>
      <c r="AJ216" s="35">
        <v>46162</v>
      </c>
      <c r="AK216" s="30">
        <v>1</v>
      </c>
      <c r="AL216" s="36">
        <f t="shared" si="88"/>
        <v>234.75</v>
      </c>
      <c r="AM216" s="35">
        <v>46163</v>
      </c>
      <c r="AN216" s="30">
        <v>1</v>
      </c>
      <c r="AO216" s="36">
        <f t="shared" si="89"/>
        <v>234.75</v>
      </c>
      <c r="AP216" s="35"/>
      <c r="AQ216" s="30"/>
      <c r="AR216" s="36">
        <f t="shared" si="90"/>
        <v>0</v>
      </c>
      <c r="AS216" s="27" t="s">
        <v>584</v>
      </c>
      <c r="AT216" s="37">
        <v>46165</v>
      </c>
      <c r="AU216" s="30">
        <v>1</v>
      </c>
      <c r="AV216" s="36">
        <f t="shared" si="91"/>
        <v>234.75</v>
      </c>
      <c r="AW216" s="35">
        <v>46171</v>
      </c>
      <c r="AX216" s="30">
        <v>1</v>
      </c>
      <c r="AY216" s="32">
        <f t="shared" si="83"/>
        <v>234.75</v>
      </c>
      <c r="AZ216" s="30" t="s">
        <v>580</v>
      </c>
      <c r="BA216" s="63" t="s">
        <v>583</v>
      </c>
      <c r="BB216" s="71" t="e">
        <f>SUMIFS([1]Form!$F$8:$F$21,[1]Form!$J$8:$J$21,K216)</f>
        <v>#VALUE!</v>
      </c>
      <c r="BC216" s="71"/>
      <c r="BD216" s="71"/>
    </row>
    <row r="217" spans="1:56" hidden="1" x14ac:dyDescent="0.25">
      <c r="A217" s="24">
        <f>IF(B217="","",SUBTOTAL(3,$B$4:B217))</f>
        <v>9</v>
      </c>
      <c r="B217" s="25" t="s">
        <v>569</v>
      </c>
      <c r="C217" s="25" t="str">
        <f t="shared" si="84"/>
        <v>Shipment 1 PAR-550-22 Main</v>
      </c>
      <c r="D217" s="25" t="s">
        <v>570</v>
      </c>
      <c r="E217" s="25" t="s">
        <v>571</v>
      </c>
      <c r="F217" s="25"/>
      <c r="G217" s="65">
        <v>46393</v>
      </c>
      <c r="H217" s="25" t="s">
        <v>572</v>
      </c>
      <c r="I217" s="25" t="s">
        <v>576</v>
      </c>
      <c r="J217" s="26" t="s">
        <v>622</v>
      </c>
      <c r="K217" s="27" t="s">
        <v>428</v>
      </c>
      <c r="L217" s="28" t="s">
        <v>429</v>
      </c>
      <c r="M217" s="28" t="s">
        <v>415</v>
      </c>
      <c r="N217" s="25">
        <v>1</v>
      </c>
      <c r="O217" s="29">
        <v>16.600000000000001</v>
      </c>
      <c r="P217" s="29">
        <v>16.600000000000001</v>
      </c>
      <c r="Q217" s="25" t="s">
        <v>561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85"/>
        <v>16.600000000000001</v>
      </c>
      <c r="AF217" s="32">
        <f t="shared" si="86"/>
        <v>0</v>
      </c>
      <c r="AG217" s="30"/>
      <c r="AH217" s="33">
        <v>1</v>
      </c>
      <c r="AI217" s="34">
        <f t="shared" si="87"/>
        <v>16.600000000000001</v>
      </c>
      <c r="AJ217" s="35">
        <v>46163</v>
      </c>
      <c r="AK217" s="30">
        <v>1</v>
      </c>
      <c r="AL217" s="36">
        <f t="shared" si="88"/>
        <v>16.600000000000001</v>
      </c>
      <c r="AM217" s="35">
        <v>46163</v>
      </c>
      <c r="AN217" s="30">
        <v>1</v>
      </c>
      <c r="AO217" s="36">
        <f t="shared" si="89"/>
        <v>16.600000000000001</v>
      </c>
      <c r="AP217" s="35"/>
      <c r="AQ217" s="30"/>
      <c r="AR217" s="36">
        <f t="shared" si="90"/>
        <v>0</v>
      </c>
      <c r="AS217" s="27" t="s">
        <v>588</v>
      </c>
      <c r="AT217" s="37">
        <v>46168</v>
      </c>
      <c r="AU217" s="30">
        <v>1</v>
      </c>
      <c r="AV217" s="36">
        <f t="shared" si="91"/>
        <v>16.600000000000001</v>
      </c>
      <c r="AW217" s="35">
        <v>46171</v>
      </c>
      <c r="AX217" s="30">
        <v>1</v>
      </c>
      <c r="AY217" s="32">
        <f t="shared" si="83"/>
        <v>16.600000000000001</v>
      </c>
      <c r="AZ217" s="30" t="s">
        <v>580</v>
      </c>
      <c r="BA217" s="63" t="s">
        <v>585</v>
      </c>
      <c r="BB217" s="71" t="e">
        <f>SUMIFS([1]Form!$F$8:$F$21,[1]Form!$J$8:$J$21,K217)</f>
        <v>#VALUE!</v>
      </c>
      <c r="BC217" s="71"/>
      <c r="BD217" s="71"/>
    </row>
    <row r="218" spans="1:56" hidden="1" x14ac:dyDescent="0.25">
      <c r="A218" s="24">
        <f>IF(B218="","",SUBTOTAL(3,$B$4:B218))</f>
        <v>9</v>
      </c>
      <c r="B218" s="25" t="s">
        <v>569</v>
      </c>
      <c r="C218" s="25" t="str">
        <f t="shared" si="84"/>
        <v>Shipment 1 PAR-550-22 Main</v>
      </c>
      <c r="D218" s="25" t="s">
        <v>570</v>
      </c>
      <c r="E218" s="25" t="s">
        <v>571</v>
      </c>
      <c r="F218" s="25"/>
      <c r="G218" s="65">
        <v>46393</v>
      </c>
      <c r="H218" s="25" t="s">
        <v>572</v>
      </c>
      <c r="I218" s="25" t="s">
        <v>576</v>
      </c>
      <c r="J218" s="26" t="s">
        <v>622</v>
      </c>
      <c r="K218" s="27" t="s">
        <v>430</v>
      </c>
      <c r="L218" s="28" t="s">
        <v>431</v>
      </c>
      <c r="M218" s="28" t="s">
        <v>415</v>
      </c>
      <c r="N218" s="25">
        <v>1</v>
      </c>
      <c r="O218" s="29">
        <v>147.5</v>
      </c>
      <c r="P218" s="29">
        <v>147.5</v>
      </c>
      <c r="Q218" s="25" t="s">
        <v>562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85"/>
        <v>147.5</v>
      </c>
      <c r="AF218" s="32">
        <f t="shared" si="86"/>
        <v>0</v>
      </c>
      <c r="AG218" s="30"/>
      <c r="AH218" s="33">
        <v>1</v>
      </c>
      <c r="AI218" s="34">
        <f t="shared" si="87"/>
        <v>147.5</v>
      </c>
      <c r="AJ218" s="35">
        <v>46163</v>
      </c>
      <c r="AK218" s="30">
        <v>1</v>
      </c>
      <c r="AL218" s="36">
        <f t="shared" si="88"/>
        <v>147.5</v>
      </c>
      <c r="AM218" s="35">
        <v>46163</v>
      </c>
      <c r="AN218" s="30">
        <v>1</v>
      </c>
      <c r="AO218" s="36">
        <f t="shared" si="89"/>
        <v>147.5</v>
      </c>
      <c r="AP218" s="35"/>
      <c r="AQ218" s="30"/>
      <c r="AR218" s="36">
        <f t="shared" si="90"/>
        <v>0</v>
      </c>
      <c r="AS218" s="27" t="s">
        <v>588</v>
      </c>
      <c r="AT218" s="37">
        <v>46168</v>
      </c>
      <c r="AU218" s="30">
        <v>1</v>
      </c>
      <c r="AV218" s="36">
        <f t="shared" si="91"/>
        <v>147.5</v>
      </c>
      <c r="AW218" s="35">
        <v>46171</v>
      </c>
      <c r="AX218" s="30">
        <v>1</v>
      </c>
      <c r="AY218" s="32">
        <f t="shared" si="83"/>
        <v>147.5</v>
      </c>
      <c r="AZ218" s="30" t="s">
        <v>580</v>
      </c>
      <c r="BA218" s="63" t="s">
        <v>585</v>
      </c>
      <c r="BB218" s="71" t="e">
        <f>SUMIFS([1]Form!$F$8:$F$21,[1]Form!$J$8:$J$21,K218)</f>
        <v>#VALUE!</v>
      </c>
      <c r="BC218" s="71"/>
      <c r="BD218" s="71"/>
    </row>
    <row r="219" spans="1:56" hidden="1" x14ac:dyDescent="0.25">
      <c r="A219" s="24">
        <f>IF(B219="","",SUBTOTAL(3,$B$4:B219))</f>
        <v>9</v>
      </c>
      <c r="B219" s="25" t="s">
        <v>569</v>
      </c>
      <c r="C219" s="25" t="str">
        <f t="shared" si="84"/>
        <v>Shipment 1 PAR-550-22 Main</v>
      </c>
      <c r="D219" s="25" t="s">
        <v>570</v>
      </c>
      <c r="E219" s="25" t="s">
        <v>571</v>
      </c>
      <c r="F219" s="25"/>
      <c r="G219" s="65">
        <v>46393</v>
      </c>
      <c r="H219" s="25" t="s">
        <v>572</v>
      </c>
      <c r="I219" s="25" t="s">
        <v>576</v>
      </c>
      <c r="J219" s="26" t="s">
        <v>622</v>
      </c>
      <c r="K219" s="27" t="s">
        <v>430</v>
      </c>
      <c r="L219" s="28" t="s">
        <v>432</v>
      </c>
      <c r="M219" s="28" t="s">
        <v>415</v>
      </c>
      <c r="N219" s="25">
        <v>1</v>
      </c>
      <c r="O219" s="29">
        <v>147.5</v>
      </c>
      <c r="P219" s="29">
        <v>147.5</v>
      </c>
      <c r="Q219" s="25" t="s">
        <v>562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85"/>
        <v>147.5</v>
      </c>
      <c r="AF219" s="32">
        <f t="shared" si="86"/>
        <v>0</v>
      </c>
      <c r="AG219" s="30"/>
      <c r="AH219" s="33">
        <v>1</v>
      </c>
      <c r="AI219" s="34">
        <f t="shared" si="87"/>
        <v>147.5</v>
      </c>
      <c r="AJ219" s="35">
        <v>46163</v>
      </c>
      <c r="AK219" s="30">
        <v>1</v>
      </c>
      <c r="AL219" s="36">
        <f t="shared" si="88"/>
        <v>147.5</v>
      </c>
      <c r="AM219" s="35">
        <v>46163</v>
      </c>
      <c r="AN219" s="30">
        <v>1</v>
      </c>
      <c r="AO219" s="36">
        <f t="shared" si="89"/>
        <v>147.5</v>
      </c>
      <c r="AP219" s="35"/>
      <c r="AQ219" s="30"/>
      <c r="AR219" s="36">
        <f t="shared" si="90"/>
        <v>0</v>
      </c>
      <c r="AS219" s="27" t="s">
        <v>588</v>
      </c>
      <c r="AT219" s="37">
        <v>46168</v>
      </c>
      <c r="AU219" s="30">
        <v>1</v>
      </c>
      <c r="AV219" s="36">
        <f t="shared" si="91"/>
        <v>147.5</v>
      </c>
      <c r="AW219" s="35">
        <v>46171</v>
      </c>
      <c r="AX219" s="30">
        <v>1</v>
      </c>
      <c r="AY219" s="32">
        <f t="shared" si="83"/>
        <v>147.5</v>
      </c>
      <c r="AZ219" s="30" t="s">
        <v>580</v>
      </c>
      <c r="BA219" s="63" t="s">
        <v>585</v>
      </c>
      <c r="BB219" s="71" t="e">
        <f>SUMIFS([1]Form!$F$8:$F$21,[1]Form!$J$8:$J$21,K219)</f>
        <v>#VALUE!</v>
      </c>
      <c r="BC219" s="71"/>
      <c r="BD219" s="71"/>
    </row>
    <row r="220" spans="1:56" hidden="1" x14ac:dyDescent="0.25">
      <c r="A220" s="24">
        <f>IF(B220="","",SUBTOTAL(3,$B$4:B220))</f>
        <v>9</v>
      </c>
      <c r="B220" s="25" t="s">
        <v>569</v>
      </c>
      <c r="C220" s="25" t="str">
        <f t="shared" si="84"/>
        <v>Shipment 1 PAR-550-22 Main</v>
      </c>
      <c r="D220" s="25" t="s">
        <v>570</v>
      </c>
      <c r="E220" s="25" t="s">
        <v>571</v>
      </c>
      <c r="F220" s="25"/>
      <c r="G220" s="65">
        <v>46393</v>
      </c>
      <c r="H220" s="25" t="s">
        <v>572</v>
      </c>
      <c r="I220" s="25" t="s">
        <v>576</v>
      </c>
      <c r="J220" s="26" t="s">
        <v>622</v>
      </c>
      <c r="K220" s="27" t="s">
        <v>433</v>
      </c>
      <c r="L220" s="28" t="s">
        <v>434</v>
      </c>
      <c r="M220" s="28" t="s">
        <v>415</v>
      </c>
      <c r="N220" s="25">
        <v>1</v>
      </c>
      <c r="O220" s="29">
        <v>13.7</v>
      </c>
      <c r="P220" s="29">
        <v>13.7</v>
      </c>
      <c r="Q220" s="25" t="s">
        <v>563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85"/>
        <v>13.7</v>
      </c>
      <c r="AF220" s="32">
        <f t="shared" si="86"/>
        <v>0</v>
      </c>
      <c r="AG220" s="30"/>
      <c r="AH220" s="33">
        <v>1</v>
      </c>
      <c r="AI220" s="34">
        <f t="shared" si="87"/>
        <v>13.7</v>
      </c>
      <c r="AJ220" s="35">
        <v>46163</v>
      </c>
      <c r="AK220" s="30">
        <v>1</v>
      </c>
      <c r="AL220" s="36">
        <f t="shared" si="88"/>
        <v>13.7</v>
      </c>
      <c r="AM220" s="35">
        <v>46163</v>
      </c>
      <c r="AN220" s="30">
        <v>1</v>
      </c>
      <c r="AO220" s="36">
        <f t="shared" si="89"/>
        <v>13.7</v>
      </c>
      <c r="AP220" s="35"/>
      <c r="AQ220" s="30"/>
      <c r="AR220" s="36">
        <f t="shared" si="90"/>
        <v>0</v>
      </c>
      <c r="AS220" s="27" t="s">
        <v>588</v>
      </c>
      <c r="AT220" s="37">
        <v>46168</v>
      </c>
      <c r="AU220" s="30">
        <v>1</v>
      </c>
      <c r="AV220" s="36">
        <f t="shared" si="91"/>
        <v>13.7</v>
      </c>
      <c r="AW220" s="35">
        <v>46171</v>
      </c>
      <c r="AX220" s="30">
        <v>1</v>
      </c>
      <c r="AY220" s="32">
        <f t="shared" si="83"/>
        <v>13.7</v>
      </c>
      <c r="AZ220" s="30" t="s">
        <v>580</v>
      </c>
      <c r="BA220" s="63" t="s">
        <v>585</v>
      </c>
      <c r="BB220" s="71" t="e">
        <f>SUMIFS([1]Form!$F$8:$F$21,[1]Form!$J$8:$J$21,K220)</f>
        <v>#VALUE!</v>
      </c>
      <c r="BC220" s="71"/>
      <c r="BD220" s="71"/>
    </row>
    <row r="221" spans="1:56" hidden="1" x14ac:dyDescent="0.25">
      <c r="A221" s="24">
        <f>IF(B221="","",SUBTOTAL(3,$B$4:B221))</f>
        <v>9</v>
      </c>
      <c r="B221" s="25" t="s">
        <v>569</v>
      </c>
      <c r="C221" s="25" t="str">
        <f t="shared" si="84"/>
        <v>Shipment 1 PAR-550-22 Main</v>
      </c>
      <c r="D221" s="25" t="s">
        <v>570</v>
      </c>
      <c r="E221" s="25" t="s">
        <v>571</v>
      </c>
      <c r="F221" s="25"/>
      <c r="G221" s="65">
        <v>46393</v>
      </c>
      <c r="H221" s="25" t="s">
        <v>572</v>
      </c>
      <c r="I221" s="25" t="s">
        <v>576</v>
      </c>
      <c r="J221" s="26" t="s">
        <v>622</v>
      </c>
      <c r="K221" s="27" t="s">
        <v>435</v>
      </c>
      <c r="L221" s="28" t="s">
        <v>436</v>
      </c>
      <c r="M221" s="28" t="s">
        <v>415</v>
      </c>
      <c r="N221" s="25">
        <v>1</v>
      </c>
      <c r="O221" s="29">
        <v>12.5</v>
      </c>
      <c r="P221" s="29">
        <v>12.5</v>
      </c>
      <c r="Q221" s="25" t="s">
        <v>564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85"/>
        <v>12.5</v>
      </c>
      <c r="AF221" s="32">
        <f t="shared" si="86"/>
        <v>0</v>
      </c>
      <c r="AG221" s="30"/>
      <c r="AH221" s="33">
        <v>1</v>
      </c>
      <c r="AI221" s="34">
        <f t="shared" si="87"/>
        <v>12.5</v>
      </c>
      <c r="AJ221" s="35">
        <v>46163</v>
      </c>
      <c r="AK221" s="30">
        <v>1</v>
      </c>
      <c r="AL221" s="36">
        <f t="shared" si="88"/>
        <v>12.5</v>
      </c>
      <c r="AM221" s="35">
        <v>46163</v>
      </c>
      <c r="AN221" s="30">
        <v>1</v>
      </c>
      <c r="AO221" s="36">
        <f t="shared" si="89"/>
        <v>12.5</v>
      </c>
      <c r="AP221" s="35"/>
      <c r="AQ221" s="30"/>
      <c r="AR221" s="36">
        <f t="shared" si="90"/>
        <v>0</v>
      </c>
      <c r="AS221" s="27" t="s">
        <v>588</v>
      </c>
      <c r="AT221" s="37">
        <v>46168</v>
      </c>
      <c r="AU221" s="30">
        <v>1</v>
      </c>
      <c r="AV221" s="36">
        <f t="shared" si="91"/>
        <v>12.5</v>
      </c>
      <c r="AW221" s="35">
        <v>46171</v>
      </c>
      <c r="AX221" s="30">
        <v>1</v>
      </c>
      <c r="AY221" s="32">
        <f t="shared" si="83"/>
        <v>12.5</v>
      </c>
      <c r="AZ221" s="30" t="s">
        <v>580</v>
      </c>
      <c r="BA221" s="63" t="s">
        <v>585</v>
      </c>
      <c r="BB221" s="71" t="e">
        <f>SUMIFS([1]Form!$F$8:$F$21,[1]Form!$J$8:$J$21,K221)</f>
        <v>#VALUE!</v>
      </c>
      <c r="BC221" s="71"/>
      <c r="BD221" s="71"/>
    </row>
    <row r="222" spans="1:56" hidden="1" x14ac:dyDescent="0.25">
      <c r="A222" s="24">
        <f>IF(B222="","",SUBTOTAL(3,$B$4:B222))</f>
        <v>9</v>
      </c>
      <c r="B222" s="25" t="s">
        <v>569</v>
      </c>
      <c r="C222" s="25" t="str">
        <f t="shared" si="84"/>
        <v>Shipment 1 PAR-550-22 Main</v>
      </c>
      <c r="D222" s="25" t="s">
        <v>570</v>
      </c>
      <c r="E222" s="25" t="s">
        <v>571</v>
      </c>
      <c r="F222" s="25"/>
      <c r="G222" s="65">
        <v>46393</v>
      </c>
      <c r="H222" s="25" t="s">
        <v>572</v>
      </c>
      <c r="I222" s="25" t="s">
        <v>576</v>
      </c>
      <c r="J222" s="26" t="s">
        <v>622</v>
      </c>
      <c r="K222" s="27" t="s">
        <v>437</v>
      </c>
      <c r="L222" s="28" t="s">
        <v>438</v>
      </c>
      <c r="M222" s="28" t="s">
        <v>415</v>
      </c>
      <c r="N222" s="25">
        <v>1</v>
      </c>
      <c r="O222" s="29">
        <v>56.1</v>
      </c>
      <c r="P222" s="29">
        <v>56.1</v>
      </c>
      <c r="Q222" s="25" t="s">
        <v>565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85"/>
        <v>56.1</v>
      </c>
      <c r="AF222" s="32">
        <f t="shared" si="86"/>
        <v>0</v>
      </c>
      <c r="AG222" s="30"/>
      <c r="AH222" s="33">
        <v>1</v>
      </c>
      <c r="AI222" s="34">
        <f t="shared" si="87"/>
        <v>56.1</v>
      </c>
      <c r="AJ222" s="35">
        <v>46163</v>
      </c>
      <c r="AK222" s="30">
        <v>1</v>
      </c>
      <c r="AL222" s="36">
        <f t="shared" si="88"/>
        <v>56.1</v>
      </c>
      <c r="AM222" s="35">
        <v>46168</v>
      </c>
      <c r="AN222" s="30">
        <v>1</v>
      </c>
      <c r="AO222" s="36">
        <f t="shared" si="89"/>
        <v>56.1</v>
      </c>
      <c r="AP222" s="35"/>
      <c r="AQ222" s="30"/>
      <c r="AR222" s="36">
        <f t="shared" si="90"/>
        <v>0</v>
      </c>
      <c r="AS222" s="27" t="s">
        <v>588</v>
      </c>
      <c r="AT222" s="37">
        <v>46168</v>
      </c>
      <c r="AU222" s="30">
        <v>1</v>
      </c>
      <c r="AV222" s="36">
        <f t="shared" si="91"/>
        <v>56.1</v>
      </c>
      <c r="AW222" s="35">
        <v>46171</v>
      </c>
      <c r="AX222" s="30">
        <v>1</v>
      </c>
      <c r="AY222" s="32">
        <f t="shared" si="83"/>
        <v>56.1</v>
      </c>
      <c r="AZ222" s="30" t="s">
        <v>580</v>
      </c>
      <c r="BA222" s="63" t="s">
        <v>585</v>
      </c>
      <c r="BB222" s="71" t="e">
        <f>SUMIFS([1]Form!$F$8:$F$21,[1]Form!$J$8:$J$21,K222)</f>
        <v>#VALUE!</v>
      </c>
      <c r="BC222" s="71"/>
      <c r="BD222" s="71"/>
    </row>
    <row r="223" spans="1:56" hidden="1" x14ac:dyDescent="0.25">
      <c r="A223" s="24">
        <f>IF(B223="","",SUBTOTAL(3,$B$4:B223))</f>
        <v>9</v>
      </c>
      <c r="B223" s="25" t="s">
        <v>569</v>
      </c>
      <c r="C223" s="25" t="str">
        <f t="shared" si="84"/>
        <v>Shipment 1 PAR-550-22 Main</v>
      </c>
      <c r="D223" s="25" t="s">
        <v>570</v>
      </c>
      <c r="E223" s="25" t="s">
        <v>571</v>
      </c>
      <c r="F223" s="25"/>
      <c r="G223" s="65">
        <v>46393</v>
      </c>
      <c r="H223" s="25" t="s">
        <v>572</v>
      </c>
      <c r="I223" s="25" t="s">
        <v>576</v>
      </c>
      <c r="J223" s="26" t="s">
        <v>622</v>
      </c>
      <c r="K223" s="27" t="s">
        <v>439</v>
      </c>
      <c r="L223" s="28" t="s">
        <v>440</v>
      </c>
      <c r="M223" s="28" t="s">
        <v>415</v>
      </c>
      <c r="N223" s="25">
        <v>1</v>
      </c>
      <c r="O223" s="29">
        <v>55</v>
      </c>
      <c r="P223" s="29">
        <v>55</v>
      </c>
      <c r="Q223" s="25" t="s">
        <v>566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85"/>
        <v>55</v>
      </c>
      <c r="AF223" s="32">
        <f t="shared" si="86"/>
        <v>0</v>
      </c>
      <c r="AG223" s="30"/>
      <c r="AH223" s="33">
        <v>1</v>
      </c>
      <c r="AI223" s="34">
        <f t="shared" si="87"/>
        <v>55</v>
      </c>
      <c r="AJ223" s="35">
        <v>46163</v>
      </c>
      <c r="AK223" s="30">
        <v>1</v>
      </c>
      <c r="AL223" s="36">
        <f t="shared" si="88"/>
        <v>55</v>
      </c>
      <c r="AM223" s="35">
        <v>46168</v>
      </c>
      <c r="AN223" s="30">
        <v>1</v>
      </c>
      <c r="AO223" s="36">
        <f t="shared" si="89"/>
        <v>55</v>
      </c>
      <c r="AP223" s="35"/>
      <c r="AQ223" s="30"/>
      <c r="AR223" s="36">
        <f t="shared" si="90"/>
        <v>0</v>
      </c>
      <c r="AS223" s="27" t="s">
        <v>588</v>
      </c>
      <c r="AT223" s="37">
        <v>46168</v>
      </c>
      <c r="AU223" s="30">
        <v>1</v>
      </c>
      <c r="AV223" s="36">
        <f t="shared" si="91"/>
        <v>55</v>
      </c>
      <c r="AW223" s="35">
        <v>46171</v>
      </c>
      <c r="AX223" s="30">
        <v>1</v>
      </c>
      <c r="AY223" s="32">
        <f t="shared" si="83"/>
        <v>55</v>
      </c>
      <c r="AZ223" s="30" t="s">
        <v>580</v>
      </c>
      <c r="BA223" s="63" t="s">
        <v>585</v>
      </c>
      <c r="BB223" s="71" t="e">
        <f>SUMIFS([1]Form!$F$8:$F$21,[1]Form!$J$8:$J$21,K223)</f>
        <v>#VALUE!</v>
      </c>
      <c r="BC223" s="71"/>
      <c r="BD223" s="71"/>
    </row>
    <row r="224" spans="1:56" hidden="1" x14ac:dyDescent="0.25">
      <c r="A224" s="24">
        <f>IF(B224="","",SUBTOTAL(3,$B$4:B224))</f>
        <v>9</v>
      </c>
      <c r="B224" s="25" t="s">
        <v>569</v>
      </c>
      <c r="C224" s="25" t="str">
        <f t="shared" si="84"/>
        <v>Shipment 1 PAR-550-22 Main</v>
      </c>
      <c r="D224" s="25" t="s">
        <v>570</v>
      </c>
      <c r="E224" s="25" t="s">
        <v>571</v>
      </c>
      <c r="F224" s="25"/>
      <c r="G224" s="65">
        <v>46393</v>
      </c>
      <c r="H224" s="25" t="s">
        <v>572</v>
      </c>
      <c r="I224" s="25" t="s">
        <v>576</v>
      </c>
      <c r="J224" s="26" t="s">
        <v>622</v>
      </c>
      <c r="K224" s="27" t="s">
        <v>441</v>
      </c>
      <c r="L224" s="28" t="s">
        <v>442</v>
      </c>
      <c r="M224" s="28" t="s">
        <v>415</v>
      </c>
      <c r="N224" s="25">
        <v>1</v>
      </c>
      <c r="O224" s="29">
        <v>111.9</v>
      </c>
      <c r="P224" s="29">
        <v>111.9</v>
      </c>
      <c r="Q224" s="25" t="s">
        <v>567</v>
      </c>
      <c r="R224" s="25"/>
      <c r="S224" s="26" t="s">
        <v>568</v>
      </c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85"/>
        <v>111.9</v>
      </c>
      <c r="AF224" s="32">
        <f t="shared" si="86"/>
        <v>0</v>
      </c>
      <c r="AG224" s="30"/>
      <c r="AH224" s="33">
        <v>1</v>
      </c>
      <c r="AI224" s="34">
        <f t="shared" si="87"/>
        <v>111.9</v>
      </c>
      <c r="AJ224" s="35">
        <v>46163</v>
      </c>
      <c r="AK224" s="30">
        <v>1</v>
      </c>
      <c r="AL224" s="36">
        <f t="shared" si="88"/>
        <v>111.9</v>
      </c>
      <c r="AM224" s="35">
        <v>46168</v>
      </c>
      <c r="AN224" s="30">
        <v>1</v>
      </c>
      <c r="AO224" s="36">
        <f t="shared" si="89"/>
        <v>111.9</v>
      </c>
      <c r="AP224" s="35"/>
      <c r="AQ224" s="30"/>
      <c r="AR224" s="36">
        <f t="shared" si="90"/>
        <v>0</v>
      </c>
      <c r="AS224" s="27" t="s">
        <v>587</v>
      </c>
      <c r="AT224" s="37">
        <v>46168</v>
      </c>
      <c r="AU224" s="30">
        <v>1</v>
      </c>
      <c r="AV224" s="36">
        <f t="shared" si="91"/>
        <v>111.9</v>
      </c>
      <c r="AW224" s="35">
        <v>46171</v>
      </c>
      <c r="AX224" s="30">
        <v>1</v>
      </c>
      <c r="AY224" s="32">
        <f t="shared" si="83"/>
        <v>111.9</v>
      </c>
      <c r="AZ224" s="30" t="s">
        <v>580</v>
      </c>
      <c r="BA224" s="63" t="s">
        <v>585</v>
      </c>
      <c r="BB224" s="71" t="e">
        <f>SUMIFS([1]Form!$F$8:$F$21,[1]Form!$J$8:$J$21,K224)</f>
        <v>#VALUE!</v>
      </c>
      <c r="BC224" s="71"/>
      <c r="BD224" s="71"/>
    </row>
    <row r="225" spans="1:56" hidden="1" x14ac:dyDescent="0.25">
      <c r="A225" s="24" t="str">
        <f>IF(B225="","",SUBTOTAL(3,$B$4:B225))</f>
        <v/>
      </c>
      <c r="B225" s="25"/>
      <c r="C225" s="25" t="str">
        <f t="shared" si="84"/>
        <v xml:space="preserve"> </v>
      </c>
      <c r="D225" s="25"/>
      <c r="E225" s="25"/>
      <c r="F225" s="25"/>
      <c r="G225" s="65"/>
      <c r="H225" s="25"/>
      <c r="I225" s="25"/>
      <c r="J225" s="26"/>
      <c r="K225" s="27"/>
      <c r="L225" s="28"/>
      <c r="M225" s="28"/>
      <c r="N225" s="25"/>
      <c r="O225" s="29"/>
      <c r="P225" s="29"/>
      <c r="Q225" s="25"/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85"/>
        <v>0</v>
      </c>
      <c r="AF225" s="32">
        <f t="shared" si="86"/>
        <v>0</v>
      </c>
      <c r="AG225" s="30"/>
      <c r="AH225" s="33"/>
      <c r="AI225" s="34">
        <f t="shared" si="87"/>
        <v>0</v>
      </c>
      <c r="AJ225" s="35"/>
      <c r="AK225" s="30"/>
      <c r="AL225" s="36">
        <f t="shared" si="88"/>
        <v>0</v>
      </c>
      <c r="AM225" s="35"/>
      <c r="AN225" s="30"/>
      <c r="AO225" s="36">
        <f t="shared" si="89"/>
        <v>0</v>
      </c>
      <c r="AP225" s="35"/>
      <c r="AQ225" s="30"/>
      <c r="AR225" s="36">
        <f t="shared" si="90"/>
        <v>0</v>
      </c>
      <c r="AS225" s="27"/>
      <c r="AT225" s="37"/>
      <c r="AU225" s="30"/>
      <c r="AV225" s="36">
        <f t="shared" si="91"/>
        <v>0</v>
      </c>
      <c r="AW225" s="35"/>
      <c r="AX225" s="30"/>
      <c r="AY225" s="32">
        <f t="shared" ref="AY225:AY227" si="92">IFERROR(AX225*$P225/$N225,0)</f>
        <v>0</v>
      </c>
      <c r="AZ225" s="30"/>
      <c r="BA225" s="63"/>
      <c r="BB225" s="71"/>
      <c r="BC225" s="71"/>
      <c r="BD225" s="71"/>
    </row>
    <row r="226" spans="1:56" hidden="1" x14ac:dyDescent="0.25">
      <c r="A226" s="24" t="str">
        <f>IF(B226="","",SUBTOTAL(3,$B$4:B226))</f>
        <v/>
      </c>
      <c r="B226" s="25"/>
      <c r="C226" s="25" t="str">
        <f t="shared" si="84"/>
        <v xml:space="preserve"> </v>
      </c>
      <c r="D226" s="25"/>
      <c r="E226" s="25"/>
      <c r="F226" s="25"/>
      <c r="G226" s="65"/>
      <c r="H226" s="25"/>
      <c r="I226" s="25"/>
      <c r="J226" s="26"/>
      <c r="K226" s="27"/>
      <c r="L226" s="28"/>
      <c r="M226" s="28"/>
      <c r="N226" s="25"/>
      <c r="O226" s="29"/>
      <c r="P226" s="29"/>
      <c r="Q226" s="25"/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85"/>
        <v>0</v>
      </c>
      <c r="AF226" s="32">
        <f t="shared" si="86"/>
        <v>0</v>
      </c>
      <c r="AG226" s="30"/>
      <c r="AH226" s="33"/>
      <c r="AI226" s="34">
        <f t="shared" si="87"/>
        <v>0</v>
      </c>
      <c r="AJ226" s="35"/>
      <c r="AK226" s="30"/>
      <c r="AL226" s="36">
        <f t="shared" si="88"/>
        <v>0</v>
      </c>
      <c r="AM226" s="35"/>
      <c r="AN226" s="30"/>
      <c r="AO226" s="36">
        <f t="shared" si="89"/>
        <v>0</v>
      </c>
      <c r="AP226" s="35"/>
      <c r="AQ226" s="30"/>
      <c r="AR226" s="36">
        <f t="shared" si="90"/>
        <v>0</v>
      </c>
      <c r="AS226" s="27"/>
      <c r="AT226" s="37"/>
      <c r="AU226" s="30"/>
      <c r="AV226" s="36">
        <f t="shared" si="91"/>
        <v>0</v>
      </c>
      <c r="AW226" s="35"/>
      <c r="AX226" s="30"/>
      <c r="AY226" s="32">
        <f t="shared" si="92"/>
        <v>0</v>
      </c>
      <c r="AZ226" s="30"/>
      <c r="BA226" s="63"/>
      <c r="BB226" s="71"/>
      <c r="BC226" s="71"/>
      <c r="BD226" s="71"/>
    </row>
    <row r="227" spans="1:56" hidden="1" x14ac:dyDescent="0.25">
      <c r="A227" s="24" t="str">
        <f>IF(B227="","",SUBTOTAL(3,$B$4:B227))</f>
        <v/>
      </c>
      <c r="B227" s="25"/>
      <c r="C227" s="25" t="str">
        <f t="shared" si="84"/>
        <v xml:space="preserve"> </v>
      </c>
      <c r="D227" s="25"/>
      <c r="E227" s="25"/>
      <c r="F227" s="25"/>
      <c r="G227" s="65"/>
      <c r="H227" s="25"/>
      <c r="I227" s="25"/>
      <c r="J227" s="26"/>
      <c r="K227" s="27"/>
      <c r="L227" s="28"/>
      <c r="M227" s="28"/>
      <c r="N227" s="25"/>
      <c r="O227" s="29"/>
      <c r="P227" s="29"/>
      <c r="Q227" s="25"/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85"/>
        <v>0</v>
      </c>
      <c r="AF227" s="32">
        <f t="shared" si="86"/>
        <v>0</v>
      </c>
      <c r="AG227" s="30"/>
      <c r="AH227" s="33"/>
      <c r="AI227" s="34">
        <f t="shared" si="87"/>
        <v>0</v>
      </c>
      <c r="AJ227" s="35"/>
      <c r="AK227" s="30"/>
      <c r="AL227" s="36">
        <f t="shared" si="88"/>
        <v>0</v>
      </c>
      <c r="AM227" s="35"/>
      <c r="AN227" s="30"/>
      <c r="AO227" s="36">
        <f t="shared" si="89"/>
        <v>0</v>
      </c>
      <c r="AP227" s="35"/>
      <c r="AQ227" s="30"/>
      <c r="AR227" s="36">
        <f t="shared" si="90"/>
        <v>0</v>
      </c>
      <c r="AS227" s="27"/>
      <c r="AT227" s="37"/>
      <c r="AU227" s="30"/>
      <c r="AV227" s="36">
        <f t="shared" si="91"/>
        <v>0</v>
      </c>
      <c r="AW227" s="35"/>
      <c r="AX227" s="30"/>
      <c r="AY227" s="32">
        <f t="shared" si="92"/>
        <v>0</v>
      </c>
      <c r="AZ227" s="30"/>
      <c r="BA227" s="63"/>
      <c r="BB227" s="71"/>
      <c r="BC227" s="71"/>
      <c r="BD227" s="71"/>
    </row>
    <row r="228" spans="1:56" hidden="1" x14ac:dyDescent="0.25">
      <c r="A228" s="24" t="str">
        <f>IF(B228="","",SUBTOTAL(3,$B$4:B228))</f>
        <v/>
      </c>
      <c r="B228" s="25"/>
      <c r="C228" s="25" t="str">
        <f t="shared" ref="C228:C246" si="93">D228&amp;" "&amp;E228</f>
        <v xml:space="preserve"> </v>
      </c>
      <c r="D228" s="25"/>
      <c r="E228" s="25"/>
      <c r="F228" s="25"/>
      <c r="G228" s="65"/>
      <c r="H228" s="25"/>
      <c r="I228" s="25"/>
      <c r="J228" s="26"/>
      <c r="K228" s="27"/>
      <c r="L228" s="28"/>
      <c r="M228" s="28"/>
      <c r="N228" s="25"/>
      <c r="O228" s="29"/>
      <c r="P228" s="29"/>
      <c r="Q228" s="25"/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ref="AE228:AE246" si="94">+AL228*0.5+AO228*0.4+AV228*0.1</f>
        <v>0</v>
      </c>
      <c r="AF228" s="32">
        <f t="shared" ref="AF228:AF246" si="95">+P228-AE228</f>
        <v>0</v>
      </c>
      <c r="AG228" s="30"/>
      <c r="AH228" s="33"/>
      <c r="AI228" s="34">
        <f t="shared" ref="AI228:AI246" si="96">+AH228*P228</f>
        <v>0</v>
      </c>
      <c r="AJ228" s="35"/>
      <c r="AK228" s="30"/>
      <c r="AL228" s="36">
        <f t="shared" ref="AL228:AL246" si="97">IFERROR(AK228*$P228/$N228,0)</f>
        <v>0</v>
      </c>
      <c r="AM228" s="35"/>
      <c r="AN228" s="30"/>
      <c r="AO228" s="36">
        <f t="shared" ref="AO228:AO246" si="98">IFERROR(AN228*$P228/$N228,0)</f>
        <v>0</v>
      </c>
      <c r="AP228" s="35"/>
      <c r="AQ228" s="30"/>
      <c r="AR228" s="36">
        <f t="shared" ref="AR228:AR246" si="99">IFERROR(AQ228*$P228/$N228,0)</f>
        <v>0</v>
      </c>
      <c r="AS228" s="27"/>
      <c r="AT228" s="37"/>
      <c r="AU228" s="30"/>
      <c r="AV228" s="36">
        <f t="shared" ref="AV228:AV246" si="100">IFERROR(AU228*$P228/$N228,0)</f>
        <v>0</v>
      </c>
      <c r="AW228" s="35"/>
      <c r="AX228" s="30"/>
      <c r="AY228" s="32">
        <f t="shared" ref="AY228:AY246" si="101">IFERROR(AX228*$P228/$N228,0)</f>
        <v>0</v>
      </c>
      <c r="AZ228" s="30"/>
      <c r="BA228" s="63"/>
      <c r="BB228" s="71"/>
      <c r="BC228" s="71"/>
      <c r="BD228" s="71"/>
    </row>
    <row r="229" spans="1:56" hidden="1" x14ac:dyDescent="0.25">
      <c r="A229" s="24" t="str">
        <f>IF(B229="","",SUBTOTAL(3,$B$4:B229))</f>
        <v/>
      </c>
      <c r="B229" s="25"/>
      <c r="C229" s="25" t="str">
        <f t="shared" si="93"/>
        <v xml:space="preserve"> </v>
      </c>
      <c r="D229" s="25"/>
      <c r="E229" s="25"/>
      <c r="F229" s="25"/>
      <c r="G229" s="65"/>
      <c r="H229" s="25"/>
      <c r="I229" s="25"/>
      <c r="J229" s="26"/>
      <c r="K229" s="27"/>
      <c r="L229" s="28"/>
      <c r="M229" s="28"/>
      <c r="N229" s="25"/>
      <c r="O229" s="29"/>
      <c r="P229" s="29"/>
      <c r="Q229" s="25"/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94"/>
        <v>0</v>
      </c>
      <c r="AF229" s="32">
        <f t="shared" si="95"/>
        <v>0</v>
      </c>
      <c r="AG229" s="30"/>
      <c r="AH229" s="33"/>
      <c r="AI229" s="34">
        <f t="shared" si="96"/>
        <v>0</v>
      </c>
      <c r="AJ229" s="35"/>
      <c r="AK229" s="30"/>
      <c r="AL229" s="36">
        <f t="shared" si="97"/>
        <v>0</v>
      </c>
      <c r="AM229" s="35"/>
      <c r="AN229" s="30"/>
      <c r="AO229" s="36">
        <f t="shared" si="98"/>
        <v>0</v>
      </c>
      <c r="AP229" s="35"/>
      <c r="AQ229" s="30"/>
      <c r="AR229" s="36">
        <f t="shared" si="99"/>
        <v>0</v>
      </c>
      <c r="AS229" s="27"/>
      <c r="AT229" s="37"/>
      <c r="AU229" s="30"/>
      <c r="AV229" s="36">
        <f t="shared" si="100"/>
        <v>0</v>
      </c>
      <c r="AW229" s="35"/>
      <c r="AX229" s="30"/>
      <c r="AY229" s="32">
        <f t="shared" si="101"/>
        <v>0</v>
      </c>
      <c r="AZ229" s="30"/>
      <c r="BA229" s="63"/>
      <c r="BB229" s="71"/>
      <c r="BC229" s="71"/>
      <c r="BD229" s="71"/>
    </row>
    <row r="230" spans="1:56" hidden="1" x14ac:dyDescent="0.25">
      <c r="A230" s="24" t="str">
        <f>IF(B230="","",SUBTOTAL(3,$B$4:B230))</f>
        <v/>
      </c>
      <c r="B230" s="25"/>
      <c r="C230" s="25" t="str">
        <f t="shared" si="93"/>
        <v xml:space="preserve"> </v>
      </c>
      <c r="D230" s="25"/>
      <c r="E230" s="25"/>
      <c r="F230" s="25"/>
      <c r="G230" s="65"/>
      <c r="H230" s="25"/>
      <c r="I230" s="25"/>
      <c r="J230" s="26"/>
      <c r="K230" s="27"/>
      <c r="L230" s="28"/>
      <c r="M230" s="28"/>
      <c r="N230" s="25"/>
      <c r="O230" s="29"/>
      <c r="P230" s="29"/>
      <c r="Q230" s="25"/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94"/>
        <v>0</v>
      </c>
      <c r="AF230" s="32">
        <f t="shared" si="95"/>
        <v>0</v>
      </c>
      <c r="AG230" s="30"/>
      <c r="AH230" s="33"/>
      <c r="AI230" s="34">
        <f t="shared" si="96"/>
        <v>0</v>
      </c>
      <c r="AJ230" s="35"/>
      <c r="AK230" s="30"/>
      <c r="AL230" s="36">
        <f t="shared" si="97"/>
        <v>0</v>
      </c>
      <c r="AM230" s="35"/>
      <c r="AN230" s="30"/>
      <c r="AO230" s="36">
        <f t="shared" si="98"/>
        <v>0</v>
      </c>
      <c r="AP230" s="35"/>
      <c r="AQ230" s="30"/>
      <c r="AR230" s="36">
        <f t="shared" si="99"/>
        <v>0</v>
      </c>
      <c r="AS230" s="27"/>
      <c r="AT230" s="37"/>
      <c r="AU230" s="30"/>
      <c r="AV230" s="36">
        <f t="shared" si="100"/>
        <v>0</v>
      </c>
      <c r="AW230" s="35"/>
      <c r="AX230" s="30"/>
      <c r="AY230" s="32">
        <f t="shared" si="101"/>
        <v>0</v>
      </c>
      <c r="AZ230" s="30"/>
      <c r="BA230" s="63"/>
      <c r="BB230" s="71"/>
      <c r="BC230" s="71"/>
      <c r="BD230" s="71"/>
    </row>
    <row r="231" spans="1:56" hidden="1" x14ac:dyDescent="0.25">
      <c r="A231" s="24" t="str">
        <f>IF(B231="","",SUBTOTAL(3,$B$4:B231))</f>
        <v/>
      </c>
      <c r="B231" s="25"/>
      <c r="C231" s="25" t="str">
        <f t="shared" si="93"/>
        <v xml:space="preserve"> </v>
      </c>
      <c r="D231" s="25"/>
      <c r="E231" s="25"/>
      <c r="F231" s="25"/>
      <c r="G231" s="65"/>
      <c r="H231" s="25"/>
      <c r="I231" s="25"/>
      <c r="J231" s="26"/>
      <c r="K231" s="27"/>
      <c r="L231" s="28"/>
      <c r="M231" s="28"/>
      <c r="N231" s="25"/>
      <c r="O231" s="29"/>
      <c r="P231" s="29"/>
      <c r="Q231" s="25"/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94"/>
        <v>0</v>
      </c>
      <c r="AF231" s="32">
        <f t="shared" si="95"/>
        <v>0</v>
      </c>
      <c r="AG231" s="30"/>
      <c r="AH231" s="33"/>
      <c r="AI231" s="34">
        <f t="shared" si="96"/>
        <v>0</v>
      </c>
      <c r="AJ231" s="35"/>
      <c r="AK231" s="30"/>
      <c r="AL231" s="36">
        <f t="shared" si="97"/>
        <v>0</v>
      </c>
      <c r="AM231" s="35"/>
      <c r="AN231" s="30"/>
      <c r="AO231" s="36">
        <f t="shared" si="98"/>
        <v>0</v>
      </c>
      <c r="AP231" s="35"/>
      <c r="AQ231" s="30"/>
      <c r="AR231" s="36">
        <f t="shared" si="99"/>
        <v>0</v>
      </c>
      <c r="AS231" s="27"/>
      <c r="AT231" s="37"/>
      <c r="AU231" s="30"/>
      <c r="AV231" s="36">
        <f t="shared" si="100"/>
        <v>0</v>
      </c>
      <c r="AW231" s="35"/>
      <c r="AX231" s="30"/>
      <c r="AY231" s="32">
        <f t="shared" si="101"/>
        <v>0</v>
      </c>
      <c r="AZ231" s="30"/>
      <c r="BA231" s="63"/>
      <c r="BB231" s="71"/>
      <c r="BC231" s="71"/>
      <c r="BD231" s="71"/>
    </row>
    <row r="232" spans="1:56" hidden="1" x14ac:dyDescent="0.25">
      <c r="A232" s="24" t="str">
        <f>IF(B232="","",SUBTOTAL(3,$B$4:B232))</f>
        <v/>
      </c>
      <c r="B232" s="25"/>
      <c r="C232" s="25" t="str">
        <f t="shared" si="93"/>
        <v xml:space="preserve"> </v>
      </c>
      <c r="D232" s="25"/>
      <c r="E232" s="25"/>
      <c r="F232" s="25"/>
      <c r="G232" s="65"/>
      <c r="H232" s="25"/>
      <c r="I232" s="25"/>
      <c r="J232" s="26"/>
      <c r="K232" s="27"/>
      <c r="L232" s="28"/>
      <c r="M232" s="28"/>
      <c r="N232" s="25"/>
      <c r="O232" s="29"/>
      <c r="P232" s="29"/>
      <c r="Q232" s="25"/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94"/>
        <v>0</v>
      </c>
      <c r="AF232" s="32">
        <f t="shared" si="95"/>
        <v>0</v>
      </c>
      <c r="AG232" s="30"/>
      <c r="AH232" s="33"/>
      <c r="AI232" s="34">
        <f t="shared" si="96"/>
        <v>0</v>
      </c>
      <c r="AJ232" s="35"/>
      <c r="AK232" s="30"/>
      <c r="AL232" s="36">
        <f t="shared" si="97"/>
        <v>0</v>
      </c>
      <c r="AM232" s="35"/>
      <c r="AN232" s="30"/>
      <c r="AO232" s="36">
        <f t="shared" si="98"/>
        <v>0</v>
      </c>
      <c r="AP232" s="35"/>
      <c r="AQ232" s="30"/>
      <c r="AR232" s="36">
        <f t="shared" si="99"/>
        <v>0</v>
      </c>
      <c r="AS232" s="27"/>
      <c r="AT232" s="37"/>
      <c r="AU232" s="30"/>
      <c r="AV232" s="36">
        <f t="shared" si="100"/>
        <v>0</v>
      </c>
      <c r="AW232" s="35"/>
      <c r="AX232" s="30"/>
      <c r="AY232" s="32">
        <f t="shared" si="101"/>
        <v>0</v>
      </c>
      <c r="AZ232" s="30"/>
      <c r="BA232" s="63"/>
      <c r="BB232" s="71"/>
      <c r="BC232" s="71"/>
      <c r="BD232" s="71"/>
    </row>
    <row r="233" spans="1:56" hidden="1" x14ac:dyDescent="0.25">
      <c r="A233" s="24" t="str">
        <f>IF(B233="","",SUBTOTAL(3,$B$4:B233))</f>
        <v/>
      </c>
      <c r="B233" s="25"/>
      <c r="C233" s="25" t="str">
        <f t="shared" si="93"/>
        <v xml:space="preserve"> </v>
      </c>
      <c r="D233" s="25"/>
      <c r="E233" s="25"/>
      <c r="F233" s="25"/>
      <c r="G233" s="65"/>
      <c r="H233" s="25"/>
      <c r="I233" s="25"/>
      <c r="J233" s="26"/>
      <c r="K233" s="27"/>
      <c r="L233" s="28"/>
      <c r="M233" s="28"/>
      <c r="N233" s="25"/>
      <c r="O233" s="29"/>
      <c r="P233" s="29"/>
      <c r="Q233" s="25"/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94"/>
        <v>0</v>
      </c>
      <c r="AF233" s="32">
        <f t="shared" si="95"/>
        <v>0</v>
      </c>
      <c r="AG233" s="30"/>
      <c r="AH233" s="33"/>
      <c r="AI233" s="34">
        <f t="shared" si="96"/>
        <v>0</v>
      </c>
      <c r="AJ233" s="35"/>
      <c r="AK233" s="30"/>
      <c r="AL233" s="36">
        <f t="shared" si="97"/>
        <v>0</v>
      </c>
      <c r="AM233" s="35"/>
      <c r="AN233" s="30"/>
      <c r="AO233" s="36">
        <f t="shared" si="98"/>
        <v>0</v>
      </c>
      <c r="AP233" s="35"/>
      <c r="AQ233" s="30"/>
      <c r="AR233" s="36">
        <f t="shared" si="99"/>
        <v>0</v>
      </c>
      <c r="AS233" s="27"/>
      <c r="AT233" s="37"/>
      <c r="AU233" s="30"/>
      <c r="AV233" s="36">
        <f t="shared" si="100"/>
        <v>0</v>
      </c>
      <c r="AW233" s="35"/>
      <c r="AX233" s="30"/>
      <c r="AY233" s="32">
        <f t="shared" si="101"/>
        <v>0</v>
      </c>
      <c r="AZ233" s="30"/>
      <c r="BA233" s="63"/>
      <c r="BB233" s="71"/>
      <c r="BC233" s="71"/>
      <c r="BD233" s="71"/>
    </row>
    <row r="234" spans="1:56" hidden="1" x14ac:dyDescent="0.25">
      <c r="A234" s="24" t="str">
        <f>IF(B234="","",SUBTOTAL(3,$B$4:B234))</f>
        <v/>
      </c>
      <c r="B234" s="25"/>
      <c r="C234" s="25" t="str">
        <f t="shared" si="93"/>
        <v xml:space="preserve"> </v>
      </c>
      <c r="D234" s="25"/>
      <c r="E234" s="25"/>
      <c r="F234" s="25"/>
      <c r="G234" s="65"/>
      <c r="H234" s="25"/>
      <c r="I234" s="25"/>
      <c r="J234" s="26"/>
      <c r="K234" s="27"/>
      <c r="L234" s="28"/>
      <c r="M234" s="28"/>
      <c r="N234" s="25"/>
      <c r="O234" s="29"/>
      <c r="P234" s="29"/>
      <c r="Q234" s="25"/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94"/>
        <v>0</v>
      </c>
      <c r="AF234" s="32">
        <f t="shared" si="95"/>
        <v>0</v>
      </c>
      <c r="AG234" s="30"/>
      <c r="AH234" s="33"/>
      <c r="AI234" s="34">
        <f t="shared" si="96"/>
        <v>0</v>
      </c>
      <c r="AJ234" s="35"/>
      <c r="AK234" s="30"/>
      <c r="AL234" s="36">
        <f t="shared" si="97"/>
        <v>0</v>
      </c>
      <c r="AM234" s="35"/>
      <c r="AN234" s="30"/>
      <c r="AO234" s="36">
        <f t="shared" si="98"/>
        <v>0</v>
      </c>
      <c r="AP234" s="35"/>
      <c r="AQ234" s="30"/>
      <c r="AR234" s="36">
        <f t="shared" si="99"/>
        <v>0</v>
      </c>
      <c r="AS234" s="27"/>
      <c r="AT234" s="37"/>
      <c r="AU234" s="30"/>
      <c r="AV234" s="36">
        <f t="shared" si="100"/>
        <v>0</v>
      </c>
      <c r="AW234" s="35"/>
      <c r="AX234" s="30"/>
      <c r="AY234" s="32">
        <f t="shared" si="101"/>
        <v>0</v>
      </c>
      <c r="AZ234" s="30"/>
      <c r="BA234" s="63"/>
      <c r="BB234" s="71"/>
      <c r="BC234" s="71"/>
      <c r="BD234" s="71"/>
    </row>
    <row r="235" spans="1:56" hidden="1" x14ac:dyDescent="0.25">
      <c r="A235" s="24" t="str">
        <f>IF(B235="","",SUBTOTAL(3,$B$4:B235))</f>
        <v/>
      </c>
      <c r="B235" s="25"/>
      <c r="C235" s="25" t="str">
        <f t="shared" si="93"/>
        <v xml:space="preserve"> </v>
      </c>
      <c r="D235" s="25"/>
      <c r="E235" s="25"/>
      <c r="F235" s="25"/>
      <c r="G235" s="65"/>
      <c r="H235" s="25"/>
      <c r="I235" s="25"/>
      <c r="J235" s="26"/>
      <c r="K235" s="27"/>
      <c r="L235" s="28"/>
      <c r="M235" s="28"/>
      <c r="N235" s="25"/>
      <c r="O235" s="29"/>
      <c r="P235" s="29"/>
      <c r="Q235" s="25"/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94"/>
        <v>0</v>
      </c>
      <c r="AF235" s="32">
        <f t="shared" si="95"/>
        <v>0</v>
      </c>
      <c r="AG235" s="30"/>
      <c r="AH235" s="33"/>
      <c r="AI235" s="34">
        <f t="shared" si="96"/>
        <v>0</v>
      </c>
      <c r="AJ235" s="35"/>
      <c r="AK235" s="30"/>
      <c r="AL235" s="36">
        <f t="shared" si="97"/>
        <v>0</v>
      </c>
      <c r="AM235" s="35"/>
      <c r="AN235" s="30"/>
      <c r="AO235" s="36">
        <f t="shared" si="98"/>
        <v>0</v>
      </c>
      <c r="AP235" s="35"/>
      <c r="AQ235" s="30"/>
      <c r="AR235" s="36">
        <f t="shared" si="99"/>
        <v>0</v>
      </c>
      <c r="AS235" s="27"/>
      <c r="AT235" s="37"/>
      <c r="AU235" s="30"/>
      <c r="AV235" s="36">
        <f t="shared" si="100"/>
        <v>0</v>
      </c>
      <c r="AW235" s="35"/>
      <c r="AX235" s="30"/>
      <c r="AY235" s="32">
        <f t="shared" si="101"/>
        <v>0</v>
      </c>
      <c r="AZ235" s="30"/>
      <c r="BA235" s="63"/>
      <c r="BB235" s="71"/>
      <c r="BC235" s="71"/>
      <c r="BD235" s="71"/>
    </row>
    <row r="236" spans="1:56" hidden="1" x14ac:dyDescent="0.25">
      <c r="A236" s="24" t="str">
        <f>IF(B236="","",SUBTOTAL(3,$B$4:B236))</f>
        <v/>
      </c>
      <c r="B236" s="25"/>
      <c r="C236" s="25" t="str">
        <f t="shared" si="93"/>
        <v xml:space="preserve"> </v>
      </c>
      <c r="D236" s="25"/>
      <c r="E236" s="25"/>
      <c r="F236" s="25"/>
      <c r="G236" s="65"/>
      <c r="H236" s="25"/>
      <c r="I236" s="25"/>
      <c r="J236" s="26"/>
      <c r="K236" s="27"/>
      <c r="L236" s="28"/>
      <c r="M236" s="28"/>
      <c r="N236" s="25"/>
      <c r="O236" s="29"/>
      <c r="P236" s="29"/>
      <c r="Q236" s="25"/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94"/>
        <v>0</v>
      </c>
      <c r="AF236" s="32">
        <f t="shared" si="95"/>
        <v>0</v>
      </c>
      <c r="AG236" s="30"/>
      <c r="AH236" s="33"/>
      <c r="AI236" s="34">
        <f t="shared" si="96"/>
        <v>0</v>
      </c>
      <c r="AJ236" s="35"/>
      <c r="AK236" s="30"/>
      <c r="AL236" s="36">
        <f t="shared" si="97"/>
        <v>0</v>
      </c>
      <c r="AM236" s="35"/>
      <c r="AN236" s="30"/>
      <c r="AO236" s="36">
        <f t="shared" si="98"/>
        <v>0</v>
      </c>
      <c r="AP236" s="35"/>
      <c r="AQ236" s="30"/>
      <c r="AR236" s="36">
        <f t="shared" si="99"/>
        <v>0</v>
      </c>
      <c r="AS236" s="27"/>
      <c r="AT236" s="37"/>
      <c r="AU236" s="30"/>
      <c r="AV236" s="36">
        <f t="shared" si="100"/>
        <v>0</v>
      </c>
      <c r="AW236" s="35"/>
      <c r="AX236" s="30"/>
      <c r="AY236" s="32">
        <f t="shared" si="101"/>
        <v>0</v>
      </c>
      <c r="AZ236" s="30"/>
      <c r="BA236" s="63"/>
      <c r="BB236" s="71"/>
      <c r="BC236" s="71"/>
      <c r="BD236" s="71"/>
    </row>
    <row r="237" spans="1:56" hidden="1" x14ac:dyDescent="0.25">
      <c r="A237" s="24" t="str">
        <f>IF(B237="","",SUBTOTAL(3,$B$4:B237))</f>
        <v/>
      </c>
      <c r="B237" s="25"/>
      <c r="C237" s="25" t="str">
        <f t="shared" si="93"/>
        <v xml:space="preserve"> </v>
      </c>
      <c r="D237" s="25"/>
      <c r="E237" s="25"/>
      <c r="F237" s="25"/>
      <c r="G237" s="65"/>
      <c r="H237" s="25"/>
      <c r="I237" s="25"/>
      <c r="J237" s="26"/>
      <c r="K237" s="27"/>
      <c r="L237" s="28"/>
      <c r="M237" s="28"/>
      <c r="N237" s="25"/>
      <c r="O237" s="29"/>
      <c r="P237" s="29"/>
      <c r="Q237" s="25"/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94"/>
        <v>0</v>
      </c>
      <c r="AF237" s="32">
        <f t="shared" si="95"/>
        <v>0</v>
      </c>
      <c r="AG237" s="30"/>
      <c r="AH237" s="33"/>
      <c r="AI237" s="34">
        <f t="shared" si="96"/>
        <v>0</v>
      </c>
      <c r="AJ237" s="35"/>
      <c r="AK237" s="30"/>
      <c r="AL237" s="36">
        <f t="shared" si="97"/>
        <v>0</v>
      </c>
      <c r="AM237" s="35"/>
      <c r="AN237" s="30"/>
      <c r="AO237" s="36">
        <f t="shared" si="98"/>
        <v>0</v>
      </c>
      <c r="AP237" s="35"/>
      <c r="AQ237" s="30"/>
      <c r="AR237" s="36">
        <f t="shared" si="99"/>
        <v>0</v>
      </c>
      <c r="AS237" s="27"/>
      <c r="AT237" s="37"/>
      <c r="AU237" s="30"/>
      <c r="AV237" s="36">
        <f t="shared" si="100"/>
        <v>0</v>
      </c>
      <c r="AW237" s="35"/>
      <c r="AX237" s="30"/>
      <c r="AY237" s="32">
        <f t="shared" si="101"/>
        <v>0</v>
      </c>
      <c r="AZ237" s="30"/>
      <c r="BA237" s="63"/>
      <c r="BB237" s="71"/>
      <c r="BC237" s="71"/>
      <c r="BD237" s="71"/>
    </row>
    <row r="238" spans="1:56" hidden="1" x14ac:dyDescent="0.25">
      <c r="A238" s="24" t="str">
        <f>IF(B238="","",SUBTOTAL(3,$B$4:B238))</f>
        <v/>
      </c>
      <c r="B238" s="25"/>
      <c r="C238" s="25" t="str">
        <f t="shared" si="93"/>
        <v xml:space="preserve"> </v>
      </c>
      <c r="D238" s="25"/>
      <c r="E238" s="25"/>
      <c r="F238" s="25"/>
      <c r="G238" s="65"/>
      <c r="H238" s="25"/>
      <c r="I238" s="25"/>
      <c r="J238" s="26"/>
      <c r="K238" s="27"/>
      <c r="L238" s="28"/>
      <c r="M238" s="28"/>
      <c r="N238" s="25"/>
      <c r="O238" s="29"/>
      <c r="P238" s="29"/>
      <c r="Q238" s="25"/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94"/>
        <v>0</v>
      </c>
      <c r="AF238" s="32">
        <f t="shared" si="95"/>
        <v>0</v>
      </c>
      <c r="AG238" s="30"/>
      <c r="AH238" s="33"/>
      <c r="AI238" s="34">
        <f t="shared" si="96"/>
        <v>0</v>
      </c>
      <c r="AJ238" s="35"/>
      <c r="AK238" s="30"/>
      <c r="AL238" s="36">
        <f t="shared" si="97"/>
        <v>0</v>
      </c>
      <c r="AM238" s="35"/>
      <c r="AN238" s="30"/>
      <c r="AO238" s="36">
        <f t="shared" si="98"/>
        <v>0</v>
      </c>
      <c r="AP238" s="35"/>
      <c r="AQ238" s="30"/>
      <c r="AR238" s="36">
        <f t="shared" si="99"/>
        <v>0</v>
      </c>
      <c r="AS238" s="27"/>
      <c r="AT238" s="37"/>
      <c r="AU238" s="30"/>
      <c r="AV238" s="36">
        <f t="shared" si="100"/>
        <v>0</v>
      </c>
      <c r="AW238" s="35"/>
      <c r="AX238" s="30"/>
      <c r="AY238" s="32">
        <f t="shared" si="101"/>
        <v>0</v>
      </c>
      <c r="AZ238" s="30"/>
      <c r="BA238" s="63"/>
      <c r="BB238" s="71"/>
      <c r="BC238" s="71"/>
      <c r="BD238" s="71"/>
    </row>
    <row r="239" spans="1:56" hidden="1" x14ac:dyDescent="0.25">
      <c r="A239" s="24" t="str">
        <f>IF(B239="","",SUBTOTAL(3,$B$4:B239))</f>
        <v/>
      </c>
      <c r="B239" s="25"/>
      <c r="C239" s="25" t="str">
        <f t="shared" si="93"/>
        <v xml:space="preserve"> </v>
      </c>
      <c r="D239" s="25"/>
      <c r="E239" s="25"/>
      <c r="F239" s="25"/>
      <c r="G239" s="65"/>
      <c r="H239" s="25"/>
      <c r="I239" s="25"/>
      <c r="J239" s="26"/>
      <c r="K239" s="27"/>
      <c r="L239" s="28"/>
      <c r="M239" s="28"/>
      <c r="N239" s="25"/>
      <c r="O239" s="29"/>
      <c r="P239" s="29"/>
      <c r="Q239" s="25"/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94"/>
        <v>0</v>
      </c>
      <c r="AF239" s="32">
        <f t="shared" si="95"/>
        <v>0</v>
      </c>
      <c r="AG239" s="30"/>
      <c r="AH239" s="33"/>
      <c r="AI239" s="34">
        <f t="shared" si="96"/>
        <v>0</v>
      </c>
      <c r="AJ239" s="35"/>
      <c r="AK239" s="30"/>
      <c r="AL239" s="36">
        <f t="shared" si="97"/>
        <v>0</v>
      </c>
      <c r="AM239" s="35"/>
      <c r="AN239" s="30"/>
      <c r="AO239" s="36">
        <f t="shared" si="98"/>
        <v>0</v>
      </c>
      <c r="AP239" s="35"/>
      <c r="AQ239" s="30"/>
      <c r="AR239" s="36">
        <f t="shared" si="99"/>
        <v>0</v>
      </c>
      <c r="AS239" s="27"/>
      <c r="AT239" s="37"/>
      <c r="AU239" s="30"/>
      <c r="AV239" s="36">
        <f t="shared" si="100"/>
        <v>0</v>
      </c>
      <c r="AW239" s="35"/>
      <c r="AX239" s="30"/>
      <c r="AY239" s="32">
        <f t="shared" si="101"/>
        <v>0</v>
      </c>
      <c r="AZ239" s="30"/>
      <c r="BA239" s="63"/>
      <c r="BB239" s="71"/>
      <c r="BC239" s="71"/>
      <c r="BD239" s="71"/>
    </row>
    <row r="240" spans="1:56" hidden="1" x14ac:dyDescent="0.25">
      <c r="A240" s="24" t="str">
        <f>IF(B240="","",SUBTOTAL(3,$B$4:B240))</f>
        <v/>
      </c>
      <c r="B240" s="25"/>
      <c r="C240" s="25" t="str">
        <f t="shared" si="93"/>
        <v xml:space="preserve"> </v>
      </c>
      <c r="D240" s="25"/>
      <c r="E240" s="25"/>
      <c r="F240" s="25"/>
      <c r="G240" s="65"/>
      <c r="H240" s="25"/>
      <c r="I240" s="25"/>
      <c r="J240" s="26"/>
      <c r="K240" s="27"/>
      <c r="L240" s="28"/>
      <c r="M240" s="28"/>
      <c r="N240" s="25"/>
      <c r="O240" s="29"/>
      <c r="P240" s="29"/>
      <c r="Q240" s="25"/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94"/>
        <v>0</v>
      </c>
      <c r="AF240" s="32">
        <f t="shared" si="95"/>
        <v>0</v>
      </c>
      <c r="AG240" s="30"/>
      <c r="AH240" s="33"/>
      <c r="AI240" s="34">
        <f t="shared" si="96"/>
        <v>0</v>
      </c>
      <c r="AJ240" s="35"/>
      <c r="AK240" s="30"/>
      <c r="AL240" s="36">
        <f t="shared" si="97"/>
        <v>0</v>
      </c>
      <c r="AM240" s="35"/>
      <c r="AN240" s="30"/>
      <c r="AO240" s="36">
        <f t="shared" si="98"/>
        <v>0</v>
      </c>
      <c r="AP240" s="35"/>
      <c r="AQ240" s="30"/>
      <c r="AR240" s="36">
        <f t="shared" si="99"/>
        <v>0</v>
      </c>
      <c r="AS240" s="27"/>
      <c r="AT240" s="37"/>
      <c r="AU240" s="30"/>
      <c r="AV240" s="36">
        <f t="shared" si="100"/>
        <v>0</v>
      </c>
      <c r="AW240" s="35"/>
      <c r="AX240" s="30"/>
      <c r="AY240" s="32">
        <f t="shared" si="101"/>
        <v>0</v>
      </c>
      <c r="AZ240" s="30"/>
      <c r="BA240" s="63"/>
      <c r="BB240" s="71"/>
      <c r="BC240" s="71"/>
      <c r="BD240" s="71"/>
    </row>
    <row r="241" spans="1:56" hidden="1" x14ac:dyDescent="0.25">
      <c r="A241" s="24" t="str">
        <f>IF(B241="","",SUBTOTAL(3,$B$4:B241))</f>
        <v/>
      </c>
      <c r="B241" s="25"/>
      <c r="C241" s="25" t="str">
        <f t="shared" si="93"/>
        <v xml:space="preserve"> </v>
      </c>
      <c r="D241" s="25"/>
      <c r="E241" s="25"/>
      <c r="F241" s="25"/>
      <c r="G241" s="65"/>
      <c r="H241" s="25"/>
      <c r="I241" s="25"/>
      <c r="J241" s="26"/>
      <c r="K241" s="27"/>
      <c r="L241" s="28"/>
      <c r="M241" s="28"/>
      <c r="N241" s="25"/>
      <c r="O241" s="29"/>
      <c r="P241" s="29"/>
      <c r="Q241" s="25"/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94"/>
        <v>0</v>
      </c>
      <c r="AF241" s="32">
        <f t="shared" si="95"/>
        <v>0</v>
      </c>
      <c r="AG241" s="30"/>
      <c r="AH241" s="33"/>
      <c r="AI241" s="34">
        <f t="shared" si="96"/>
        <v>0</v>
      </c>
      <c r="AJ241" s="35"/>
      <c r="AK241" s="30"/>
      <c r="AL241" s="36">
        <f t="shared" si="97"/>
        <v>0</v>
      </c>
      <c r="AM241" s="35"/>
      <c r="AN241" s="30"/>
      <c r="AO241" s="36">
        <f t="shared" si="98"/>
        <v>0</v>
      </c>
      <c r="AP241" s="35"/>
      <c r="AQ241" s="30"/>
      <c r="AR241" s="36">
        <f t="shared" si="99"/>
        <v>0</v>
      </c>
      <c r="AS241" s="27"/>
      <c r="AT241" s="37"/>
      <c r="AU241" s="30"/>
      <c r="AV241" s="36">
        <f t="shared" si="100"/>
        <v>0</v>
      </c>
      <c r="AW241" s="35"/>
      <c r="AX241" s="30"/>
      <c r="AY241" s="32">
        <f t="shared" si="101"/>
        <v>0</v>
      </c>
      <c r="AZ241" s="30"/>
      <c r="BA241" s="63"/>
      <c r="BB241" s="71"/>
      <c r="BC241" s="71"/>
      <c r="BD241" s="71"/>
    </row>
    <row r="242" spans="1:56" hidden="1" x14ac:dyDescent="0.25">
      <c r="A242" s="24" t="str">
        <f>IF(B242="","",SUBTOTAL(3,$B$4:B242))</f>
        <v/>
      </c>
      <c r="B242" s="25"/>
      <c r="C242" s="25" t="str">
        <f t="shared" si="93"/>
        <v xml:space="preserve"> </v>
      </c>
      <c r="D242" s="25"/>
      <c r="E242" s="25"/>
      <c r="F242" s="25"/>
      <c r="G242" s="65"/>
      <c r="H242" s="25"/>
      <c r="I242" s="25"/>
      <c r="J242" s="26"/>
      <c r="K242" s="27"/>
      <c r="L242" s="28"/>
      <c r="M242" s="28"/>
      <c r="N242" s="25"/>
      <c r="O242" s="29"/>
      <c r="P242" s="29"/>
      <c r="Q242" s="25"/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94"/>
        <v>0</v>
      </c>
      <c r="AF242" s="32">
        <f t="shared" si="95"/>
        <v>0</v>
      </c>
      <c r="AG242" s="30"/>
      <c r="AH242" s="33"/>
      <c r="AI242" s="34">
        <f t="shared" si="96"/>
        <v>0</v>
      </c>
      <c r="AJ242" s="35"/>
      <c r="AK242" s="30"/>
      <c r="AL242" s="36">
        <f t="shared" si="97"/>
        <v>0</v>
      </c>
      <c r="AM242" s="35"/>
      <c r="AN242" s="30"/>
      <c r="AO242" s="36">
        <f t="shared" si="98"/>
        <v>0</v>
      </c>
      <c r="AP242" s="35"/>
      <c r="AQ242" s="30"/>
      <c r="AR242" s="36">
        <f t="shared" si="99"/>
        <v>0</v>
      </c>
      <c r="AS242" s="27"/>
      <c r="AT242" s="37"/>
      <c r="AU242" s="30"/>
      <c r="AV242" s="36">
        <f t="shared" si="100"/>
        <v>0</v>
      </c>
      <c r="AW242" s="35"/>
      <c r="AX242" s="30"/>
      <c r="AY242" s="32">
        <f t="shared" si="101"/>
        <v>0</v>
      </c>
      <c r="AZ242" s="30"/>
      <c r="BA242" s="63"/>
      <c r="BB242" s="71"/>
      <c r="BC242" s="71"/>
      <c r="BD242" s="71"/>
    </row>
    <row r="243" spans="1:56" hidden="1" x14ac:dyDescent="0.25">
      <c r="A243" s="24" t="str">
        <f>IF(B243="","",SUBTOTAL(3,$B$4:B243))</f>
        <v/>
      </c>
      <c r="B243" s="25"/>
      <c r="C243" s="25" t="str">
        <f t="shared" si="93"/>
        <v xml:space="preserve"> </v>
      </c>
      <c r="D243" s="25"/>
      <c r="E243" s="25"/>
      <c r="F243" s="25"/>
      <c r="G243" s="65"/>
      <c r="H243" s="25"/>
      <c r="I243" s="25"/>
      <c r="J243" s="26"/>
      <c r="K243" s="27"/>
      <c r="L243" s="28"/>
      <c r="M243" s="28"/>
      <c r="N243" s="25"/>
      <c r="O243" s="29"/>
      <c r="P243" s="29"/>
      <c r="Q243" s="25"/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94"/>
        <v>0</v>
      </c>
      <c r="AF243" s="32">
        <f t="shared" si="95"/>
        <v>0</v>
      </c>
      <c r="AG243" s="30"/>
      <c r="AH243" s="33"/>
      <c r="AI243" s="34">
        <f t="shared" si="96"/>
        <v>0</v>
      </c>
      <c r="AJ243" s="35"/>
      <c r="AK243" s="30"/>
      <c r="AL243" s="36">
        <f t="shared" si="97"/>
        <v>0</v>
      </c>
      <c r="AM243" s="35"/>
      <c r="AN243" s="30"/>
      <c r="AO243" s="36">
        <f t="shared" si="98"/>
        <v>0</v>
      </c>
      <c r="AP243" s="35"/>
      <c r="AQ243" s="30"/>
      <c r="AR243" s="36">
        <f t="shared" si="99"/>
        <v>0</v>
      </c>
      <c r="AS243" s="27"/>
      <c r="AT243" s="37"/>
      <c r="AU243" s="30"/>
      <c r="AV243" s="36">
        <f t="shared" si="100"/>
        <v>0</v>
      </c>
      <c r="AW243" s="35"/>
      <c r="AX243" s="30"/>
      <c r="AY243" s="32">
        <f t="shared" si="101"/>
        <v>0</v>
      </c>
      <c r="AZ243" s="30"/>
      <c r="BA243" s="63"/>
      <c r="BB243" s="71"/>
      <c r="BC243" s="71"/>
      <c r="BD243" s="71"/>
    </row>
    <row r="244" spans="1:56" hidden="1" x14ac:dyDescent="0.25">
      <c r="A244" s="24" t="str">
        <f>IF(B244="","",SUBTOTAL(3,$B$4:B244))</f>
        <v/>
      </c>
      <c r="B244" s="25"/>
      <c r="C244" s="25" t="str">
        <f t="shared" si="93"/>
        <v xml:space="preserve"> </v>
      </c>
      <c r="D244" s="25"/>
      <c r="E244" s="25"/>
      <c r="F244" s="25"/>
      <c r="G244" s="65"/>
      <c r="H244" s="25"/>
      <c r="I244" s="25"/>
      <c r="J244" s="26"/>
      <c r="K244" s="27"/>
      <c r="L244" s="28"/>
      <c r="M244" s="28"/>
      <c r="N244" s="25"/>
      <c r="O244" s="29"/>
      <c r="P244" s="29"/>
      <c r="Q244" s="25"/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94"/>
        <v>0</v>
      </c>
      <c r="AF244" s="32">
        <f t="shared" si="95"/>
        <v>0</v>
      </c>
      <c r="AG244" s="30"/>
      <c r="AH244" s="33"/>
      <c r="AI244" s="34">
        <f t="shared" si="96"/>
        <v>0</v>
      </c>
      <c r="AJ244" s="35"/>
      <c r="AK244" s="30"/>
      <c r="AL244" s="36">
        <f t="shared" si="97"/>
        <v>0</v>
      </c>
      <c r="AM244" s="35"/>
      <c r="AN244" s="30"/>
      <c r="AO244" s="36">
        <f t="shared" si="98"/>
        <v>0</v>
      </c>
      <c r="AP244" s="35"/>
      <c r="AQ244" s="30"/>
      <c r="AR244" s="36">
        <f t="shared" si="99"/>
        <v>0</v>
      </c>
      <c r="AS244" s="27"/>
      <c r="AT244" s="37"/>
      <c r="AU244" s="30"/>
      <c r="AV244" s="36">
        <f t="shared" si="100"/>
        <v>0</v>
      </c>
      <c r="AW244" s="35"/>
      <c r="AX244" s="30"/>
      <c r="AY244" s="32">
        <f t="shared" si="101"/>
        <v>0</v>
      </c>
      <c r="AZ244" s="30"/>
      <c r="BA244" s="63"/>
      <c r="BB244" s="71"/>
      <c r="BC244" s="71"/>
      <c r="BD244" s="71"/>
    </row>
    <row r="245" spans="1:56" hidden="1" x14ac:dyDescent="0.25">
      <c r="A245" s="24" t="str">
        <f>IF(B245="","",SUBTOTAL(3,$B$4:B245))</f>
        <v/>
      </c>
      <c r="B245" s="25"/>
      <c r="C245" s="25" t="str">
        <f t="shared" si="93"/>
        <v xml:space="preserve"> </v>
      </c>
      <c r="D245" s="25"/>
      <c r="E245" s="25"/>
      <c r="F245" s="25"/>
      <c r="G245" s="65"/>
      <c r="H245" s="25"/>
      <c r="I245" s="25"/>
      <c r="J245" s="26"/>
      <c r="K245" s="27"/>
      <c r="L245" s="28"/>
      <c r="M245" s="28"/>
      <c r="N245" s="25"/>
      <c r="O245" s="29"/>
      <c r="P245" s="29"/>
      <c r="Q245" s="25"/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94"/>
        <v>0</v>
      </c>
      <c r="AF245" s="32">
        <f t="shared" si="95"/>
        <v>0</v>
      </c>
      <c r="AG245" s="30"/>
      <c r="AH245" s="33"/>
      <c r="AI245" s="34">
        <f t="shared" si="96"/>
        <v>0</v>
      </c>
      <c r="AJ245" s="35"/>
      <c r="AK245" s="30"/>
      <c r="AL245" s="36">
        <f t="shared" si="97"/>
        <v>0</v>
      </c>
      <c r="AM245" s="35"/>
      <c r="AN245" s="30"/>
      <c r="AO245" s="36">
        <f t="shared" si="98"/>
        <v>0</v>
      </c>
      <c r="AP245" s="35"/>
      <c r="AQ245" s="30"/>
      <c r="AR245" s="36">
        <f t="shared" si="99"/>
        <v>0</v>
      </c>
      <c r="AS245" s="27"/>
      <c r="AT245" s="37"/>
      <c r="AU245" s="30"/>
      <c r="AV245" s="36">
        <f t="shared" si="100"/>
        <v>0</v>
      </c>
      <c r="AW245" s="35"/>
      <c r="AX245" s="30"/>
      <c r="AY245" s="32">
        <f t="shared" si="101"/>
        <v>0</v>
      </c>
      <c r="AZ245" s="30"/>
      <c r="BA245" s="63"/>
      <c r="BB245" s="71"/>
      <c r="BC245" s="71"/>
      <c r="BD245" s="71"/>
    </row>
    <row r="246" spans="1:56" hidden="1" x14ac:dyDescent="0.25">
      <c r="A246" s="24" t="str">
        <f>IF(B246="","",SUBTOTAL(3,$B$4:B246))</f>
        <v/>
      </c>
      <c r="B246" s="25"/>
      <c r="C246" s="25" t="str">
        <f t="shared" si="93"/>
        <v xml:space="preserve"> </v>
      </c>
      <c r="D246" s="25"/>
      <c r="E246" s="25"/>
      <c r="F246" s="25"/>
      <c r="G246" s="65"/>
      <c r="H246" s="25"/>
      <c r="I246" s="25"/>
      <c r="J246" s="26"/>
      <c r="K246" s="27"/>
      <c r="L246" s="28"/>
      <c r="M246" s="28"/>
      <c r="N246" s="25"/>
      <c r="O246" s="29"/>
      <c r="P246" s="29"/>
      <c r="Q246" s="25"/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94"/>
        <v>0</v>
      </c>
      <c r="AF246" s="32">
        <f t="shared" si="95"/>
        <v>0</v>
      </c>
      <c r="AG246" s="30"/>
      <c r="AH246" s="33"/>
      <c r="AI246" s="34">
        <f t="shared" si="96"/>
        <v>0</v>
      </c>
      <c r="AJ246" s="35"/>
      <c r="AK246" s="30"/>
      <c r="AL246" s="36">
        <f t="shared" si="97"/>
        <v>0</v>
      </c>
      <c r="AM246" s="35"/>
      <c r="AN246" s="30"/>
      <c r="AO246" s="36">
        <f t="shared" si="98"/>
        <v>0</v>
      </c>
      <c r="AP246" s="35"/>
      <c r="AQ246" s="30"/>
      <c r="AR246" s="36">
        <f t="shared" si="99"/>
        <v>0</v>
      </c>
      <c r="AS246" s="27"/>
      <c r="AT246" s="37"/>
      <c r="AU246" s="30"/>
      <c r="AV246" s="36">
        <f t="shared" si="100"/>
        <v>0</v>
      </c>
      <c r="AW246" s="35"/>
      <c r="AX246" s="30"/>
      <c r="AY246" s="32">
        <f t="shared" si="101"/>
        <v>0</v>
      </c>
      <c r="AZ246" s="30"/>
      <c r="BA246" s="63"/>
      <c r="BB246" s="71"/>
      <c r="BC246" s="71"/>
      <c r="BD246" s="71"/>
    </row>
    <row r="247" spans="1:56" hidden="1" x14ac:dyDescent="0.25">
      <c r="A247" s="24" t="str">
        <f>IF(B247="","",SUBTOTAL(3,$B$4:B247))</f>
        <v/>
      </c>
      <c r="B247" s="25"/>
      <c r="C247" s="25" t="str">
        <f t="shared" si="0"/>
        <v xml:space="preserve"> </v>
      </c>
      <c r="D247" s="25"/>
      <c r="E247" s="25"/>
      <c r="F247" s="25"/>
      <c r="G247" s="65"/>
      <c r="H247" s="25"/>
      <c r="I247" s="25"/>
      <c r="J247" s="26"/>
      <c r="K247" s="24"/>
      <c r="L247" s="25"/>
      <c r="M247" s="28"/>
      <c r="N247" s="25"/>
      <c r="O247" s="29"/>
      <c r="P247" s="29"/>
      <c r="Q247" s="25"/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1"/>
        <v>0</v>
      </c>
      <c r="AF247" s="32">
        <f t="shared" si="2"/>
        <v>0</v>
      </c>
      <c r="AG247" s="30"/>
      <c r="AH247" s="33"/>
      <c r="AI247" s="34">
        <f t="shared" si="3"/>
        <v>0</v>
      </c>
      <c r="AJ247" s="35"/>
      <c r="AK247" s="30"/>
      <c r="AL247" s="36">
        <f t="shared" si="4"/>
        <v>0</v>
      </c>
      <c r="AM247" s="35"/>
      <c r="AN247" s="30"/>
      <c r="AO247" s="36">
        <f t="shared" si="5"/>
        <v>0</v>
      </c>
      <c r="AP247" s="35"/>
      <c r="AQ247" s="30"/>
      <c r="AR247" s="36">
        <f t="shared" si="6"/>
        <v>0</v>
      </c>
      <c r="AS247" s="27"/>
      <c r="AT247" s="37"/>
      <c r="AU247" s="30"/>
      <c r="AV247" s="36">
        <f t="shared" si="7"/>
        <v>0</v>
      </c>
      <c r="AW247" s="35"/>
      <c r="AX247" s="30"/>
      <c r="AY247" s="32">
        <f t="shared" si="8"/>
        <v>0</v>
      </c>
      <c r="AZ247" s="30"/>
      <c r="BA247" s="63"/>
      <c r="BB247" s="71"/>
      <c r="BC247" s="71"/>
      <c r="BD247" s="71"/>
    </row>
    <row r="248" spans="1:56" hidden="1" x14ac:dyDescent="0.25">
      <c r="A248" s="24" t="str">
        <f>IF(B248="","",SUBTOTAL(3,$B$4:B248))</f>
        <v/>
      </c>
      <c r="B248" s="25"/>
      <c r="C248" s="25" t="str">
        <f t="shared" si="0"/>
        <v xml:space="preserve"> </v>
      </c>
      <c r="D248" s="25"/>
      <c r="E248" s="25"/>
      <c r="F248" s="25"/>
      <c r="G248" s="65"/>
      <c r="H248" s="25"/>
      <c r="I248" s="25"/>
      <c r="J248" s="26"/>
      <c r="K248" s="24"/>
      <c r="L248" s="25"/>
      <c r="M248" s="28"/>
      <c r="N248" s="25"/>
      <c r="O248" s="29"/>
      <c r="P248" s="29"/>
      <c r="Q248" s="25"/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1"/>
        <v>0</v>
      </c>
      <c r="AF248" s="32">
        <f t="shared" si="2"/>
        <v>0</v>
      </c>
      <c r="AG248" s="30"/>
      <c r="AH248" s="33"/>
      <c r="AI248" s="34">
        <f t="shared" si="3"/>
        <v>0</v>
      </c>
      <c r="AJ248" s="35"/>
      <c r="AK248" s="30"/>
      <c r="AL248" s="36">
        <f t="shared" si="4"/>
        <v>0</v>
      </c>
      <c r="AM248" s="35"/>
      <c r="AN248" s="30"/>
      <c r="AO248" s="36">
        <f t="shared" si="5"/>
        <v>0</v>
      </c>
      <c r="AP248" s="35"/>
      <c r="AQ248" s="30"/>
      <c r="AR248" s="36">
        <f t="shared" si="6"/>
        <v>0</v>
      </c>
      <c r="AS248" s="27"/>
      <c r="AT248" s="37"/>
      <c r="AU248" s="30"/>
      <c r="AV248" s="36">
        <f t="shared" si="7"/>
        <v>0</v>
      </c>
      <c r="AW248" s="35"/>
      <c r="AX248" s="30"/>
      <c r="AY248" s="32">
        <f t="shared" si="8"/>
        <v>0</v>
      </c>
      <c r="AZ248" s="30"/>
      <c r="BA248" s="63"/>
      <c r="BB248" s="71"/>
      <c r="BC248" s="71"/>
      <c r="BD248" s="71"/>
    </row>
    <row r="249" spans="1:56" hidden="1" x14ac:dyDescent="0.25">
      <c r="A249" s="24" t="str">
        <f>IF(B249="","",SUBTOTAL(3,$B$4:B249))</f>
        <v/>
      </c>
      <c r="B249" s="25"/>
      <c r="C249" s="25" t="str">
        <f t="shared" si="0"/>
        <v xml:space="preserve"> </v>
      </c>
      <c r="D249" s="25"/>
      <c r="E249" s="25"/>
      <c r="F249" s="25"/>
      <c r="G249" s="65"/>
      <c r="H249" s="25"/>
      <c r="I249" s="25"/>
      <c r="J249" s="26"/>
      <c r="K249" s="24"/>
      <c r="L249" s="25"/>
      <c r="M249" s="28"/>
      <c r="N249" s="25"/>
      <c r="O249" s="29"/>
      <c r="P249" s="29"/>
      <c r="Q249" s="25"/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1"/>
        <v>0</v>
      </c>
      <c r="AF249" s="32">
        <f t="shared" si="2"/>
        <v>0</v>
      </c>
      <c r="AG249" s="30"/>
      <c r="AH249" s="33"/>
      <c r="AI249" s="34">
        <f t="shared" si="3"/>
        <v>0</v>
      </c>
      <c r="AJ249" s="35"/>
      <c r="AK249" s="30"/>
      <c r="AL249" s="36">
        <f t="shared" si="4"/>
        <v>0</v>
      </c>
      <c r="AM249" s="35"/>
      <c r="AN249" s="30"/>
      <c r="AO249" s="36">
        <f t="shared" si="5"/>
        <v>0</v>
      </c>
      <c r="AP249" s="35"/>
      <c r="AQ249" s="30"/>
      <c r="AR249" s="36">
        <f t="shared" si="6"/>
        <v>0</v>
      </c>
      <c r="AS249" s="27"/>
      <c r="AT249" s="37"/>
      <c r="AU249" s="30"/>
      <c r="AV249" s="36">
        <f t="shared" si="7"/>
        <v>0</v>
      </c>
      <c r="AW249" s="35"/>
      <c r="AX249" s="30"/>
      <c r="AY249" s="32">
        <f t="shared" si="8"/>
        <v>0</v>
      </c>
      <c r="AZ249" s="30"/>
      <c r="BA249" s="63"/>
      <c r="BB249" s="71"/>
      <c r="BC249" s="71"/>
      <c r="BD249" s="71"/>
    </row>
    <row r="250" spans="1:56" hidden="1" x14ac:dyDescent="0.25">
      <c r="A250" s="24" t="str">
        <f>IF(B250="","",SUBTOTAL(3,$B$4:B250))</f>
        <v/>
      </c>
      <c r="B250" s="25"/>
      <c r="C250" s="25" t="str">
        <f t="shared" si="0"/>
        <v xml:space="preserve"> </v>
      </c>
      <c r="D250" s="25"/>
      <c r="E250" s="25"/>
      <c r="F250" s="25"/>
      <c r="G250" s="65"/>
      <c r="H250" s="25"/>
      <c r="I250" s="25"/>
      <c r="J250" s="26"/>
      <c r="K250" s="24"/>
      <c r="L250" s="25"/>
      <c r="M250" s="28"/>
      <c r="N250" s="25"/>
      <c r="O250" s="29"/>
      <c r="P250" s="29"/>
      <c r="Q250" s="25"/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1"/>
        <v>0</v>
      </c>
      <c r="AF250" s="32">
        <f t="shared" si="2"/>
        <v>0</v>
      </c>
      <c r="AG250" s="30"/>
      <c r="AH250" s="33"/>
      <c r="AI250" s="34">
        <f t="shared" si="3"/>
        <v>0</v>
      </c>
      <c r="AJ250" s="35"/>
      <c r="AK250" s="30"/>
      <c r="AL250" s="36">
        <f t="shared" si="4"/>
        <v>0</v>
      </c>
      <c r="AM250" s="35"/>
      <c r="AN250" s="30"/>
      <c r="AO250" s="36">
        <f t="shared" si="5"/>
        <v>0</v>
      </c>
      <c r="AP250" s="35"/>
      <c r="AQ250" s="30"/>
      <c r="AR250" s="36">
        <f t="shared" si="6"/>
        <v>0</v>
      </c>
      <c r="AS250" s="27"/>
      <c r="AT250" s="37"/>
      <c r="AU250" s="30"/>
      <c r="AV250" s="36">
        <f t="shared" si="7"/>
        <v>0</v>
      </c>
      <c r="AW250" s="35"/>
      <c r="AX250" s="30"/>
      <c r="AY250" s="32">
        <f t="shared" si="8"/>
        <v>0</v>
      </c>
      <c r="AZ250" s="30"/>
      <c r="BA250" s="63"/>
      <c r="BB250" s="71"/>
      <c r="BC250" s="71"/>
      <c r="BD250" s="71"/>
    </row>
    <row r="251" spans="1:56" hidden="1" x14ac:dyDescent="0.25">
      <c r="A251" s="24" t="str">
        <f>IF(B251="","",SUBTOTAL(3,$B$4:B251))</f>
        <v/>
      </c>
      <c r="B251" s="25"/>
      <c r="C251" s="25" t="str">
        <f t="shared" si="0"/>
        <v xml:space="preserve"> </v>
      </c>
      <c r="D251" s="25"/>
      <c r="E251" s="25"/>
      <c r="F251" s="25"/>
      <c r="G251" s="65"/>
      <c r="H251" s="25"/>
      <c r="I251" s="25"/>
      <c r="J251" s="26"/>
      <c r="K251" s="24"/>
      <c r="L251" s="25"/>
      <c r="M251" s="28"/>
      <c r="N251" s="25"/>
      <c r="O251" s="29"/>
      <c r="P251" s="29"/>
      <c r="Q251" s="25"/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1"/>
        <v>0</v>
      </c>
      <c r="AF251" s="32">
        <f t="shared" si="2"/>
        <v>0</v>
      </c>
      <c r="AG251" s="30"/>
      <c r="AH251" s="33"/>
      <c r="AI251" s="34">
        <f t="shared" si="3"/>
        <v>0</v>
      </c>
      <c r="AJ251" s="35"/>
      <c r="AK251" s="30"/>
      <c r="AL251" s="36">
        <f t="shared" si="4"/>
        <v>0</v>
      </c>
      <c r="AM251" s="35"/>
      <c r="AN251" s="30"/>
      <c r="AO251" s="36">
        <f t="shared" si="5"/>
        <v>0</v>
      </c>
      <c r="AP251" s="35"/>
      <c r="AQ251" s="30"/>
      <c r="AR251" s="36">
        <f t="shared" si="6"/>
        <v>0</v>
      </c>
      <c r="AS251" s="27"/>
      <c r="AT251" s="37"/>
      <c r="AU251" s="30"/>
      <c r="AV251" s="36">
        <f t="shared" si="7"/>
        <v>0</v>
      </c>
      <c r="AW251" s="35"/>
      <c r="AX251" s="30"/>
      <c r="AY251" s="32">
        <f t="shared" si="8"/>
        <v>0</v>
      </c>
      <c r="AZ251" s="30"/>
      <c r="BA251" s="63"/>
      <c r="BB251" s="71"/>
      <c r="BC251" s="71"/>
      <c r="BD251" s="71"/>
    </row>
    <row r="252" spans="1:56" hidden="1" x14ac:dyDescent="0.25">
      <c r="A252" s="24" t="str">
        <f>IF(B252="","",SUBTOTAL(3,$B$4:B252))</f>
        <v/>
      </c>
      <c r="B252" s="25"/>
      <c r="C252" s="25" t="str">
        <f t="shared" si="0"/>
        <v xml:space="preserve"> </v>
      </c>
      <c r="D252" s="25"/>
      <c r="E252" s="25"/>
      <c r="F252" s="25"/>
      <c r="G252" s="65"/>
      <c r="H252" s="25"/>
      <c r="I252" s="25"/>
      <c r="J252" s="26"/>
      <c r="K252" s="24"/>
      <c r="L252" s="25"/>
      <c r="M252" s="28"/>
      <c r="N252" s="25"/>
      <c r="O252" s="29"/>
      <c r="P252" s="29"/>
      <c r="Q252" s="25"/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1"/>
        <v>0</v>
      </c>
      <c r="AF252" s="32">
        <f t="shared" si="2"/>
        <v>0</v>
      </c>
      <c r="AG252" s="30"/>
      <c r="AH252" s="33"/>
      <c r="AI252" s="34">
        <f t="shared" si="3"/>
        <v>0</v>
      </c>
      <c r="AJ252" s="35"/>
      <c r="AK252" s="30"/>
      <c r="AL252" s="36">
        <f t="shared" si="4"/>
        <v>0</v>
      </c>
      <c r="AM252" s="35"/>
      <c r="AN252" s="30"/>
      <c r="AO252" s="36">
        <f t="shared" si="5"/>
        <v>0</v>
      </c>
      <c r="AP252" s="35"/>
      <c r="AQ252" s="30"/>
      <c r="AR252" s="36">
        <f t="shared" si="6"/>
        <v>0</v>
      </c>
      <c r="AS252" s="27"/>
      <c r="AT252" s="37"/>
      <c r="AU252" s="30"/>
      <c r="AV252" s="36">
        <f t="shared" si="7"/>
        <v>0</v>
      </c>
      <c r="AW252" s="35"/>
      <c r="AX252" s="30"/>
      <c r="AY252" s="32">
        <f t="shared" si="8"/>
        <v>0</v>
      </c>
      <c r="AZ252" s="30"/>
      <c r="BA252" s="63"/>
      <c r="BB252" s="71"/>
      <c r="BC252" s="71"/>
      <c r="BD252" s="71"/>
    </row>
    <row r="253" spans="1:56" hidden="1" x14ac:dyDescent="0.25">
      <c r="A253" s="24" t="str">
        <f>IF(B253="","",SUBTOTAL(3,$B$4:B253))</f>
        <v/>
      </c>
      <c r="B253" s="25"/>
      <c r="C253" s="25" t="str">
        <f t="shared" si="0"/>
        <v xml:space="preserve"> </v>
      </c>
      <c r="D253" s="25"/>
      <c r="E253" s="25"/>
      <c r="F253" s="25"/>
      <c r="G253" s="65"/>
      <c r="H253" s="25"/>
      <c r="I253" s="25"/>
      <c r="J253" s="26"/>
      <c r="K253" s="24"/>
      <c r="L253" s="25"/>
      <c r="M253" s="28"/>
      <c r="N253" s="25"/>
      <c r="O253" s="29"/>
      <c r="P253" s="29"/>
      <c r="Q253" s="25"/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1"/>
        <v>0</v>
      </c>
      <c r="AF253" s="32">
        <f t="shared" si="2"/>
        <v>0</v>
      </c>
      <c r="AG253" s="30"/>
      <c r="AH253" s="33"/>
      <c r="AI253" s="34">
        <f t="shared" si="3"/>
        <v>0</v>
      </c>
      <c r="AJ253" s="35"/>
      <c r="AK253" s="30"/>
      <c r="AL253" s="36">
        <f t="shared" si="4"/>
        <v>0</v>
      </c>
      <c r="AM253" s="35"/>
      <c r="AN253" s="30"/>
      <c r="AO253" s="36">
        <f t="shared" si="5"/>
        <v>0</v>
      </c>
      <c r="AP253" s="35"/>
      <c r="AQ253" s="30"/>
      <c r="AR253" s="36">
        <f t="shared" si="6"/>
        <v>0</v>
      </c>
      <c r="AS253" s="27"/>
      <c r="AT253" s="37"/>
      <c r="AU253" s="30"/>
      <c r="AV253" s="36">
        <f t="shared" si="7"/>
        <v>0</v>
      </c>
      <c r="AW253" s="35"/>
      <c r="AX253" s="30"/>
      <c r="AY253" s="32">
        <f t="shared" si="8"/>
        <v>0</v>
      </c>
      <c r="AZ253" s="30"/>
      <c r="BA253" s="63"/>
      <c r="BB253" s="71"/>
      <c r="BC253" s="71"/>
      <c r="BD253" s="71"/>
    </row>
    <row r="254" spans="1:56" hidden="1" x14ac:dyDescent="0.25">
      <c r="A254" s="24" t="str">
        <f>IF(B254="","",SUBTOTAL(3,$B$4:B254))</f>
        <v/>
      </c>
      <c r="B254" s="25"/>
      <c r="C254" s="25" t="str">
        <f t="shared" si="0"/>
        <v xml:space="preserve"> </v>
      </c>
      <c r="D254" s="25"/>
      <c r="E254" s="25"/>
      <c r="F254" s="25"/>
      <c r="G254" s="65"/>
      <c r="H254" s="25"/>
      <c r="I254" s="25"/>
      <c r="J254" s="26"/>
      <c r="K254" s="24"/>
      <c r="L254" s="25"/>
      <c r="M254" s="28"/>
      <c r="N254" s="25"/>
      <c r="O254" s="29"/>
      <c r="P254" s="29"/>
      <c r="Q254" s="25"/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1"/>
        <v>0</v>
      </c>
      <c r="AF254" s="32">
        <f t="shared" si="2"/>
        <v>0</v>
      </c>
      <c r="AG254" s="30"/>
      <c r="AH254" s="33"/>
      <c r="AI254" s="34">
        <f t="shared" si="3"/>
        <v>0</v>
      </c>
      <c r="AJ254" s="35"/>
      <c r="AK254" s="30"/>
      <c r="AL254" s="36">
        <f t="shared" si="4"/>
        <v>0</v>
      </c>
      <c r="AM254" s="35"/>
      <c r="AN254" s="30"/>
      <c r="AO254" s="36">
        <f t="shared" si="5"/>
        <v>0</v>
      </c>
      <c r="AP254" s="35"/>
      <c r="AQ254" s="30"/>
      <c r="AR254" s="36">
        <f t="shared" si="6"/>
        <v>0</v>
      </c>
      <c r="AS254" s="27"/>
      <c r="AT254" s="37"/>
      <c r="AU254" s="30"/>
      <c r="AV254" s="36">
        <f t="shared" si="7"/>
        <v>0</v>
      </c>
      <c r="AW254" s="35"/>
      <c r="AX254" s="30"/>
      <c r="AY254" s="32">
        <f t="shared" si="8"/>
        <v>0</v>
      </c>
      <c r="AZ254" s="30"/>
      <c r="BA254" s="63"/>
      <c r="BB254" s="71"/>
      <c r="BC254" s="71"/>
      <c r="BD254" s="71"/>
    </row>
    <row r="255" spans="1:56" hidden="1" x14ac:dyDescent="0.25">
      <c r="A255" s="24" t="str">
        <f>IF(B255="","",SUBTOTAL(3,$B$4:B255))</f>
        <v/>
      </c>
      <c r="B255" s="25"/>
      <c r="C255" s="25" t="str">
        <f t="shared" si="0"/>
        <v xml:space="preserve"> </v>
      </c>
      <c r="D255" s="25"/>
      <c r="E255" s="25"/>
      <c r="F255" s="25"/>
      <c r="G255" s="65"/>
      <c r="H255" s="25"/>
      <c r="I255" s="25"/>
      <c r="J255" s="26"/>
      <c r="K255" s="24"/>
      <c r="L255" s="25"/>
      <c r="M255" s="28"/>
      <c r="N255" s="25"/>
      <c r="O255" s="29"/>
      <c r="P255" s="29"/>
      <c r="Q255" s="25"/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1"/>
        <v>0</v>
      </c>
      <c r="AF255" s="32">
        <f t="shared" si="2"/>
        <v>0</v>
      </c>
      <c r="AG255" s="30"/>
      <c r="AH255" s="33"/>
      <c r="AI255" s="34">
        <f t="shared" si="3"/>
        <v>0</v>
      </c>
      <c r="AJ255" s="35"/>
      <c r="AK255" s="30"/>
      <c r="AL255" s="36">
        <f t="shared" si="4"/>
        <v>0</v>
      </c>
      <c r="AM255" s="35"/>
      <c r="AN255" s="30"/>
      <c r="AO255" s="36">
        <f t="shared" si="5"/>
        <v>0</v>
      </c>
      <c r="AP255" s="35"/>
      <c r="AQ255" s="30"/>
      <c r="AR255" s="36">
        <f t="shared" si="6"/>
        <v>0</v>
      </c>
      <c r="AS255" s="27"/>
      <c r="AT255" s="37"/>
      <c r="AU255" s="30"/>
      <c r="AV255" s="36">
        <f t="shared" si="7"/>
        <v>0</v>
      </c>
      <c r="AW255" s="35"/>
      <c r="AX255" s="30"/>
      <c r="AY255" s="32">
        <f t="shared" si="8"/>
        <v>0</v>
      </c>
      <c r="AZ255" s="30"/>
      <c r="BA255" s="63"/>
      <c r="BB255" s="71"/>
      <c r="BC255" s="71"/>
      <c r="BD255" s="71"/>
    </row>
    <row r="256" spans="1:56" hidden="1" x14ac:dyDescent="0.25">
      <c r="A256" s="24" t="str">
        <f>IF(B256="","",SUBTOTAL(3,$B$4:B256))</f>
        <v/>
      </c>
      <c r="B256" s="25"/>
      <c r="C256" s="25" t="str">
        <f t="shared" si="0"/>
        <v xml:space="preserve"> </v>
      </c>
      <c r="D256" s="25"/>
      <c r="E256" s="25"/>
      <c r="F256" s="25"/>
      <c r="G256" s="65"/>
      <c r="H256" s="25"/>
      <c r="I256" s="25"/>
      <c r="J256" s="26"/>
      <c r="K256" s="24"/>
      <c r="L256" s="25"/>
      <c r="M256" s="28"/>
      <c r="N256" s="25"/>
      <c r="O256" s="29"/>
      <c r="P256" s="29"/>
      <c r="Q256" s="25"/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1"/>
        <v>0</v>
      </c>
      <c r="AF256" s="32">
        <f t="shared" si="2"/>
        <v>0</v>
      </c>
      <c r="AG256" s="30"/>
      <c r="AH256" s="33"/>
      <c r="AI256" s="34">
        <f t="shared" si="3"/>
        <v>0</v>
      </c>
      <c r="AJ256" s="35"/>
      <c r="AK256" s="30"/>
      <c r="AL256" s="36">
        <f t="shared" si="4"/>
        <v>0</v>
      </c>
      <c r="AM256" s="35"/>
      <c r="AN256" s="30"/>
      <c r="AO256" s="36">
        <f t="shared" si="5"/>
        <v>0</v>
      </c>
      <c r="AP256" s="35"/>
      <c r="AQ256" s="30"/>
      <c r="AR256" s="36">
        <f t="shared" si="6"/>
        <v>0</v>
      </c>
      <c r="AS256" s="27"/>
      <c r="AT256" s="37"/>
      <c r="AU256" s="30"/>
      <c r="AV256" s="36">
        <f t="shared" si="7"/>
        <v>0</v>
      </c>
      <c r="AW256" s="35"/>
      <c r="AX256" s="30"/>
      <c r="AY256" s="32">
        <f t="shared" si="8"/>
        <v>0</v>
      </c>
      <c r="AZ256" s="30"/>
      <c r="BA256" s="63"/>
      <c r="BB256" s="71"/>
      <c r="BC256" s="71"/>
      <c r="BD256" s="71"/>
    </row>
    <row r="257" spans="1:56" hidden="1" x14ac:dyDescent="0.25">
      <c r="A257" s="24" t="str">
        <f>IF(B257="","",SUBTOTAL(3,$B$4:B257))</f>
        <v/>
      </c>
      <c r="B257" s="25"/>
      <c r="C257" s="25" t="str">
        <f t="shared" si="0"/>
        <v xml:space="preserve"> </v>
      </c>
      <c r="D257" s="25"/>
      <c r="E257" s="25"/>
      <c r="F257" s="25"/>
      <c r="G257" s="65"/>
      <c r="H257" s="25"/>
      <c r="I257" s="25"/>
      <c r="J257" s="26"/>
      <c r="K257" s="24"/>
      <c r="L257" s="25"/>
      <c r="M257" s="28"/>
      <c r="N257" s="25"/>
      <c r="O257" s="29"/>
      <c r="P257" s="29"/>
      <c r="Q257" s="25"/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1"/>
        <v>0</v>
      </c>
      <c r="AF257" s="32">
        <f t="shared" si="2"/>
        <v>0</v>
      </c>
      <c r="AG257" s="30"/>
      <c r="AH257" s="33"/>
      <c r="AI257" s="34">
        <f t="shared" si="3"/>
        <v>0</v>
      </c>
      <c r="AJ257" s="35"/>
      <c r="AK257" s="30"/>
      <c r="AL257" s="36">
        <f t="shared" si="4"/>
        <v>0</v>
      </c>
      <c r="AM257" s="35"/>
      <c r="AN257" s="30"/>
      <c r="AO257" s="36">
        <f t="shared" si="5"/>
        <v>0</v>
      </c>
      <c r="AP257" s="35"/>
      <c r="AQ257" s="30"/>
      <c r="AR257" s="36">
        <f t="shared" si="6"/>
        <v>0</v>
      </c>
      <c r="AS257" s="27"/>
      <c r="AT257" s="37"/>
      <c r="AU257" s="30"/>
      <c r="AV257" s="36">
        <f t="shared" si="7"/>
        <v>0</v>
      </c>
      <c r="AW257" s="35"/>
      <c r="AX257" s="30"/>
      <c r="AY257" s="32">
        <f t="shared" si="8"/>
        <v>0</v>
      </c>
      <c r="AZ257" s="30"/>
      <c r="BA257" s="63"/>
      <c r="BB257" s="71"/>
      <c r="BC257" s="71"/>
      <c r="BD257" s="71"/>
    </row>
    <row r="258" spans="1:56" ht="16.5" hidden="1" thickBot="1" x14ac:dyDescent="0.3">
      <c r="A258" s="38" t="str">
        <f>IF(B258="","",SUBTOTAL(3,$B$4:B258))</f>
        <v/>
      </c>
      <c r="B258" s="39"/>
      <c r="C258" s="39" t="str">
        <f t="shared" si="0"/>
        <v xml:space="preserve"> </v>
      </c>
      <c r="D258" s="39"/>
      <c r="E258" s="39"/>
      <c r="F258" s="39"/>
      <c r="G258" s="66"/>
      <c r="H258" s="39"/>
      <c r="I258" s="39"/>
      <c r="J258" s="40"/>
      <c r="K258" s="38"/>
      <c r="L258" s="39"/>
      <c r="M258" s="42"/>
      <c r="N258" s="39"/>
      <c r="O258" s="43"/>
      <c r="P258" s="43"/>
      <c r="Q258" s="39"/>
      <c r="R258" s="39"/>
      <c r="S258" s="40"/>
      <c r="T258" s="38"/>
      <c r="U258" s="41"/>
      <c r="V258" s="41"/>
      <c r="W258" s="41"/>
      <c r="X258" s="66"/>
      <c r="Y258" s="46"/>
      <c r="Z258" s="41"/>
      <c r="AA258" s="46"/>
      <c r="AB258" s="41"/>
      <c r="AC258" s="41"/>
      <c r="AD258" s="69"/>
      <c r="AE258" s="55">
        <f t="shared" si="1"/>
        <v>0</v>
      </c>
      <c r="AF258" s="47">
        <f t="shared" si="2"/>
        <v>0</v>
      </c>
      <c r="AG258" s="41"/>
      <c r="AH258" s="56"/>
      <c r="AI258" s="57">
        <f t="shared" si="3"/>
        <v>0</v>
      </c>
      <c r="AJ258" s="44"/>
      <c r="AK258" s="41"/>
      <c r="AL258" s="45">
        <f t="shared" si="4"/>
        <v>0</v>
      </c>
      <c r="AM258" s="44"/>
      <c r="AN258" s="41"/>
      <c r="AO258" s="45">
        <f t="shared" si="5"/>
        <v>0</v>
      </c>
      <c r="AP258" s="44"/>
      <c r="AQ258" s="41"/>
      <c r="AR258" s="45">
        <f t="shared" si="6"/>
        <v>0</v>
      </c>
      <c r="AS258" s="62"/>
      <c r="AT258" s="46"/>
      <c r="AU258" s="41"/>
      <c r="AV258" s="45">
        <f t="shared" si="7"/>
        <v>0</v>
      </c>
      <c r="AW258" s="44"/>
      <c r="AX258" s="41"/>
      <c r="AY258" s="47">
        <f t="shared" si="8"/>
        <v>0</v>
      </c>
      <c r="AZ258" s="41"/>
      <c r="BA258" s="64"/>
      <c r="BB258" s="71"/>
      <c r="BC258" s="71"/>
      <c r="BD258" s="71"/>
    </row>
  </sheetData>
  <autoFilter ref="A3:BD258" xr:uid="{334E9545-4D7F-4FF2-AE79-B0165FA68616}">
    <filterColumn colId="46">
      <colorFilter dxfId="6"/>
    </filterColumn>
  </autoFilter>
  <conditionalFormatting sqref="A4:AG258 AJ4:AL258">
    <cfRule type="expression" dxfId="5" priority="2">
      <formula>$AK4=$N4</formula>
    </cfRule>
  </conditionalFormatting>
  <conditionalFormatting sqref="AH4:AI258">
    <cfRule type="expression" dxfId="4" priority="1">
      <formula>$AH4=1</formula>
    </cfRule>
  </conditionalFormatting>
  <conditionalFormatting sqref="AM4:AO258">
    <cfRule type="expression" dxfId="3" priority="3">
      <formula>$AN4=$N4</formula>
    </cfRule>
  </conditionalFormatting>
  <conditionalFormatting sqref="AP4:AR258">
    <cfRule type="expression" dxfId="2" priority="4">
      <formula>$AQ4=$N4</formula>
    </cfRule>
  </conditionalFormatting>
  <conditionalFormatting sqref="AS4:AV258">
    <cfRule type="expression" dxfId="1" priority="5">
      <formula>$AU4=$N4</formula>
    </cfRule>
  </conditionalFormatting>
  <conditionalFormatting sqref="AW4:BA258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2026-07-31T01:52:14Z</dcterms:modified>
</cp:coreProperties>
</file>