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B8EF2EFC-4141-4EA0-A65E-BFC6D9BC9596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Progress!$A$3:$BD$77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0" i="1" l="1"/>
  <c r="AY39" i="1"/>
  <c r="AY38" i="1"/>
  <c r="AY37" i="1"/>
  <c r="AY26" i="1"/>
  <c r="AY25" i="1"/>
  <c r="AY23" i="1"/>
  <c r="AY22" i="1"/>
  <c r="AY21" i="1"/>
  <c r="AY20" i="1"/>
  <c r="AY19" i="1"/>
  <c r="AY9" i="1"/>
  <c r="AY8" i="1"/>
  <c r="AO36" i="1"/>
  <c r="AL36" i="1"/>
  <c r="AO35" i="1"/>
  <c r="AL35" i="1"/>
  <c r="AO34" i="1"/>
  <c r="AL34" i="1"/>
  <c r="AO33" i="1"/>
  <c r="AL33" i="1"/>
  <c r="AO32" i="1"/>
  <c r="AL32" i="1"/>
  <c r="AO31" i="1"/>
  <c r="AL31" i="1"/>
  <c r="AO30" i="1"/>
  <c r="AL30" i="1"/>
  <c r="AO29" i="1"/>
  <c r="AL29" i="1"/>
  <c r="AO28" i="1"/>
  <c r="AL28" i="1"/>
  <c r="AO27" i="1"/>
  <c r="AL27" i="1"/>
  <c r="AO24" i="1"/>
  <c r="AL24" i="1"/>
  <c r="AO18" i="1"/>
  <c r="AL18" i="1"/>
  <c r="AO17" i="1"/>
  <c r="AL17" i="1"/>
  <c r="AO16" i="1"/>
  <c r="AL16" i="1"/>
  <c r="AO15" i="1"/>
  <c r="AL15" i="1"/>
  <c r="AO14" i="1"/>
  <c r="AL14" i="1"/>
  <c r="AO13" i="1"/>
  <c r="AL13" i="1"/>
  <c r="AO12" i="1"/>
  <c r="AL12" i="1"/>
  <c r="AO11" i="1"/>
  <c r="AL11" i="1"/>
  <c r="AO10" i="1"/>
  <c r="AL10" i="1"/>
  <c r="AO7" i="1"/>
  <c r="AL7" i="1"/>
  <c r="AO6" i="1"/>
  <c r="AL6" i="1"/>
  <c r="AL40" i="1"/>
  <c r="AO40" i="1"/>
  <c r="AR40" i="1"/>
  <c r="AY52" i="1" l="1"/>
  <c r="AY53" i="1"/>
  <c r="AY51" i="1"/>
  <c r="AY48" i="1"/>
  <c r="AY54" i="1"/>
  <c r="AY50" i="1"/>
  <c r="AY49" i="1"/>
  <c r="AY56" i="1"/>
  <c r="AI40" i="1"/>
  <c r="AV40" i="1"/>
  <c r="A40" i="1"/>
  <c r="AE40" i="1" l="1"/>
  <c r="AF40" i="1" s="1"/>
  <c r="AY57" i="1"/>
  <c r="AY55" i="1"/>
  <c r="A58" i="1"/>
  <c r="C58" i="1"/>
  <c r="AI58" i="1"/>
  <c r="AL58" i="1"/>
  <c r="AO58" i="1"/>
  <c r="AR58" i="1"/>
  <c r="AV58" i="1"/>
  <c r="AY58" i="1"/>
  <c r="A59" i="1"/>
  <c r="C59" i="1"/>
  <c r="AI59" i="1"/>
  <c r="AL59" i="1"/>
  <c r="AO59" i="1"/>
  <c r="AR59" i="1"/>
  <c r="AV59" i="1"/>
  <c r="AY59" i="1"/>
  <c r="A60" i="1"/>
  <c r="C60" i="1"/>
  <c r="AI60" i="1"/>
  <c r="AL60" i="1"/>
  <c r="AO60" i="1"/>
  <c r="AR60" i="1"/>
  <c r="AV60" i="1"/>
  <c r="AY60" i="1"/>
  <c r="A14" i="1"/>
  <c r="AI14" i="1"/>
  <c r="AR14" i="1"/>
  <c r="AV14" i="1"/>
  <c r="AY14" i="1"/>
  <c r="A15" i="1"/>
  <c r="AI15" i="1"/>
  <c r="AR15" i="1"/>
  <c r="AV15" i="1"/>
  <c r="AY15" i="1"/>
  <c r="A16" i="1"/>
  <c r="AI16" i="1"/>
  <c r="AR16" i="1"/>
  <c r="AV16" i="1"/>
  <c r="AY16" i="1"/>
  <c r="A17" i="1"/>
  <c r="AI17" i="1"/>
  <c r="AR17" i="1"/>
  <c r="AV17" i="1"/>
  <c r="AY17" i="1"/>
  <c r="A18" i="1"/>
  <c r="AI18" i="1"/>
  <c r="AR18" i="1"/>
  <c r="AV18" i="1"/>
  <c r="AY18" i="1"/>
  <c r="A19" i="1"/>
  <c r="AI19" i="1"/>
  <c r="AL19" i="1"/>
  <c r="AO19" i="1"/>
  <c r="AR19" i="1"/>
  <c r="AV19" i="1"/>
  <c r="A20" i="1"/>
  <c r="AI20" i="1"/>
  <c r="AL20" i="1"/>
  <c r="AO20" i="1"/>
  <c r="AR20" i="1"/>
  <c r="AV20" i="1"/>
  <c r="A21" i="1"/>
  <c r="AI21" i="1"/>
  <c r="AL21" i="1"/>
  <c r="AO21" i="1"/>
  <c r="AR21" i="1"/>
  <c r="AV21" i="1"/>
  <c r="A22" i="1"/>
  <c r="AI22" i="1"/>
  <c r="AL22" i="1"/>
  <c r="AO22" i="1"/>
  <c r="AR22" i="1"/>
  <c r="AV22" i="1"/>
  <c r="A23" i="1"/>
  <c r="AI23" i="1"/>
  <c r="AL23" i="1"/>
  <c r="AO23" i="1"/>
  <c r="AR23" i="1"/>
  <c r="AV23" i="1"/>
  <c r="A24" i="1"/>
  <c r="AI24" i="1"/>
  <c r="AR24" i="1"/>
  <c r="AV24" i="1"/>
  <c r="AY24" i="1"/>
  <c r="A25" i="1"/>
  <c r="AI25" i="1"/>
  <c r="AL25" i="1"/>
  <c r="AO25" i="1"/>
  <c r="AR25" i="1"/>
  <c r="AV25" i="1"/>
  <c r="A26" i="1"/>
  <c r="AI26" i="1"/>
  <c r="AL26" i="1"/>
  <c r="AO26" i="1"/>
  <c r="AR26" i="1"/>
  <c r="AV26" i="1"/>
  <c r="A27" i="1"/>
  <c r="AI27" i="1"/>
  <c r="AR27" i="1"/>
  <c r="AV27" i="1"/>
  <c r="AY27" i="1"/>
  <c r="A28" i="1"/>
  <c r="AI28" i="1"/>
  <c r="AR28" i="1"/>
  <c r="AV28" i="1"/>
  <c r="AY28" i="1"/>
  <c r="A29" i="1"/>
  <c r="AI29" i="1"/>
  <c r="AR29" i="1"/>
  <c r="AV29" i="1"/>
  <c r="AY29" i="1"/>
  <c r="A30" i="1"/>
  <c r="AI30" i="1"/>
  <c r="AR30" i="1"/>
  <c r="AV30" i="1"/>
  <c r="AY30" i="1"/>
  <c r="A31" i="1"/>
  <c r="AI31" i="1"/>
  <c r="AR31" i="1"/>
  <c r="AV31" i="1"/>
  <c r="AY31" i="1"/>
  <c r="A32" i="1"/>
  <c r="AI32" i="1"/>
  <c r="AR32" i="1"/>
  <c r="AV32" i="1"/>
  <c r="AY32" i="1"/>
  <c r="A33" i="1"/>
  <c r="AI33" i="1"/>
  <c r="AR33" i="1"/>
  <c r="AV33" i="1"/>
  <c r="AY33" i="1"/>
  <c r="A34" i="1"/>
  <c r="AI34" i="1"/>
  <c r="AR34" i="1"/>
  <c r="AV34" i="1"/>
  <c r="AY34" i="1"/>
  <c r="A35" i="1"/>
  <c r="AI35" i="1"/>
  <c r="AR35" i="1"/>
  <c r="AV35" i="1"/>
  <c r="AY35" i="1"/>
  <c r="A36" i="1"/>
  <c r="AI36" i="1"/>
  <c r="AR36" i="1"/>
  <c r="AV36" i="1"/>
  <c r="AY36" i="1"/>
  <c r="A37" i="1"/>
  <c r="AI37" i="1"/>
  <c r="AL37" i="1"/>
  <c r="AO37" i="1"/>
  <c r="AR37" i="1"/>
  <c r="AV37" i="1"/>
  <c r="A38" i="1"/>
  <c r="AI38" i="1"/>
  <c r="AL38" i="1"/>
  <c r="AO38" i="1"/>
  <c r="AR38" i="1"/>
  <c r="AV38" i="1"/>
  <c r="A39" i="1"/>
  <c r="AI39" i="1"/>
  <c r="AL39" i="1"/>
  <c r="AO39" i="1"/>
  <c r="AR39" i="1"/>
  <c r="AV39" i="1"/>
  <c r="A41" i="1"/>
  <c r="AI41" i="1"/>
  <c r="AL41" i="1"/>
  <c r="AO41" i="1"/>
  <c r="AR41" i="1"/>
  <c r="AV41" i="1"/>
  <c r="AY41" i="1"/>
  <c r="A42" i="1"/>
  <c r="AI42" i="1"/>
  <c r="AL42" i="1"/>
  <c r="AO42" i="1"/>
  <c r="AR42" i="1"/>
  <c r="AV42" i="1"/>
  <c r="AY42" i="1"/>
  <c r="A43" i="1"/>
  <c r="AI43" i="1"/>
  <c r="AL43" i="1"/>
  <c r="AO43" i="1"/>
  <c r="AR43" i="1"/>
  <c r="AV43" i="1"/>
  <c r="AY43" i="1"/>
  <c r="A44" i="1"/>
  <c r="AI44" i="1"/>
  <c r="AL44" i="1"/>
  <c r="AO44" i="1"/>
  <c r="AR44" i="1"/>
  <c r="AV44" i="1"/>
  <c r="AY44" i="1"/>
  <c r="A45" i="1"/>
  <c r="AI45" i="1"/>
  <c r="AL45" i="1"/>
  <c r="AO45" i="1"/>
  <c r="AR45" i="1"/>
  <c r="AV45" i="1"/>
  <c r="AY45" i="1"/>
  <c r="A46" i="1"/>
  <c r="AI46" i="1"/>
  <c r="AL46" i="1"/>
  <c r="AO46" i="1"/>
  <c r="AR46" i="1"/>
  <c r="AV46" i="1"/>
  <c r="AY46" i="1"/>
  <c r="A47" i="1"/>
  <c r="AI47" i="1"/>
  <c r="AL47" i="1"/>
  <c r="AO47" i="1"/>
  <c r="AR47" i="1"/>
  <c r="AV47" i="1"/>
  <c r="AY47" i="1"/>
  <c r="A48" i="1"/>
  <c r="AI48" i="1"/>
  <c r="AL48" i="1"/>
  <c r="AO48" i="1"/>
  <c r="AR48" i="1"/>
  <c r="AV48" i="1"/>
  <c r="A49" i="1"/>
  <c r="AI49" i="1"/>
  <c r="AL49" i="1"/>
  <c r="AO49" i="1"/>
  <c r="AR49" i="1"/>
  <c r="AV49" i="1"/>
  <c r="A50" i="1"/>
  <c r="AI50" i="1"/>
  <c r="AL50" i="1"/>
  <c r="AO50" i="1"/>
  <c r="AR50" i="1"/>
  <c r="AV50" i="1"/>
  <c r="A51" i="1"/>
  <c r="AI51" i="1"/>
  <c r="AL51" i="1"/>
  <c r="AO51" i="1"/>
  <c r="AR51" i="1"/>
  <c r="AV51" i="1"/>
  <c r="A52" i="1"/>
  <c r="AI52" i="1"/>
  <c r="AL52" i="1"/>
  <c r="AO52" i="1"/>
  <c r="AR52" i="1"/>
  <c r="AV52" i="1"/>
  <c r="A53" i="1"/>
  <c r="AI53" i="1"/>
  <c r="AL53" i="1"/>
  <c r="AO53" i="1"/>
  <c r="AR53" i="1"/>
  <c r="AV53" i="1"/>
  <c r="A54" i="1"/>
  <c r="AI54" i="1"/>
  <c r="AL54" i="1"/>
  <c r="AO54" i="1"/>
  <c r="AR54" i="1"/>
  <c r="AV54" i="1"/>
  <c r="A55" i="1"/>
  <c r="AI55" i="1"/>
  <c r="AL55" i="1"/>
  <c r="AO55" i="1"/>
  <c r="AR55" i="1"/>
  <c r="AV55" i="1"/>
  <c r="A56" i="1"/>
  <c r="AI56" i="1"/>
  <c r="AL56" i="1"/>
  <c r="AO56" i="1"/>
  <c r="AR56" i="1"/>
  <c r="AV56" i="1"/>
  <c r="A57" i="1"/>
  <c r="AI57" i="1"/>
  <c r="AL57" i="1"/>
  <c r="AO57" i="1"/>
  <c r="AR57" i="1"/>
  <c r="AV57" i="1"/>
  <c r="A61" i="1"/>
  <c r="C61" i="1"/>
  <c r="AI61" i="1"/>
  <c r="AL61" i="1"/>
  <c r="AO61" i="1"/>
  <c r="AR61" i="1"/>
  <c r="AV61" i="1"/>
  <c r="AY61" i="1"/>
  <c r="A62" i="1"/>
  <c r="C62" i="1"/>
  <c r="AI62" i="1"/>
  <c r="AL62" i="1"/>
  <c r="AO62" i="1"/>
  <c r="AR62" i="1"/>
  <c r="AV62" i="1"/>
  <c r="AY62" i="1"/>
  <c r="A63" i="1"/>
  <c r="C63" i="1"/>
  <c r="AI63" i="1"/>
  <c r="AL63" i="1"/>
  <c r="AO63" i="1"/>
  <c r="AR63" i="1"/>
  <c r="AV63" i="1"/>
  <c r="AY63" i="1"/>
  <c r="A64" i="1"/>
  <c r="C64" i="1"/>
  <c r="AI64" i="1"/>
  <c r="AL64" i="1"/>
  <c r="AO64" i="1"/>
  <c r="AR64" i="1"/>
  <c r="AV64" i="1"/>
  <c r="AY64" i="1"/>
  <c r="A65" i="1"/>
  <c r="C65" i="1"/>
  <c r="AI65" i="1"/>
  <c r="AL65" i="1"/>
  <c r="AO65" i="1"/>
  <c r="AR65" i="1"/>
  <c r="AV65" i="1"/>
  <c r="AY65" i="1"/>
  <c r="C77" i="1"/>
  <c r="C76" i="1"/>
  <c r="C75" i="1"/>
  <c r="C74" i="1"/>
  <c r="C73" i="1"/>
  <c r="C72" i="1"/>
  <c r="C71" i="1"/>
  <c r="C70" i="1"/>
  <c r="C69" i="1"/>
  <c r="C68" i="1"/>
  <c r="C67" i="1"/>
  <c r="C66" i="1"/>
  <c r="A1" i="1"/>
  <c r="BA2" i="1" s="1"/>
  <c r="AE25" i="1" l="1"/>
  <c r="AF25" i="1" s="1"/>
  <c r="AE51" i="1"/>
  <c r="AF51" i="1" s="1"/>
  <c r="AE18" i="1"/>
  <c r="AF18" i="1" s="1"/>
  <c r="AE60" i="1"/>
  <c r="AF60" i="1" s="1"/>
  <c r="AE22" i="1"/>
  <c r="AF22" i="1" s="1"/>
  <c r="AE38" i="1"/>
  <c r="AF38" i="1" s="1"/>
  <c r="AE55" i="1"/>
  <c r="AF55" i="1" s="1"/>
  <c r="AE26" i="1"/>
  <c r="AF26" i="1" s="1"/>
  <c r="AE63" i="1"/>
  <c r="AF63" i="1" s="1"/>
  <c r="AE41" i="1"/>
  <c r="AF41" i="1" s="1"/>
  <c r="AE15" i="1"/>
  <c r="AF15" i="1" s="1"/>
  <c r="AE34" i="1"/>
  <c r="AF34" i="1" s="1"/>
  <c r="AE56" i="1"/>
  <c r="AF56" i="1" s="1"/>
  <c r="AE58" i="1"/>
  <c r="AF58" i="1" s="1"/>
  <c r="AE65" i="1"/>
  <c r="AF65" i="1" s="1"/>
  <c r="AE47" i="1"/>
  <c r="AF47" i="1" s="1"/>
  <c r="AE57" i="1"/>
  <c r="AF57" i="1" s="1"/>
  <c r="AE43" i="1"/>
  <c r="AF43" i="1" s="1"/>
  <c r="AE39" i="1"/>
  <c r="AF39" i="1" s="1"/>
  <c r="AE30" i="1"/>
  <c r="AF30" i="1" s="1"/>
  <c r="AE59" i="1"/>
  <c r="AF59" i="1" s="1"/>
  <c r="AS2" i="1"/>
  <c r="AE42" i="1"/>
  <c r="AF42" i="1" s="1"/>
  <c r="AE24" i="1"/>
  <c r="AF24" i="1" s="1"/>
  <c r="AE64" i="1"/>
  <c r="AF64" i="1" s="1"/>
  <c r="AE23" i="1"/>
  <c r="AF23" i="1" s="1"/>
  <c r="AE14" i="1"/>
  <c r="AF14" i="1" s="1"/>
  <c r="AE50" i="1"/>
  <c r="AF50" i="1" s="1"/>
  <c r="AE49" i="1"/>
  <c r="AF49" i="1" s="1"/>
  <c r="AE48" i="1"/>
  <c r="AF48" i="1" s="1"/>
  <c r="AE33" i="1"/>
  <c r="AF33" i="1" s="1"/>
  <c r="AE32" i="1"/>
  <c r="AF32" i="1" s="1"/>
  <c r="AE31" i="1"/>
  <c r="AF31" i="1" s="1"/>
  <c r="AE17" i="1"/>
  <c r="AF17" i="1" s="1"/>
  <c r="AE16" i="1"/>
  <c r="AF16" i="1" s="1"/>
  <c r="AE46" i="1"/>
  <c r="AF46" i="1" s="1"/>
  <c r="AE45" i="1"/>
  <c r="AF45" i="1" s="1"/>
  <c r="AE44" i="1"/>
  <c r="AF44" i="1" s="1"/>
  <c r="AE29" i="1"/>
  <c r="AF29" i="1" s="1"/>
  <c r="AE28" i="1"/>
  <c r="AF28" i="1" s="1"/>
  <c r="AE27" i="1"/>
  <c r="AF27" i="1" s="1"/>
  <c r="AE62" i="1"/>
  <c r="AF62" i="1" s="1"/>
  <c r="AE61" i="1"/>
  <c r="AF61" i="1" s="1"/>
  <c r="AE54" i="1"/>
  <c r="AF54" i="1" s="1"/>
  <c r="AE53" i="1"/>
  <c r="AF53" i="1" s="1"/>
  <c r="AE52" i="1"/>
  <c r="AF52" i="1" s="1"/>
  <c r="AE37" i="1"/>
  <c r="AF37" i="1" s="1"/>
  <c r="AE36" i="1"/>
  <c r="AF36" i="1" s="1"/>
  <c r="AE35" i="1"/>
  <c r="AF35" i="1" s="1"/>
  <c r="AE21" i="1"/>
  <c r="AF21" i="1" s="1"/>
  <c r="AE20" i="1"/>
  <c r="AF20" i="1" s="1"/>
  <c r="AE19" i="1"/>
  <c r="AF19" i="1" s="1"/>
  <c r="AY77" i="1"/>
  <c r="AV77" i="1"/>
  <c r="AR77" i="1"/>
  <c r="AO77" i="1"/>
  <c r="AL77" i="1"/>
  <c r="AI77" i="1"/>
  <c r="A77" i="1"/>
  <c r="AY76" i="1"/>
  <c r="AV76" i="1"/>
  <c r="AR76" i="1"/>
  <c r="AO76" i="1"/>
  <c r="AL76" i="1"/>
  <c r="AI76" i="1"/>
  <c r="A76" i="1"/>
  <c r="AY75" i="1"/>
  <c r="AV75" i="1"/>
  <c r="AR75" i="1"/>
  <c r="AO75" i="1"/>
  <c r="AL75" i="1"/>
  <c r="AI75" i="1"/>
  <c r="A75" i="1"/>
  <c r="AY74" i="1"/>
  <c r="AV74" i="1"/>
  <c r="AR74" i="1"/>
  <c r="AO74" i="1"/>
  <c r="AL74" i="1"/>
  <c r="AI74" i="1"/>
  <c r="A74" i="1"/>
  <c r="AY73" i="1"/>
  <c r="AV73" i="1"/>
  <c r="AR73" i="1"/>
  <c r="AO73" i="1"/>
  <c r="AL73" i="1"/>
  <c r="AI73" i="1"/>
  <c r="A73" i="1"/>
  <c r="AY72" i="1"/>
  <c r="AV72" i="1"/>
  <c r="AR72" i="1"/>
  <c r="AO72" i="1"/>
  <c r="AL72" i="1"/>
  <c r="AI72" i="1"/>
  <c r="A72" i="1"/>
  <c r="AY71" i="1"/>
  <c r="AV71" i="1"/>
  <c r="AR71" i="1"/>
  <c r="AO71" i="1"/>
  <c r="AL71" i="1"/>
  <c r="AI71" i="1"/>
  <c r="A71" i="1"/>
  <c r="AY70" i="1"/>
  <c r="AV70" i="1"/>
  <c r="AR70" i="1"/>
  <c r="AO70" i="1"/>
  <c r="AL70" i="1"/>
  <c r="AI70" i="1"/>
  <c r="A70" i="1"/>
  <c r="AY69" i="1"/>
  <c r="AV69" i="1"/>
  <c r="AR69" i="1"/>
  <c r="AO69" i="1"/>
  <c r="AL69" i="1"/>
  <c r="AI69" i="1"/>
  <c r="A69" i="1"/>
  <c r="AY68" i="1"/>
  <c r="AV68" i="1"/>
  <c r="AR68" i="1"/>
  <c r="AO68" i="1"/>
  <c r="AL68" i="1"/>
  <c r="AI68" i="1"/>
  <c r="A68" i="1"/>
  <c r="AY67" i="1"/>
  <c r="AV67" i="1"/>
  <c r="AR67" i="1"/>
  <c r="AO67" i="1"/>
  <c r="AL67" i="1"/>
  <c r="AI67" i="1"/>
  <c r="A67" i="1"/>
  <c r="AY66" i="1"/>
  <c r="AV66" i="1"/>
  <c r="AR66" i="1"/>
  <c r="AO66" i="1"/>
  <c r="AL66" i="1"/>
  <c r="AI66" i="1"/>
  <c r="A66" i="1"/>
  <c r="AY13" i="1"/>
  <c r="AV13" i="1"/>
  <c r="AR13" i="1"/>
  <c r="AI13" i="1"/>
  <c r="A13" i="1"/>
  <c r="AY12" i="1"/>
  <c r="AV12" i="1"/>
  <c r="AR12" i="1"/>
  <c r="AI12" i="1"/>
  <c r="A12" i="1"/>
  <c r="AY11" i="1"/>
  <c r="AV11" i="1"/>
  <c r="AR11" i="1"/>
  <c r="AI11" i="1"/>
  <c r="A11" i="1"/>
  <c r="AY10" i="1"/>
  <c r="AV10" i="1"/>
  <c r="AR10" i="1"/>
  <c r="AI10" i="1"/>
  <c r="A10" i="1"/>
  <c r="AV9" i="1"/>
  <c r="AR9" i="1"/>
  <c r="AO9" i="1"/>
  <c r="AL9" i="1"/>
  <c r="AI9" i="1"/>
  <c r="A9" i="1"/>
  <c r="AV8" i="1"/>
  <c r="AR8" i="1"/>
  <c r="AO8" i="1"/>
  <c r="AL8" i="1"/>
  <c r="AI8" i="1"/>
  <c r="A8" i="1"/>
  <c r="AY7" i="1"/>
  <c r="AV7" i="1"/>
  <c r="AR7" i="1"/>
  <c r="AI7" i="1"/>
  <c r="A7" i="1"/>
  <c r="AY6" i="1"/>
  <c r="AV6" i="1"/>
  <c r="AR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0" i="1" l="1"/>
  <c r="AF70" i="1" s="1"/>
  <c r="AE7" i="1"/>
  <c r="AF7" i="1" s="1"/>
  <c r="AE11" i="1"/>
  <c r="AF11" i="1" s="1"/>
  <c r="AE12" i="1"/>
  <c r="AF12" i="1" s="1"/>
  <c r="AE13" i="1"/>
  <c r="AF13" i="1" s="1"/>
  <c r="AE69" i="1"/>
  <c r="AF69" i="1" s="1"/>
  <c r="AE68" i="1"/>
  <c r="AF68" i="1" s="1"/>
  <c r="AR2" i="1"/>
  <c r="AE77" i="1"/>
  <c r="AF77" i="1" s="1"/>
  <c r="AV2" i="1"/>
  <c r="AE76" i="1"/>
  <c r="AF76" i="1" s="1"/>
  <c r="AE74" i="1"/>
  <c r="AF74" i="1" s="1"/>
  <c r="AE66" i="1"/>
  <c r="AF66" i="1" s="1"/>
  <c r="AY2" i="1"/>
  <c r="AE75" i="1"/>
  <c r="AF75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73" i="1"/>
  <c r="AF73" i="1" s="1"/>
  <c r="AE72" i="1"/>
  <c r="AF72" i="1" s="1"/>
  <c r="AE71" i="1"/>
  <c r="AF71" i="1" s="1"/>
  <c r="AE67" i="1"/>
  <c r="AF67" i="1" s="1"/>
  <c r="AE4" i="1"/>
  <c r="AF4" i="1" s="1"/>
</calcChain>
</file>

<file path=xl/sharedStrings.xml><?xml version="1.0" encoding="utf-8"?>
<sst xmlns="http://schemas.openxmlformats.org/spreadsheetml/2006/main" count="824" uniqueCount="245">
  <si>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</si>
  <si>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</si>
  <si>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</si>
  <si>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</si>
  <si>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</si>
  <si>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</si>
  <si>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</si>
  <si>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</si>
  <si>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</si>
  <si>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</si>
  <si>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</si>
  <si>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</si>
  <si>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</si>
  <si>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</si>
  <si>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</si>
  <si>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</si>
  <si>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</si>
  <si>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</si>
  <si>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</si>
  <si>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</si>
  <si>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</si>
  <si>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</si>
  <si>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</si>
  <si>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</si>
  <si>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</si>
  <si>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</si>
  <si>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</si>
  <si>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</si>
  <si>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</si>
  <si>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</si>
  <si>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</si>
  <si>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</si>
  <si>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</si>
  <si>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</si>
  <si>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</si>
  <si>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</si>
  <si>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</si>
  <si>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</si>
  <si>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</si>
  <si>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</si>
  <si>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</si>
  <si>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</si>
  <si>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</si>
  <si>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</si>
  <si>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</si>
  <si>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</si>
  <si>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</si>
  <si>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</si>
  <si>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</si>
  <si>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</si>
  <si>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</si>
  <si>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</si>
  <si>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</si>
  <si>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</si>
  <si>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</si>
  <si>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</si>
  <si>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</si>
  <si>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</si>
  <si>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</si>
  <si>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</si>
  <si>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</si>
  <si>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</si>
  <si>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</si>
  <si>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</si>
  <si>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</si>
  <si>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</si>
  <si>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</si>
  <si>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</si>
  <si>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</si>
  <si>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V17564-DWXD-7401</t>
  </si>
  <si>
    <t>CO-FL-1</t>
  </si>
  <si>
    <t xml:space="preserve">FIELD LINER </t>
  </si>
  <si>
    <t>V17564-DWXD-7402</t>
  </si>
  <si>
    <t>CO-FL-2</t>
  </si>
  <si>
    <t>V17564-DWXD-7403</t>
  </si>
  <si>
    <t>CO-FL-3</t>
  </si>
  <si>
    <t>V17564-DWXD-7404</t>
  </si>
  <si>
    <t>CO-FL-4</t>
  </si>
  <si>
    <t>V17564-DWXD-7405</t>
  </si>
  <si>
    <t>CO-FL-5</t>
  </si>
  <si>
    <t>V17564-DWXD-7406</t>
  </si>
  <si>
    <t>CO-FL-6</t>
  </si>
  <si>
    <t>V17564-DWXD-7407</t>
  </si>
  <si>
    <t>CO-FL-7</t>
  </si>
  <si>
    <t>V17564-DWXD-7408</t>
  </si>
  <si>
    <t>CO-FL-8</t>
  </si>
  <si>
    <t>V17564-DWXD-7409</t>
  </si>
  <si>
    <t>CO-FL-9</t>
  </si>
  <si>
    <t>V17564-DWXD-7410</t>
  </si>
  <si>
    <t>CO-FL-10</t>
  </si>
  <si>
    <t>V17564-DWXD-7411</t>
  </si>
  <si>
    <t>CO-FL-11</t>
  </si>
  <si>
    <t>V17564-DWXD-7412</t>
  </si>
  <si>
    <t>CO-FL-12</t>
  </si>
  <si>
    <t>V17564-DWXD-7413</t>
  </si>
  <si>
    <t>CO-FL-13</t>
  </si>
  <si>
    <t>V17564-DWXD-7414</t>
  </si>
  <si>
    <t>CO-FL-14</t>
  </si>
  <si>
    <t>V17564-DWXD-7415</t>
  </si>
  <si>
    <t>CO-FL-15</t>
  </si>
  <si>
    <t>V17564-DWXD-7416</t>
  </si>
  <si>
    <t>CO-FL-16</t>
  </si>
  <si>
    <t>V17564-DWXD-7417</t>
  </si>
  <si>
    <t>CO-FL-17</t>
  </si>
  <si>
    <t>V17564-DWXD-7418</t>
  </si>
  <si>
    <t>CO-FL-18</t>
  </si>
  <si>
    <t>V17564-DWXD-7419</t>
  </si>
  <si>
    <t>CO-FL-19</t>
  </si>
  <si>
    <t>V17564-DWXD-7420</t>
  </si>
  <si>
    <t>CO-FL-20</t>
  </si>
  <si>
    <t>V17564-DWXD-7421</t>
  </si>
  <si>
    <t>CO-FL-21</t>
  </si>
  <si>
    <t>V17564-DWXD-7422</t>
  </si>
  <si>
    <t>CO-FL-22</t>
  </si>
  <si>
    <t>V17564-DWXD-7423</t>
  </si>
  <si>
    <t>CO-FL-23</t>
  </si>
  <si>
    <t>V17564-DWXD-7424</t>
  </si>
  <si>
    <t>CO-FL-24</t>
  </si>
  <si>
    <t>V17564-DWXD-7425</t>
  </si>
  <si>
    <t>CO-FL-25</t>
  </si>
  <si>
    <t>V17564-DWXD-7426</t>
  </si>
  <si>
    <t>CO-FL-26</t>
  </si>
  <si>
    <t>V17564-DWXD-7427</t>
  </si>
  <si>
    <t>CO-FL-27</t>
  </si>
  <si>
    <t>V17564-DWXD-7428</t>
  </si>
  <si>
    <t>CO-FL-28</t>
  </si>
  <si>
    <t>V17564-DWXD-7429</t>
  </si>
  <si>
    <t>CO-FL-29</t>
  </si>
  <si>
    <t>V17564-DWXD-7430</t>
  </si>
  <si>
    <t>CO-FL-30</t>
  </si>
  <si>
    <t>V17564-DWXD-7431</t>
  </si>
  <si>
    <t>CO-FL-31</t>
  </si>
  <si>
    <t>V17564-DWXD-7432</t>
  </si>
  <si>
    <t>CO-FL-32</t>
  </si>
  <si>
    <t>V17564-DWXD-7433</t>
  </si>
  <si>
    <t>CO-FL-33</t>
  </si>
  <si>
    <t>V17564-DWXD-7435</t>
  </si>
  <si>
    <t>CO-PL-1</t>
  </si>
  <si>
    <t xml:space="preserve">PLATE </t>
  </si>
  <si>
    <t>V17564-DWXD-7488</t>
  </si>
  <si>
    <t>CO-PL-2</t>
  </si>
  <si>
    <t>CO-PL-3</t>
  </si>
  <si>
    <t>V17564-DWXD-7436</t>
  </si>
  <si>
    <t>CO-RC-1</t>
  </si>
  <si>
    <t xml:space="preserve">RETAINER CLIP </t>
  </si>
  <si>
    <t>V17564-DWXD-7437</t>
  </si>
  <si>
    <t>COB-1</t>
  </si>
  <si>
    <t xml:space="preserve">CHANNEL </t>
  </si>
  <si>
    <t>V17564-DWXD-7440</t>
  </si>
  <si>
    <t>COB-2</t>
  </si>
  <si>
    <t xml:space="preserve">BUILT-UP H-BEAM </t>
  </si>
  <si>
    <t>V17564-DWXD-7443</t>
  </si>
  <si>
    <t>COB-3</t>
  </si>
  <si>
    <t>V17564-DWXD-7446</t>
  </si>
  <si>
    <t>COL-1</t>
  </si>
  <si>
    <t>V17564-DWXD-7449</t>
  </si>
  <si>
    <t>COL-2</t>
  </si>
  <si>
    <t>V17564-DWXD-7452</t>
  </si>
  <si>
    <t>COL-3</t>
  </si>
  <si>
    <t>V17564-DWXD-7457</t>
  </si>
  <si>
    <t>COL-4</t>
  </si>
  <si>
    <t xml:space="preserve">ANGLE </t>
  </si>
  <si>
    <t>V17564-DWXD-7460</t>
  </si>
  <si>
    <t>COL-5</t>
  </si>
  <si>
    <t>V17564-DWXD-7463</t>
  </si>
  <si>
    <t>COR-1</t>
  </si>
  <si>
    <t>V17564-DWXD-7466</t>
  </si>
  <si>
    <t>COR-2</t>
  </si>
  <si>
    <t>V17564-DWXD-7469</t>
  </si>
  <si>
    <t>COR-3</t>
  </si>
  <si>
    <t>V17564-DWXD-7474</t>
  </si>
  <si>
    <t>COR-4</t>
  </si>
  <si>
    <t>V17564-DWXD-7477</t>
  </si>
  <si>
    <t>COR-5</t>
  </si>
  <si>
    <t>V17564-DWXD-7480</t>
  </si>
  <si>
    <t>COT-1</t>
  </si>
  <si>
    <t>V17564-DWXD-7483</t>
  </si>
  <si>
    <t>COT-2</t>
  </si>
  <si>
    <t>V17564-DWXD-7486</t>
  </si>
  <si>
    <t>COT-3</t>
  </si>
  <si>
    <t>Shipment 2</t>
  </si>
  <si>
    <t>CO-SCR Duct U1</t>
  </si>
  <si>
    <t>U276</t>
  </si>
  <si>
    <t>Shipment 2 CO-SCR Duct</t>
  </si>
  <si>
    <t>HRSG</t>
  </si>
  <si>
    <t>V17564-DWND-0054</t>
  </si>
  <si>
    <t>V17564-DWND-0023</t>
  </si>
  <si>
    <t>V17564-DWND-0024</t>
  </si>
  <si>
    <t>V17564-DWND-0020</t>
  </si>
  <si>
    <t>(1219x2x362)</t>
  </si>
  <si>
    <t>(648x193x193)</t>
  </si>
  <si>
    <t>(362x3x946)</t>
  </si>
  <si>
    <t>(929x2x362)</t>
  </si>
  <si>
    <t>(933x193x193)</t>
  </si>
  <si>
    <t>(362x2x604)</t>
  </si>
  <si>
    <t>(362x2x1219)</t>
  </si>
  <si>
    <t>(362x2x971)</t>
  </si>
  <si>
    <t>(362x3x489)</t>
  </si>
  <si>
    <t>(362x2x946)</t>
  </si>
  <si>
    <t>(362x3x1105)</t>
  </si>
  <si>
    <t>(362x3x1219)</t>
  </si>
  <si>
    <t>(362x2x375)</t>
  </si>
  <si>
    <t>(1215x193x193)</t>
  </si>
  <si>
    <t>(1219x193x193)</t>
  </si>
  <si>
    <t>(675x193x193)</t>
  </si>
  <si>
    <t>(1007x2x362)</t>
  </si>
  <si>
    <t>(828x193x193)</t>
  </si>
  <si>
    <t>(648x192x192)</t>
  </si>
  <si>
    <t>(933x192x192)</t>
  </si>
  <si>
    <t>(1215x192x192)</t>
  </si>
  <si>
    <t>(1219x192x192)</t>
  </si>
  <si>
    <t>(675x192x192)</t>
  </si>
  <si>
    <t>(828x192x192)</t>
  </si>
  <si>
    <t>(305x10x76)</t>
  </si>
  <si>
    <t>(51x6x89)</t>
  </si>
  <si>
    <t>(51x6x19)</t>
  </si>
  <si>
    <t>(51x5x102)</t>
  </si>
  <si>
    <t>(378x2353x6154)</t>
  </si>
  <si>
    <t>(1472x2941x6191)</t>
  </si>
  <si>
    <t>(378x1288x6154)</t>
  </si>
  <si>
    <t>(346x2328x12264)</t>
  </si>
  <si>
    <t>(490x2328x12469)</t>
  </si>
  <si>
    <t>(1208x2991x30910)</t>
  </si>
  <si>
    <t>(490x1263x12463)</t>
  </si>
  <si>
    <t>(296x1263x12258)</t>
  </si>
  <si>
    <t>(363x2353x6154)</t>
  </si>
  <si>
    <t>(1389x2941x6191)</t>
  </si>
  <si>
    <t>(363x1288x6154)</t>
  </si>
  <si>
    <t>PAC</t>
  </si>
  <si>
    <t>U276-002</t>
  </si>
  <si>
    <t>U276-001</t>
  </si>
  <si>
    <t>U276-003</t>
  </si>
  <si>
    <t>U276-004</t>
  </si>
  <si>
    <t>V17564-DWXD-7491</t>
  </si>
  <si>
    <t>CO-PL-4</t>
  </si>
  <si>
    <t xml:space="preserve">(836x6x184) </t>
  </si>
  <si>
    <t>V17564-PWND-0061</t>
  </si>
  <si>
    <t>U276-005</t>
  </si>
  <si>
    <t>U276-006</t>
  </si>
  <si>
    <t>U276-007</t>
  </si>
  <si>
    <t>U276-006-1</t>
  </si>
  <si>
    <t>U276-009</t>
  </si>
  <si>
    <t>U276-007-1</t>
  </si>
  <si>
    <t>Đã đóng kiện, không làm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</si>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</sst>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19.370086921299" createdVersion="8" refreshedVersion="8" minRefreshableVersion="3" recordCount="74" xr:uid="{4067F58C-28E2-44CB-8FA2-A8EFFD878FFB}">
  <cacheSource type="worksheet">
    <worksheetSource ref="A3:BA77" sheet="Progress"/>
  </cacheSource>
  <cacheFields count="53">
    <cacheField name="TT" numFmtId="0">
      <sharedItems containsMixedTypes="1" containsNumber="1" containsInteger="1" minValue="1" maxValue="53"/>
    </cacheField>
    <cacheField name="Số Dự Án" numFmtId="0">
      <sharedItems containsBlank="1" count="2">
        <s v="U276"/>
        <m/>
      </sharedItems>
    </cacheField>
    <cacheField name="Group ID" numFmtId="0">
      <sharedItems/>
    </cacheField>
    <cacheField name="Group/Shipment" numFmtId="0">
      <sharedItems containsBlank="1" count="2">
        <s v="Shipment 2"/>
        <m/>
      </sharedItems>
    </cacheField>
    <cacheField name="Hạng mục" numFmtId="0">
      <sharedItems containsBlank="1" count="3">
        <s v="CO-SCR Duct U1"/>
        <m/>
        <s v="CO-SCR Duct U2" u="1"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String="0" containsBlank="1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86"/>
    </cacheField>
    <cacheField name="U.Weight" numFmtId="43">
      <sharedItems containsString="0" containsBlank="1" containsNumber="1" minValue="4.9999999999999996E-2" maxValue="26962.700000000004"/>
    </cacheField>
    <cacheField name="T.Weight" numFmtId="43">
      <sharedItems containsString="0" containsBlank="1" containsNumber="1" minValue="0.3" maxValue="26962.700000000004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26962.700000000004"/>
    </cacheField>
    <cacheField name="Còn lại" numFmtId="43">
      <sharedItems containsSemiMixedTypes="0" containsString="0" containsNumber="1" containsInteger="1" minValue="0" maxValue="2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minValue="0.85" maxValue="1"/>
    </cacheField>
    <cacheField name="Khối lượng" numFmtId="164">
      <sharedItems containsSemiMixedTypes="0" containsString="0" containsNumber="1" minValue="0" maxValue="26962.700000000004"/>
    </cacheField>
    <cacheField name="Ngày Gá" numFmtId="14">
      <sharedItems containsNonDate="0" containsDate="1" containsString="0" containsBlank="1" minDate="2026-01-24T00:00:00" maxDate="2026-05-21T00:00:00"/>
    </cacheField>
    <cacheField name="SL Gá" numFmtId="0">
      <sharedItems containsString="0" containsBlank="1" containsNumber="1" containsInteger="1" minValue="1" maxValue="86"/>
    </cacheField>
    <cacheField name="KL Gá" numFmtId="43">
      <sharedItems containsSemiMixedTypes="0" containsString="0" containsNumber="1" minValue="0" maxValue="26962.700000000004"/>
    </cacheField>
    <cacheField name="Ngày Hàn" numFmtId="14">
      <sharedItems containsNonDate="0" containsDate="1" containsString="0" containsBlank="1" minDate="2026-02-04T00:00:00" maxDate="2026-05-21T00:00:00"/>
    </cacheField>
    <cacheField name="SL Hàn" numFmtId="0">
      <sharedItems containsString="0" containsBlank="1" containsNumber="1" containsInteger="1" minValue="1" maxValue="86"/>
    </cacheField>
    <cacheField name="KL Hàn" numFmtId="43">
      <sharedItems containsSemiMixedTypes="0" containsString="0" containsNumber="1" minValue="0" maxValue="26962.700000000004"/>
    </cacheField>
    <cacheField name="Ngày TH" numFmtId="14">
      <sharedItems containsNonDate="0" containsDate="1" containsString="0" containsBlank="1" minDate="2026-04-08T00:00:00" maxDate="2026-04-09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26962.700000000004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4-08T00:00:00" maxDate="2026-05-21T00:00:00"/>
    </cacheField>
    <cacheField name="SL NT" numFmtId="0">
      <sharedItems containsString="0" containsBlank="1" containsNumber="1" containsInteger="1" minValue="1" maxValue="86"/>
    </cacheField>
    <cacheField name="KL NT" numFmtId="43">
      <sharedItems containsSemiMixedTypes="0" containsString="0" containsNumber="1" minValue="0" maxValue="26962.700000000004"/>
    </cacheField>
    <cacheField name="Ngày BG" numFmtId="14">
      <sharedItems containsNonDate="0" containsDate="1" containsString="0" containsBlank="1" minDate="2026-04-10T00:00:00" maxDate="2026-05-22T00:00:00"/>
    </cacheField>
    <cacheField name="SL BG" numFmtId="0">
      <sharedItems containsString="0" containsBlank="1" containsNumber="1" containsInteger="1" minValue="1" maxValue="86"/>
    </cacheField>
    <cacheField name="KL BG" numFmtId="43">
      <sharedItems containsSemiMixedTypes="0" containsString="0" containsNumber="1" minValue="0" maxValue="26962.700000000004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1"/>
    <x v="0"/>
    <s v="Shipment 2 CO-SCR Duct"/>
    <x v="0"/>
    <x v="0"/>
    <m/>
    <m/>
    <s v="HRSG"/>
    <m/>
    <s v="Mr Vinh"/>
    <s v="V17564-DWXD-7401"/>
    <s v="CO-FL-1"/>
    <s v="FIELD LINER "/>
    <n v="86"/>
    <n v="5.2488372093023257"/>
    <n v="451.4"/>
    <s v="(1219x2x362)"/>
    <m/>
    <s v="V17564-DWND-0054"/>
    <m/>
    <m/>
    <m/>
    <m/>
    <m/>
    <m/>
    <m/>
    <m/>
    <m/>
    <m/>
    <m/>
    <n v="451.40000000000003"/>
    <n v="0"/>
    <m/>
    <n v="1"/>
    <n v="451.4"/>
    <d v="2026-05-20T00:00:00"/>
    <n v="86"/>
    <n v="451.40000000000003"/>
    <d v="2026-05-20T00:00:00"/>
    <n v="86"/>
    <n v="451.40000000000003"/>
    <m/>
    <m/>
    <n v="0"/>
    <s v="U276-007-1"/>
    <d v="2026-05-20T00:00:00"/>
    <n v="86"/>
    <n v="451.40000000000003"/>
    <d v="2026-05-20T00:00:00"/>
    <n v="86"/>
    <n v="451.40000000000003"/>
    <s v="PAC"/>
    <s v="U276-006-1"/>
  </r>
  <r>
    <n v="2"/>
    <x v="0"/>
    <s v="Shipment 2 CO-SCR Duct"/>
    <x v="0"/>
    <x v="0"/>
    <m/>
    <m/>
    <s v="HRSG"/>
    <m/>
    <s v="Mr Vinh"/>
    <s v="V17564-DWXD-7402"/>
    <s v="CO-FL-2"/>
    <s v="FIELD LINER "/>
    <n v="2"/>
    <n v="5.0999999999999996"/>
    <n v="10.199999999999999"/>
    <s v="(648x193x193)"/>
    <m/>
    <s v="V17564-DWND-0054"/>
    <m/>
    <m/>
    <m/>
    <m/>
    <m/>
    <m/>
    <m/>
    <m/>
    <m/>
    <m/>
    <m/>
    <n v="10.199999999999999"/>
    <n v="0"/>
    <m/>
    <n v="1"/>
    <n v="10.199999999999999"/>
    <d v="2026-05-20T00:00:00"/>
    <n v="2"/>
    <n v="10.199999999999999"/>
    <d v="2026-05-20T00:00:00"/>
    <n v="2"/>
    <n v="10.199999999999999"/>
    <m/>
    <m/>
    <n v="0"/>
    <s v="U276-009"/>
    <d v="2026-05-20T00:00:00"/>
    <n v="2"/>
    <n v="10.199999999999999"/>
    <d v="2026-05-21T00:00:00"/>
    <n v="2"/>
    <n v="10.199999999999999"/>
    <s v="PAC"/>
    <s v="U276-007"/>
  </r>
  <r>
    <n v="3"/>
    <x v="0"/>
    <s v="Shipment 2 CO-SCR Duct"/>
    <x v="0"/>
    <x v="0"/>
    <m/>
    <m/>
    <s v="HRSG"/>
    <m/>
    <s v="Mr Vinh"/>
    <s v="V17564-DWXD-7403"/>
    <s v="CO-FL-3"/>
    <s v="FIELD LINER "/>
    <n v="1"/>
    <n v="7.1"/>
    <n v="7.1"/>
    <s v="(362x3x946)"/>
    <m/>
    <s v="V17564-DWND-0054"/>
    <m/>
    <m/>
    <m/>
    <m/>
    <m/>
    <m/>
    <m/>
    <m/>
    <m/>
    <m/>
    <m/>
    <n v="7.1"/>
    <n v="0"/>
    <m/>
    <n v="1"/>
    <n v="7.1"/>
    <d v="2026-05-20T00:00:00"/>
    <n v="1"/>
    <n v="7.1"/>
    <d v="2026-05-20T00:00:00"/>
    <n v="1"/>
    <n v="7.1"/>
    <m/>
    <m/>
    <n v="0"/>
    <s v="U276-007-1"/>
    <d v="2026-05-20T00:00:00"/>
    <n v="1"/>
    <n v="7.1"/>
    <d v="2026-05-20T00:00:00"/>
    <n v="1"/>
    <n v="7.1"/>
    <s v="PAC"/>
    <s v="U276-006-1"/>
  </r>
  <r>
    <n v="4"/>
    <x v="0"/>
    <s v="Shipment 2 CO-SCR Duct"/>
    <x v="0"/>
    <x v="0"/>
    <m/>
    <m/>
    <s v="HRSG"/>
    <m/>
    <s v="Mr Vinh"/>
    <s v="V17564-DWXD-7404"/>
    <s v="CO-FL-4"/>
    <s v="FIELD LINER "/>
    <n v="1"/>
    <n v="4"/>
    <n v="4"/>
    <s v="(929x2x362)"/>
    <m/>
    <s v="V17564-DWND-0054"/>
    <m/>
    <m/>
    <m/>
    <m/>
    <m/>
    <m/>
    <m/>
    <m/>
    <m/>
    <m/>
    <m/>
    <n v="4"/>
    <n v="0"/>
    <m/>
    <n v="1"/>
    <n v="4"/>
    <d v="2026-05-20T00:00:00"/>
    <n v="1"/>
    <n v="4"/>
    <d v="2026-05-20T00:00:00"/>
    <n v="1"/>
    <n v="4"/>
    <m/>
    <m/>
    <n v="0"/>
    <s v="U276-007-1"/>
    <d v="2026-05-20T00:00:00"/>
    <n v="1"/>
    <n v="4"/>
    <d v="2026-05-20T00:00:00"/>
    <n v="1"/>
    <n v="4"/>
    <s v="PAC"/>
    <s v="U276-006-1"/>
  </r>
  <r>
    <n v="5"/>
    <x v="0"/>
    <s v="Shipment 2 CO-SCR Duct"/>
    <x v="0"/>
    <x v="0"/>
    <m/>
    <m/>
    <s v="HRSG"/>
    <m/>
    <s v="Mr Vinh"/>
    <s v="V17564-DWXD-7405"/>
    <s v="CO-FL-5"/>
    <s v="FIELD LINER "/>
    <n v="1"/>
    <n v="7.4"/>
    <n v="7.4"/>
    <s v="(933x193x193)"/>
    <m/>
    <s v="V17564-DWND-0054"/>
    <m/>
    <m/>
    <m/>
    <m/>
    <m/>
    <m/>
    <m/>
    <m/>
    <m/>
    <m/>
    <m/>
    <n v="7.4"/>
    <n v="0"/>
    <m/>
    <n v="1"/>
    <n v="7.4"/>
    <d v="2026-05-20T00:00:00"/>
    <n v="1"/>
    <n v="7.4"/>
    <d v="2026-05-20T00:00:00"/>
    <n v="1"/>
    <n v="7.4"/>
    <m/>
    <m/>
    <n v="0"/>
    <s v="U276-009"/>
    <d v="2026-05-20T00:00:00"/>
    <n v="1"/>
    <n v="7.4"/>
    <d v="2026-05-21T00:00:00"/>
    <n v="1"/>
    <n v="7.4"/>
    <s v="PAC"/>
    <s v="U276-007"/>
  </r>
  <r>
    <n v="6"/>
    <x v="0"/>
    <s v="Shipment 2 CO-SCR Duct"/>
    <x v="0"/>
    <x v="0"/>
    <m/>
    <m/>
    <s v="HRSG"/>
    <m/>
    <s v="Mr Vinh"/>
    <s v="V17564-DWXD-7406"/>
    <s v="CO-FL-6"/>
    <s v="FIELD LINER "/>
    <n v="1"/>
    <n v="7.4"/>
    <n v="7.4"/>
    <s v="(933x193x193)"/>
    <m/>
    <s v="V17564-DWND-0054"/>
    <m/>
    <m/>
    <m/>
    <m/>
    <m/>
    <m/>
    <m/>
    <m/>
    <m/>
    <m/>
    <m/>
    <n v="7.4"/>
    <n v="0"/>
    <m/>
    <n v="1"/>
    <n v="7.4"/>
    <d v="2026-05-20T00:00:00"/>
    <n v="1"/>
    <n v="7.4"/>
    <d v="2026-05-20T00:00:00"/>
    <n v="1"/>
    <n v="7.4"/>
    <m/>
    <m/>
    <n v="0"/>
    <s v="U276-009"/>
    <d v="2026-05-20T00:00:00"/>
    <n v="1"/>
    <n v="7.4"/>
    <d v="2026-05-21T00:00:00"/>
    <n v="1"/>
    <n v="7.4"/>
    <s v="PAC"/>
    <s v="U276-007"/>
  </r>
  <r>
    <n v="7"/>
    <x v="0"/>
    <s v="Shipment 2 CO-SCR Duct"/>
    <x v="0"/>
    <x v="0"/>
    <m/>
    <m/>
    <s v="HRSG"/>
    <m/>
    <s v="Mr Vinh"/>
    <s v="V17564-DWXD-7407"/>
    <s v="CO-FL-7"/>
    <s v="FIELD LINER "/>
    <n v="4"/>
    <n v="2.6"/>
    <n v="10.4"/>
    <s v="(362x2x604)"/>
    <m/>
    <s v="V17564-DWND-0054"/>
    <m/>
    <m/>
    <m/>
    <m/>
    <m/>
    <m/>
    <m/>
    <m/>
    <m/>
    <m/>
    <m/>
    <n v="10.399999999999999"/>
    <n v="0"/>
    <m/>
    <n v="1"/>
    <n v="10.4"/>
    <d v="2026-05-20T00:00:00"/>
    <n v="4"/>
    <n v="10.4"/>
    <d v="2026-05-20T00:00:00"/>
    <n v="4"/>
    <n v="10.4"/>
    <m/>
    <m/>
    <n v="0"/>
    <s v="U276-007-1"/>
    <d v="2026-05-20T00:00:00"/>
    <n v="4"/>
    <n v="10.4"/>
    <d v="2026-05-20T00:00:00"/>
    <n v="4"/>
    <n v="10.4"/>
    <s v="PAC"/>
    <s v="U276-006-1"/>
  </r>
  <r>
    <n v="8"/>
    <x v="0"/>
    <s v="Shipment 2 CO-SCR Duct"/>
    <x v="0"/>
    <x v="0"/>
    <m/>
    <m/>
    <s v="HRSG"/>
    <m/>
    <s v="Mr Vinh"/>
    <s v="V17564-DWXD-7408"/>
    <s v="CO-FL-8"/>
    <s v="FIELD LINER "/>
    <n v="4"/>
    <n v="5.25"/>
    <n v="21"/>
    <s v="(362x2x1219)"/>
    <m/>
    <s v="V17564-DWND-0054"/>
    <m/>
    <m/>
    <m/>
    <m/>
    <m/>
    <m/>
    <m/>
    <m/>
    <m/>
    <m/>
    <m/>
    <n v="21"/>
    <n v="0"/>
    <m/>
    <n v="1"/>
    <n v="21"/>
    <d v="2026-05-20T00:00:00"/>
    <n v="4"/>
    <n v="21"/>
    <d v="2026-05-20T00:00:00"/>
    <n v="4"/>
    <n v="21"/>
    <m/>
    <m/>
    <n v="0"/>
    <s v="U276-007-1"/>
    <d v="2026-05-20T00:00:00"/>
    <n v="4"/>
    <n v="21"/>
    <d v="2026-05-20T00:00:00"/>
    <n v="4"/>
    <n v="21"/>
    <s v="PAC"/>
    <s v="U276-006-1"/>
  </r>
  <r>
    <n v="9"/>
    <x v="0"/>
    <s v="Shipment 2 CO-SCR Duct"/>
    <x v="0"/>
    <x v="0"/>
    <m/>
    <m/>
    <s v="HRSG"/>
    <m/>
    <s v="Mr Vinh"/>
    <s v="V17564-DWXD-7409"/>
    <s v="CO-FL-9"/>
    <s v="FIELD LINER "/>
    <n v="4"/>
    <n v="4.1749999999999998"/>
    <n v="16.7"/>
    <s v="(362x2x971)"/>
    <m/>
    <s v="V17564-DWND-0054"/>
    <m/>
    <m/>
    <m/>
    <m/>
    <m/>
    <m/>
    <m/>
    <m/>
    <m/>
    <m/>
    <m/>
    <n v="16.7"/>
    <n v="0"/>
    <m/>
    <n v="1"/>
    <n v="16.7"/>
    <d v="2026-05-20T00:00:00"/>
    <n v="4"/>
    <n v="16.7"/>
    <d v="2026-05-20T00:00:00"/>
    <n v="4"/>
    <n v="16.7"/>
    <m/>
    <m/>
    <n v="0"/>
    <s v="U276-007-1"/>
    <d v="2026-05-20T00:00:00"/>
    <n v="4"/>
    <n v="16.7"/>
    <d v="2026-05-20T00:00:00"/>
    <n v="4"/>
    <n v="16.7"/>
    <s v="PAC"/>
    <s v="U276-006-1"/>
  </r>
  <r>
    <n v="10"/>
    <x v="0"/>
    <s v="Shipment 2 CO-SCR Duct"/>
    <x v="0"/>
    <x v="0"/>
    <m/>
    <m/>
    <s v="HRSG"/>
    <m/>
    <s v="Mr Vinh"/>
    <s v="V17564-DWXD-7410"/>
    <s v="CO-FL-10"/>
    <s v="FIELD LINER "/>
    <n v="2"/>
    <n v="3.65"/>
    <n v="7.3"/>
    <s v="(362x3x489)"/>
    <m/>
    <s v="V17564-DWND-0054"/>
    <m/>
    <m/>
    <m/>
    <m/>
    <m/>
    <m/>
    <m/>
    <m/>
    <m/>
    <m/>
    <m/>
    <n v="7.3000000000000007"/>
    <n v="0"/>
    <m/>
    <n v="1"/>
    <n v="7.3"/>
    <d v="2026-05-20T00:00:00"/>
    <n v="2"/>
    <n v="7.3"/>
    <d v="2026-05-20T00:00:00"/>
    <n v="2"/>
    <n v="7.3"/>
    <m/>
    <m/>
    <n v="0"/>
    <s v="U276-007-1"/>
    <d v="2026-05-20T00:00:00"/>
    <n v="2"/>
    <n v="7.3"/>
    <d v="2026-05-20T00:00:00"/>
    <n v="2"/>
    <n v="7.3"/>
    <s v="PAC"/>
    <s v="U276-006-1"/>
  </r>
  <r>
    <n v="11"/>
    <x v="0"/>
    <s v="Shipment 2 CO-SCR Duct"/>
    <x v="0"/>
    <x v="0"/>
    <m/>
    <m/>
    <s v="HRSG"/>
    <m/>
    <s v="Mr Vinh"/>
    <s v="V17564-DWXD-7411"/>
    <s v="CO-FL-11"/>
    <s v="FIELD LINER "/>
    <n v="2"/>
    <n v="4.05"/>
    <n v="8.1"/>
    <s v="(362x2x946)"/>
    <m/>
    <s v="V17564-DWND-0054"/>
    <m/>
    <m/>
    <m/>
    <m/>
    <m/>
    <m/>
    <m/>
    <m/>
    <m/>
    <m/>
    <m/>
    <n v="8.1"/>
    <n v="0"/>
    <m/>
    <n v="1"/>
    <n v="8.1"/>
    <d v="2026-05-20T00:00:00"/>
    <n v="2"/>
    <n v="8.1"/>
    <d v="2026-05-20T00:00:00"/>
    <n v="2"/>
    <n v="8.1"/>
    <m/>
    <m/>
    <n v="0"/>
    <s v="U276-007-1"/>
    <d v="2026-05-20T00:00:00"/>
    <n v="2"/>
    <n v="8.1"/>
    <d v="2026-05-20T00:00:00"/>
    <n v="2"/>
    <n v="8.1"/>
    <s v="PAC"/>
    <s v="U276-006-1"/>
  </r>
  <r>
    <n v="12"/>
    <x v="0"/>
    <s v="Shipment 2 CO-SCR Duct"/>
    <x v="0"/>
    <x v="0"/>
    <m/>
    <m/>
    <s v="HRSG"/>
    <m/>
    <s v="Mr Vinh"/>
    <s v="V17564-DWXD-7412"/>
    <s v="CO-FL-12"/>
    <s v="FIELD LINER "/>
    <n v="2"/>
    <n v="8.25"/>
    <n v="16.5"/>
    <s v="(362x3x1105)"/>
    <m/>
    <s v="V17564-DWND-0054"/>
    <m/>
    <m/>
    <m/>
    <m/>
    <m/>
    <m/>
    <m/>
    <m/>
    <m/>
    <m/>
    <m/>
    <n v="16.5"/>
    <n v="0"/>
    <m/>
    <n v="1"/>
    <n v="16.5"/>
    <d v="2026-05-20T00:00:00"/>
    <n v="2"/>
    <n v="16.5"/>
    <d v="2026-05-20T00:00:00"/>
    <n v="2"/>
    <n v="16.5"/>
    <m/>
    <m/>
    <n v="0"/>
    <s v="U276-007-1"/>
    <d v="2026-05-20T00:00:00"/>
    <n v="2"/>
    <n v="16.5"/>
    <d v="2026-05-20T00:00:00"/>
    <n v="2"/>
    <n v="16.5"/>
    <s v="PAC"/>
    <s v="U276-006-1"/>
  </r>
  <r>
    <n v="13"/>
    <x v="0"/>
    <s v="Shipment 2 CO-SCR Duct"/>
    <x v="0"/>
    <x v="0"/>
    <m/>
    <m/>
    <s v="HRSG"/>
    <m/>
    <s v="Mr Vinh"/>
    <s v="V17564-DWXD-7413"/>
    <s v="CO-FL-13"/>
    <s v="FIELD LINER "/>
    <n v="6"/>
    <n v="9.1"/>
    <n v="54.6"/>
    <s v="(362x3x1219)"/>
    <m/>
    <s v="V17564-DWND-0054"/>
    <m/>
    <m/>
    <m/>
    <m/>
    <m/>
    <m/>
    <m/>
    <m/>
    <m/>
    <m/>
    <m/>
    <n v="54.6"/>
    <n v="0"/>
    <m/>
    <n v="1"/>
    <n v="54.6"/>
    <d v="2026-05-20T00:00:00"/>
    <n v="6"/>
    <n v="54.6"/>
    <d v="2026-05-20T00:00:00"/>
    <n v="6"/>
    <n v="54.6"/>
    <m/>
    <m/>
    <n v="0"/>
    <s v="U276-007-1"/>
    <d v="2026-05-20T00:00:00"/>
    <n v="6"/>
    <n v="54.6"/>
    <d v="2026-05-20T00:00:00"/>
    <n v="6"/>
    <n v="54.6"/>
    <s v="PAC"/>
    <s v="U276-006-1"/>
  </r>
  <r>
    <n v="14"/>
    <x v="0"/>
    <s v="Shipment 2 CO-SCR Duct"/>
    <x v="0"/>
    <x v="0"/>
    <m/>
    <m/>
    <s v="HRSG"/>
    <m/>
    <s v="Mr Vinh"/>
    <s v="V17564-DWXD-7414"/>
    <s v="CO-FL-14"/>
    <s v="FIELD LINER "/>
    <n v="1"/>
    <n v="7.1"/>
    <n v="7.1"/>
    <s v="(362x3x946)"/>
    <m/>
    <s v="V17564-DWND-0054"/>
    <m/>
    <m/>
    <m/>
    <m/>
    <m/>
    <m/>
    <m/>
    <m/>
    <m/>
    <m/>
    <m/>
    <n v="7.1"/>
    <n v="0"/>
    <m/>
    <n v="1"/>
    <n v="7.1"/>
    <d v="2026-05-20T00:00:00"/>
    <n v="1"/>
    <n v="7.1"/>
    <d v="2026-05-20T00:00:00"/>
    <n v="1"/>
    <n v="7.1"/>
    <m/>
    <m/>
    <n v="0"/>
    <s v="U276-007-1"/>
    <d v="2026-05-20T00:00:00"/>
    <n v="1"/>
    <n v="7.1"/>
    <d v="2026-05-20T00:00:00"/>
    <n v="1"/>
    <n v="7.1"/>
    <s v="PAC"/>
    <s v="U276-006-1"/>
  </r>
  <r>
    <n v="15"/>
    <x v="0"/>
    <s v="Shipment 2 CO-SCR Duct"/>
    <x v="0"/>
    <x v="0"/>
    <m/>
    <m/>
    <s v="HRSG"/>
    <m/>
    <s v="Mr Vinh"/>
    <s v="V17564-DWXD-7415"/>
    <s v="CO-FL-15"/>
    <s v="FIELD LINER "/>
    <n v="2"/>
    <n v="1.6"/>
    <n v="3.2"/>
    <s v="(362x2x375)"/>
    <m/>
    <s v="V17564-DWND-0054"/>
    <m/>
    <m/>
    <m/>
    <m/>
    <m/>
    <m/>
    <m/>
    <m/>
    <m/>
    <m/>
    <m/>
    <n v="3.2"/>
    <n v="0"/>
    <m/>
    <n v="1"/>
    <n v="3.2"/>
    <d v="2026-05-20T00:00:00"/>
    <n v="2"/>
    <n v="3.2"/>
    <d v="2026-05-20T00:00:00"/>
    <n v="2"/>
    <n v="3.2"/>
    <m/>
    <m/>
    <n v="0"/>
    <s v="U276-007-1"/>
    <d v="2026-05-20T00:00:00"/>
    <n v="2"/>
    <n v="3.2"/>
    <d v="2026-05-20T00:00:00"/>
    <n v="2"/>
    <n v="3.2"/>
    <s v="PAC"/>
    <s v="U276-006-1"/>
  </r>
  <r>
    <n v="16"/>
    <x v="0"/>
    <s v="Shipment 2 CO-SCR Duct"/>
    <x v="0"/>
    <x v="0"/>
    <m/>
    <m/>
    <s v="HRSG"/>
    <m/>
    <s v="Mr Vinh"/>
    <s v="V17564-DWXD-7416"/>
    <s v="CO-FL-16"/>
    <s v="FIELD LINER "/>
    <n v="1"/>
    <n v="9.6"/>
    <n v="9.6"/>
    <s v="(1215x193x193)"/>
    <m/>
    <s v="V17564-DWND-0054"/>
    <m/>
    <m/>
    <m/>
    <m/>
    <m/>
    <m/>
    <m/>
    <m/>
    <m/>
    <m/>
    <m/>
    <n v="9.6000000000000014"/>
    <n v="0"/>
    <m/>
    <n v="1"/>
    <n v="9.6"/>
    <d v="2026-05-20T00:00:00"/>
    <n v="1"/>
    <n v="9.6"/>
    <d v="2026-05-20T00:00:00"/>
    <n v="1"/>
    <n v="9.6"/>
    <m/>
    <m/>
    <n v="0"/>
    <s v="U276-009"/>
    <d v="2026-05-20T00:00:00"/>
    <n v="1"/>
    <n v="9.6"/>
    <d v="2026-05-21T00:00:00"/>
    <n v="1"/>
    <n v="9.6"/>
    <s v="PAC"/>
    <s v="U276-007"/>
  </r>
  <r>
    <n v="17"/>
    <x v="0"/>
    <s v="Shipment 2 CO-SCR Duct"/>
    <x v="0"/>
    <x v="0"/>
    <m/>
    <m/>
    <s v="HRSG"/>
    <m/>
    <s v="Mr Vinh"/>
    <s v="V17564-DWXD-7417"/>
    <s v="CO-FL-17"/>
    <s v="FIELD LINER "/>
    <n v="1"/>
    <n v="9.6"/>
    <n v="9.6"/>
    <s v="(1215x193x193)"/>
    <m/>
    <s v="V17564-DWND-0054"/>
    <m/>
    <m/>
    <m/>
    <m/>
    <m/>
    <m/>
    <m/>
    <m/>
    <m/>
    <m/>
    <m/>
    <n v="9.6000000000000014"/>
    <n v="0"/>
    <m/>
    <n v="1"/>
    <n v="9.6"/>
    <d v="2026-05-20T00:00:00"/>
    <n v="1"/>
    <n v="9.6"/>
    <d v="2026-05-20T00:00:00"/>
    <n v="1"/>
    <n v="9.6"/>
    <m/>
    <m/>
    <n v="0"/>
    <s v="U276-009"/>
    <d v="2026-05-20T00:00:00"/>
    <n v="1"/>
    <n v="9.6"/>
    <d v="2026-05-21T00:00:00"/>
    <n v="1"/>
    <n v="9.6"/>
    <s v="PAC"/>
    <s v="U276-007"/>
  </r>
  <r>
    <n v="18"/>
    <x v="0"/>
    <s v="Shipment 2 CO-SCR Duct"/>
    <x v="0"/>
    <x v="0"/>
    <m/>
    <m/>
    <s v="HRSG"/>
    <m/>
    <s v="Mr Vinh"/>
    <s v="V17564-DWXD-7418"/>
    <s v="CO-FL-18"/>
    <s v="FIELD LINER "/>
    <n v="4"/>
    <n v="9.625"/>
    <n v="38.5"/>
    <s v="(1219x193x193)"/>
    <m/>
    <s v="V17564-DWND-0054"/>
    <m/>
    <m/>
    <m/>
    <m/>
    <m/>
    <m/>
    <m/>
    <m/>
    <m/>
    <m/>
    <m/>
    <n v="38.5"/>
    <n v="0"/>
    <m/>
    <n v="1"/>
    <n v="38.5"/>
    <d v="2026-05-20T00:00:00"/>
    <n v="4"/>
    <n v="38.5"/>
    <d v="2026-05-20T00:00:00"/>
    <n v="4"/>
    <n v="38.5"/>
    <m/>
    <m/>
    <n v="0"/>
    <s v="U276-009"/>
    <d v="2026-05-20T00:00:00"/>
    <n v="4"/>
    <n v="38.5"/>
    <d v="2026-05-21T00:00:00"/>
    <n v="4"/>
    <n v="38.5"/>
    <s v="PAC"/>
    <s v="U276-007"/>
  </r>
  <r>
    <n v="19"/>
    <x v="0"/>
    <s v="Shipment 2 CO-SCR Duct"/>
    <x v="0"/>
    <x v="0"/>
    <m/>
    <m/>
    <s v="HRSG"/>
    <m/>
    <s v="Mr Vinh"/>
    <s v="V17564-DWXD-7419"/>
    <s v="CO-FL-19"/>
    <s v="FIELD LINER "/>
    <n v="1"/>
    <n v="5.3"/>
    <n v="5.3"/>
    <s v="(675x193x193)"/>
    <m/>
    <s v="V17564-DWND-0054"/>
    <m/>
    <m/>
    <m/>
    <m/>
    <m/>
    <m/>
    <m/>
    <m/>
    <m/>
    <m/>
    <m/>
    <n v="5.3"/>
    <n v="0"/>
    <m/>
    <n v="1"/>
    <n v="5.3"/>
    <d v="2026-05-20T00:00:00"/>
    <n v="1"/>
    <n v="5.3"/>
    <d v="2026-05-20T00:00:00"/>
    <n v="1"/>
    <n v="5.3"/>
    <m/>
    <m/>
    <n v="0"/>
    <s v="U276-009"/>
    <d v="2026-05-20T00:00:00"/>
    <n v="1"/>
    <n v="5.3"/>
    <d v="2026-05-21T00:00:00"/>
    <n v="1"/>
    <n v="5.3"/>
    <s v="PAC"/>
    <s v="U276-007"/>
  </r>
  <r>
    <n v="20"/>
    <x v="0"/>
    <s v="Shipment 2 CO-SCR Duct"/>
    <x v="0"/>
    <x v="0"/>
    <m/>
    <m/>
    <s v="HRSG"/>
    <m/>
    <s v="Mr Vinh"/>
    <s v="V17564-DWXD-7420"/>
    <s v="CO-FL-20"/>
    <s v="FIELD LINER "/>
    <n v="1"/>
    <n v="5.3"/>
    <n v="5.3"/>
    <s v="(675x193x193)"/>
    <m/>
    <s v="V17564-DWND-0054"/>
    <m/>
    <m/>
    <m/>
    <m/>
    <m/>
    <m/>
    <m/>
    <m/>
    <m/>
    <m/>
    <m/>
    <n v="5.3"/>
    <n v="0"/>
    <m/>
    <n v="1"/>
    <n v="5.3"/>
    <d v="2026-05-20T00:00:00"/>
    <n v="1"/>
    <n v="5.3"/>
    <d v="2026-05-20T00:00:00"/>
    <n v="1"/>
    <n v="5.3"/>
    <m/>
    <m/>
    <n v="0"/>
    <s v="U276-009"/>
    <d v="2026-05-20T00:00:00"/>
    <n v="1"/>
    <n v="5.3"/>
    <d v="2026-05-21T00:00:00"/>
    <n v="1"/>
    <n v="5.3"/>
    <s v="PAC"/>
    <s v="U276-007"/>
  </r>
  <r>
    <n v="21"/>
    <x v="0"/>
    <s v="Shipment 2 CO-SCR Duct"/>
    <x v="0"/>
    <x v="0"/>
    <m/>
    <m/>
    <s v="HRSG"/>
    <m/>
    <s v="Mr Vinh"/>
    <s v="V17564-DWXD-7421"/>
    <s v="CO-FL-21"/>
    <s v="FIELD LINER "/>
    <n v="2"/>
    <n v="4.3499999999999996"/>
    <n v="8.6999999999999993"/>
    <s v="(1007x2x362)"/>
    <m/>
    <s v="V17564-DWND-0054"/>
    <m/>
    <m/>
    <m/>
    <m/>
    <m/>
    <m/>
    <m/>
    <m/>
    <m/>
    <m/>
    <m/>
    <n v="8.6999999999999993"/>
    <n v="0"/>
    <m/>
    <n v="1"/>
    <n v="8.6999999999999993"/>
    <d v="2026-05-20T00:00:00"/>
    <n v="2"/>
    <n v="8.6999999999999993"/>
    <d v="2026-05-20T00:00:00"/>
    <n v="2"/>
    <n v="8.6999999999999993"/>
    <m/>
    <m/>
    <n v="0"/>
    <s v="U276-007-1"/>
    <d v="2026-05-20T00:00:00"/>
    <n v="2"/>
    <n v="8.6999999999999993"/>
    <d v="2026-05-20T00:00:00"/>
    <n v="2"/>
    <n v="8.6999999999999993"/>
    <s v="PAC"/>
    <s v="U276-006-1"/>
  </r>
  <r>
    <n v="22"/>
    <x v="0"/>
    <s v="Shipment 2 CO-SCR Duct"/>
    <x v="0"/>
    <x v="0"/>
    <m/>
    <m/>
    <s v="HRSG"/>
    <m/>
    <s v="Mr Vinh"/>
    <s v="V17564-DWXD-7422"/>
    <s v="CO-FL-22"/>
    <s v="FIELD LINER "/>
    <n v="1"/>
    <n v="6.5"/>
    <n v="6.5"/>
    <s v="(828x193x193)"/>
    <m/>
    <s v="V17564-DWND-0054"/>
    <m/>
    <m/>
    <m/>
    <m/>
    <m/>
    <m/>
    <m/>
    <m/>
    <m/>
    <m/>
    <m/>
    <n v="6.5"/>
    <n v="0"/>
    <m/>
    <n v="1"/>
    <n v="6.5"/>
    <d v="2026-05-20T00:00:00"/>
    <n v="1"/>
    <n v="6.5"/>
    <d v="2026-05-20T00:00:00"/>
    <n v="1"/>
    <n v="6.5"/>
    <m/>
    <m/>
    <n v="0"/>
    <s v="U276-009"/>
    <d v="2026-05-20T00:00:00"/>
    <n v="1"/>
    <n v="6.5"/>
    <d v="2026-05-21T00:00:00"/>
    <n v="1"/>
    <n v="6.5"/>
    <s v="PAC"/>
    <s v="U276-007"/>
  </r>
  <r>
    <n v="23"/>
    <x v="0"/>
    <s v="Shipment 2 CO-SCR Duct"/>
    <x v="0"/>
    <x v="0"/>
    <m/>
    <m/>
    <s v="HRSG"/>
    <m/>
    <s v="Mr Vinh"/>
    <s v="V17564-DWXD-7423"/>
    <s v="CO-FL-23"/>
    <s v="FIELD LINER "/>
    <n v="1"/>
    <n v="6.5"/>
    <n v="6.5"/>
    <s v="(828x193x193)"/>
    <m/>
    <s v="V17564-DWND-0054"/>
    <m/>
    <m/>
    <m/>
    <m/>
    <m/>
    <m/>
    <m/>
    <m/>
    <m/>
    <m/>
    <m/>
    <n v="6.5"/>
    <n v="0"/>
    <m/>
    <n v="1"/>
    <n v="6.5"/>
    <d v="2026-05-20T00:00:00"/>
    <n v="1"/>
    <n v="6.5"/>
    <d v="2026-05-20T00:00:00"/>
    <n v="1"/>
    <n v="6.5"/>
    <m/>
    <m/>
    <n v="0"/>
    <s v="U276-009"/>
    <d v="2026-05-20T00:00:00"/>
    <n v="1"/>
    <n v="6.5"/>
    <d v="2026-05-21T00:00:00"/>
    <n v="1"/>
    <n v="6.5"/>
    <s v="PAC"/>
    <s v="U276-007"/>
  </r>
  <r>
    <n v="24"/>
    <x v="0"/>
    <s v="Shipment 2 CO-SCR Duct"/>
    <x v="0"/>
    <x v="0"/>
    <m/>
    <m/>
    <s v="HRSG"/>
    <m/>
    <s v="Mr Vinh"/>
    <s v="V17564-DWXD-7424"/>
    <s v="CO-FL-24"/>
    <s v="FIELD LINER "/>
    <n v="1"/>
    <n v="2.9"/>
    <n v="2.9"/>
    <s v="(648x192x192)"/>
    <m/>
    <s v="V17564-DWND-0054"/>
    <m/>
    <m/>
    <m/>
    <m/>
    <m/>
    <m/>
    <m/>
    <m/>
    <m/>
    <m/>
    <m/>
    <n v="2.9"/>
    <n v="0"/>
    <m/>
    <n v="1"/>
    <n v="2.9"/>
    <d v="2026-05-20T00:00:00"/>
    <n v="1"/>
    <n v="2.9"/>
    <d v="2026-05-20T00:00:00"/>
    <n v="1"/>
    <n v="2.9"/>
    <m/>
    <m/>
    <n v="0"/>
    <s v="U276-007-1"/>
    <d v="2026-05-20T00:00:00"/>
    <n v="1"/>
    <n v="2.9"/>
    <d v="2026-05-20T00:00:00"/>
    <n v="1"/>
    <n v="2.9"/>
    <s v="PAC"/>
    <s v="U276-006-1"/>
  </r>
  <r>
    <n v="25"/>
    <x v="0"/>
    <s v="Shipment 2 CO-SCR Duct"/>
    <x v="0"/>
    <x v="0"/>
    <m/>
    <m/>
    <s v="HRSG"/>
    <m/>
    <s v="Mr Vinh"/>
    <s v="V17564-DWXD-7425"/>
    <s v="CO-FL-25"/>
    <s v="FIELD LINER "/>
    <n v="1"/>
    <n v="2.9"/>
    <n v="2.9"/>
    <s v="(648x192x192)"/>
    <m/>
    <s v="V17564-DWND-0054"/>
    <m/>
    <m/>
    <m/>
    <m/>
    <m/>
    <m/>
    <m/>
    <m/>
    <m/>
    <m/>
    <m/>
    <n v="2.9"/>
    <n v="0"/>
    <m/>
    <n v="1"/>
    <n v="2.9"/>
    <d v="2026-05-20T00:00:00"/>
    <n v="1"/>
    <n v="2.9"/>
    <d v="2026-05-20T00:00:00"/>
    <n v="1"/>
    <n v="2.9"/>
    <m/>
    <m/>
    <n v="0"/>
    <s v="U276-007-1"/>
    <d v="2026-05-20T00:00:00"/>
    <n v="1"/>
    <n v="2.9"/>
    <d v="2026-05-20T00:00:00"/>
    <n v="1"/>
    <n v="2.9"/>
    <s v="PAC"/>
    <s v="U276-006-1"/>
  </r>
  <r>
    <n v="26"/>
    <x v="0"/>
    <s v="Shipment 2 CO-SCR Duct"/>
    <x v="0"/>
    <x v="0"/>
    <m/>
    <m/>
    <s v="HRSG"/>
    <m/>
    <s v="Mr Vinh"/>
    <s v="V17564-DWXD-7426"/>
    <s v="CO-FL-26"/>
    <s v="FIELD LINER "/>
    <n v="2"/>
    <n v="4.25"/>
    <n v="8.5"/>
    <s v="(933x192x192)"/>
    <m/>
    <s v="V17564-DWND-0054"/>
    <m/>
    <m/>
    <m/>
    <m/>
    <m/>
    <m/>
    <m/>
    <m/>
    <m/>
    <m/>
    <m/>
    <n v="8.5"/>
    <n v="0"/>
    <m/>
    <n v="1"/>
    <n v="8.5"/>
    <d v="2026-05-20T00:00:00"/>
    <n v="2"/>
    <n v="8.5"/>
    <d v="2026-05-20T00:00:00"/>
    <n v="2"/>
    <n v="8.5"/>
    <m/>
    <m/>
    <n v="0"/>
    <s v="U276-007-1"/>
    <d v="2026-05-20T00:00:00"/>
    <n v="2"/>
    <n v="8.5"/>
    <d v="2026-05-20T00:00:00"/>
    <n v="2"/>
    <n v="8.5"/>
    <s v="PAC"/>
    <s v="U276-006-1"/>
  </r>
  <r>
    <n v="27"/>
    <x v="0"/>
    <s v="Shipment 2 CO-SCR Duct"/>
    <x v="0"/>
    <x v="0"/>
    <m/>
    <m/>
    <s v="HRSG"/>
    <m/>
    <s v="Mr Vinh"/>
    <s v="V17564-DWXD-7427"/>
    <s v="CO-FL-27"/>
    <s v="FIELD LINER "/>
    <n v="1"/>
    <n v="5.5"/>
    <n v="5.5"/>
    <s v="(1215x192x192)"/>
    <m/>
    <s v="V17564-DWND-0054"/>
    <m/>
    <m/>
    <m/>
    <m/>
    <m/>
    <m/>
    <m/>
    <m/>
    <m/>
    <m/>
    <m/>
    <n v="5.5"/>
    <n v="0"/>
    <m/>
    <n v="1"/>
    <n v="5.5"/>
    <d v="2026-05-20T00:00:00"/>
    <n v="1"/>
    <n v="5.5"/>
    <d v="2026-05-20T00:00:00"/>
    <n v="1"/>
    <n v="5.5"/>
    <m/>
    <m/>
    <n v="0"/>
    <s v="U276-007-1"/>
    <d v="2026-05-20T00:00:00"/>
    <n v="1"/>
    <n v="5.5"/>
    <d v="2026-05-20T00:00:00"/>
    <n v="1"/>
    <n v="5.5"/>
    <s v="PAC"/>
    <s v="U276-006-1"/>
  </r>
  <r>
    <n v="28"/>
    <x v="0"/>
    <s v="Shipment 2 CO-SCR Duct"/>
    <x v="0"/>
    <x v="0"/>
    <m/>
    <m/>
    <s v="HRSG"/>
    <m/>
    <s v="Mr Vinh"/>
    <s v="V17564-DWXD-7428"/>
    <s v="CO-FL-28"/>
    <s v="FIELD LINER "/>
    <n v="1"/>
    <n v="5.5"/>
    <n v="5.5"/>
    <s v="(1215x192x192)"/>
    <m/>
    <s v="V17564-DWND-0054"/>
    <m/>
    <m/>
    <m/>
    <m/>
    <m/>
    <m/>
    <m/>
    <m/>
    <m/>
    <m/>
    <m/>
    <n v="5.5"/>
    <n v="0"/>
    <m/>
    <n v="1"/>
    <n v="5.5"/>
    <d v="2026-05-20T00:00:00"/>
    <n v="1"/>
    <n v="5.5"/>
    <d v="2026-05-20T00:00:00"/>
    <n v="1"/>
    <n v="5.5"/>
    <m/>
    <m/>
    <n v="0"/>
    <s v="U276-007-1"/>
    <d v="2026-05-20T00:00:00"/>
    <n v="1"/>
    <n v="5.5"/>
    <d v="2026-05-20T00:00:00"/>
    <n v="1"/>
    <n v="5.5"/>
    <s v="PAC"/>
    <s v="U276-006-1"/>
  </r>
  <r>
    <n v="29"/>
    <x v="0"/>
    <s v="Shipment 2 CO-SCR Duct"/>
    <x v="0"/>
    <x v="0"/>
    <m/>
    <m/>
    <s v="HRSG"/>
    <m/>
    <s v="Mr Vinh"/>
    <s v="V17564-DWXD-7429"/>
    <s v="CO-FL-29"/>
    <s v="FIELD LINER "/>
    <n v="4"/>
    <n v="5.5250000000000004"/>
    <n v="22.1"/>
    <s v="(1219x192x192)"/>
    <m/>
    <s v="V17564-DWND-0054"/>
    <m/>
    <m/>
    <m/>
    <m/>
    <m/>
    <m/>
    <m/>
    <m/>
    <m/>
    <m/>
    <m/>
    <n v="22.1"/>
    <n v="0"/>
    <m/>
    <n v="1"/>
    <n v="22.1"/>
    <d v="2026-05-20T00:00:00"/>
    <n v="4"/>
    <n v="22.1"/>
    <d v="2026-05-20T00:00:00"/>
    <n v="4"/>
    <n v="22.1"/>
    <m/>
    <m/>
    <n v="0"/>
    <s v="U276-007-1"/>
    <d v="2026-05-20T00:00:00"/>
    <n v="4"/>
    <n v="22.1"/>
    <d v="2026-05-20T00:00:00"/>
    <n v="4"/>
    <n v="22.1"/>
    <s v="PAC"/>
    <s v="U276-006-1"/>
  </r>
  <r>
    <n v="30"/>
    <x v="0"/>
    <s v="Shipment 2 CO-SCR Duct"/>
    <x v="0"/>
    <x v="0"/>
    <m/>
    <m/>
    <s v="HRSG"/>
    <m/>
    <s v="Mr Vinh"/>
    <s v="V17564-DWXD-7430"/>
    <s v="CO-FL-30"/>
    <s v="FIELD LINER "/>
    <n v="1"/>
    <n v="3.1"/>
    <n v="3.1"/>
    <s v="(675x192x192)"/>
    <m/>
    <s v="V17564-DWND-0054"/>
    <m/>
    <m/>
    <m/>
    <m/>
    <m/>
    <m/>
    <m/>
    <m/>
    <m/>
    <m/>
    <m/>
    <n v="3.1"/>
    <n v="0"/>
    <m/>
    <n v="1"/>
    <n v="3.1"/>
    <d v="2026-05-20T00:00:00"/>
    <n v="1"/>
    <n v="3.1"/>
    <d v="2026-05-20T00:00:00"/>
    <n v="1"/>
    <n v="3.1"/>
    <m/>
    <m/>
    <n v="0"/>
    <s v="U276-007-1"/>
    <d v="2026-05-20T00:00:00"/>
    <n v="1"/>
    <n v="3.1"/>
    <d v="2026-05-20T00:00:00"/>
    <n v="1"/>
    <n v="3.1"/>
    <s v="PAC"/>
    <s v="U276-006-1"/>
  </r>
  <r>
    <n v="31"/>
    <x v="0"/>
    <s v="Shipment 2 CO-SCR Duct"/>
    <x v="0"/>
    <x v="0"/>
    <m/>
    <m/>
    <s v="HRSG"/>
    <m/>
    <s v="Mr Vinh"/>
    <s v="V17564-DWXD-7431"/>
    <s v="CO-FL-31"/>
    <s v="FIELD LINER "/>
    <n v="1"/>
    <n v="3.1"/>
    <n v="3.1"/>
    <s v="(675x192x192)"/>
    <m/>
    <s v="V17564-DWND-0054"/>
    <m/>
    <m/>
    <m/>
    <m/>
    <m/>
    <m/>
    <m/>
    <m/>
    <m/>
    <m/>
    <m/>
    <n v="3.1"/>
    <n v="0"/>
    <m/>
    <n v="1"/>
    <n v="3.1"/>
    <d v="2026-05-20T00:00:00"/>
    <n v="1"/>
    <n v="3.1"/>
    <d v="2026-05-20T00:00:00"/>
    <n v="1"/>
    <n v="3.1"/>
    <m/>
    <m/>
    <n v="0"/>
    <s v="U276-007-1"/>
    <d v="2026-05-20T00:00:00"/>
    <n v="1"/>
    <n v="3.1"/>
    <d v="2026-05-20T00:00:00"/>
    <n v="1"/>
    <n v="3.1"/>
    <s v="PAC"/>
    <s v="U276-006-1"/>
  </r>
  <r>
    <n v="32"/>
    <x v="0"/>
    <s v="Shipment 2 CO-SCR Duct"/>
    <x v="0"/>
    <x v="0"/>
    <m/>
    <m/>
    <s v="HRSG"/>
    <m/>
    <s v="Mr Vinh"/>
    <s v="V17564-DWXD-7432"/>
    <s v="CO-FL-32"/>
    <s v="FIELD LINER "/>
    <n v="2"/>
    <n v="3.75"/>
    <n v="7.5"/>
    <s v="(828x192x192)"/>
    <m/>
    <s v="V17564-DWND-0054"/>
    <m/>
    <m/>
    <m/>
    <m/>
    <m/>
    <m/>
    <m/>
    <m/>
    <m/>
    <m/>
    <m/>
    <n v="7.5"/>
    <n v="0"/>
    <m/>
    <n v="1"/>
    <n v="7.5"/>
    <d v="2026-05-20T00:00:00"/>
    <n v="2"/>
    <n v="7.5"/>
    <d v="2026-05-20T00:00:00"/>
    <n v="2"/>
    <n v="7.5"/>
    <m/>
    <m/>
    <n v="0"/>
    <s v="U276-007-1"/>
    <d v="2026-05-20T00:00:00"/>
    <n v="2"/>
    <n v="7.5"/>
    <d v="2026-05-20T00:00:00"/>
    <n v="2"/>
    <n v="7.5"/>
    <s v="PAC"/>
    <s v="U276-006-1"/>
  </r>
  <r>
    <n v="33"/>
    <x v="0"/>
    <s v="Shipment 2 CO-SCR Duct"/>
    <x v="0"/>
    <x v="0"/>
    <m/>
    <m/>
    <s v="HRSG"/>
    <m/>
    <s v="Mr Vinh"/>
    <s v="V17564-DWXD-7433"/>
    <s v="CO-FL-33"/>
    <s v="FIELD LINER "/>
    <n v="1"/>
    <n v="4"/>
    <n v="4"/>
    <s v="(929x2x362)"/>
    <m/>
    <s v="V17564-DWND-0054"/>
    <m/>
    <m/>
    <m/>
    <m/>
    <m/>
    <m/>
    <m/>
    <m/>
    <m/>
    <m/>
    <m/>
    <n v="4"/>
    <n v="0"/>
    <m/>
    <n v="1"/>
    <n v="4"/>
    <d v="2026-05-20T00:00:00"/>
    <n v="1"/>
    <n v="4"/>
    <d v="2026-05-20T00:00:00"/>
    <n v="1"/>
    <n v="4"/>
    <m/>
    <m/>
    <n v="0"/>
    <s v="U276-007-1"/>
    <d v="2026-05-20T00:00:00"/>
    <n v="1"/>
    <n v="4"/>
    <d v="2026-05-20T00:00:00"/>
    <n v="1"/>
    <n v="4"/>
    <s v="PAC"/>
    <s v="U276-006-1"/>
  </r>
  <r>
    <n v="34"/>
    <x v="0"/>
    <s v="Shipment 2 CO-SCR Duct"/>
    <x v="0"/>
    <x v="0"/>
    <m/>
    <m/>
    <s v="HRSG"/>
    <m/>
    <s v="Mr Vinh"/>
    <s v="V17564-DWXD-7435"/>
    <s v="CO-PL-1"/>
    <s v="PLATE "/>
    <n v="72"/>
    <n v="1.8194444444444444"/>
    <n v="131"/>
    <s v="(305x10x76)"/>
    <m/>
    <s v="V17564-DWND-0023"/>
    <m/>
    <m/>
    <m/>
    <m/>
    <m/>
    <m/>
    <m/>
    <m/>
    <m/>
    <m/>
    <m/>
    <n v="131"/>
    <n v="0"/>
    <m/>
    <n v="1"/>
    <n v="131"/>
    <d v="2026-05-20T00:00:00"/>
    <n v="72"/>
    <n v="131"/>
    <d v="2026-05-20T00:00:00"/>
    <n v="72"/>
    <n v="131"/>
    <m/>
    <m/>
    <n v="0"/>
    <s v="U276-009"/>
    <d v="2026-05-20T00:00:00"/>
    <n v="72"/>
    <n v="131"/>
    <d v="2026-05-21T00:00:00"/>
    <n v="72"/>
    <n v="131"/>
    <s v="PAC"/>
    <s v="U276-007"/>
  </r>
  <r>
    <n v="35"/>
    <x v="0"/>
    <s v="Shipment 2 CO-SCR Duct"/>
    <x v="0"/>
    <x v="0"/>
    <m/>
    <m/>
    <s v="HRSG"/>
    <m/>
    <s v="Mr Vinh"/>
    <s v="V17564-DWXD-7488"/>
    <s v="CO-PL-2"/>
    <s v="PLATE "/>
    <n v="2"/>
    <n v="0.2"/>
    <n v="0.4"/>
    <s v="(51x6x89)"/>
    <m/>
    <s v="V17564-DWND-0024"/>
    <m/>
    <m/>
    <m/>
    <m/>
    <m/>
    <m/>
    <m/>
    <m/>
    <m/>
    <m/>
    <m/>
    <n v="0.4"/>
    <n v="0"/>
    <m/>
    <n v="1"/>
    <n v="0.4"/>
    <d v="2026-05-20T00:00:00"/>
    <n v="2"/>
    <n v="0.4"/>
    <d v="2026-05-20T00:00:00"/>
    <n v="2"/>
    <n v="0.4"/>
    <m/>
    <m/>
    <n v="0"/>
    <s v="U276-009"/>
    <d v="2026-05-20T00:00:00"/>
    <n v="2"/>
    <n v="0.4"/>
    <d v="2026-05-21T00:00:00"/>
    <n v="2"/>
    <n v="0.4"/>
    <s v="PAC"/>
    <s v="U276-007"/>
  </r>
  <r>
    <n v="36"/>
    <x v="0"/>
    <s v="Shipment 2 CO-SCR Duct"/>
    <x v="0"/>
    <x v="0"/>
    <m/>
    <m/>
    <s v="HRSG"/>
    <m/>
    <s v="Mr Vinh"/>
    <s v="V17564-DWXD-7488"/>
    <s v="CO-PL-3"/>
    <s v="PLATE "/>
    <n v="6"/>
    <n v="4.9999999999999996E-2"/>
    <n v="0.3"/>
    <s v="(51x6x19)"/>
    <m/>
    <s v="V17564-DWND-0024"/>
    <m/>
    <m/>
    <m/>
    <m/>
    <m/>
    <m/>
    <m/>
    <m/>
    <m/>
    <m/>
    <m/>
    <n v="0.30000000000000004"/>
    <n v="0"/>
    <m/>
    <n v="1"/>
    <n v="0.3"/>
    <d v="2026-05-20T00:00:00"/>
    <n v="6"/>
    <n v="0.3"/>
    <d v="2026-05-20T00:00:00"/>
    <n v="6"/>
    <n v="0.3"/>
    <m/>
    <m/>
    <n v="0"/>
    <s v="U276-009"/>
    <d v="2026-05-20T00:00:00"/>
    <n v="6"/>
    <n v="0.3"/>
    <d v="2026-05-21T00:00:00"/>
    <n v="6"/>
    <n v="0.3"/>
    <s v="PAC"/>
    <s v="U276-007"/>
  </r>
  <r>
    <n v="37"/>
    <x v="0"/>
    <s v="Shipment 2 CO-SCR Duct"/>
    <x v="0"/>
    <x v="0"/>
    <m/>
    <m/>
    <s v="HRSG"/>
    <m/>
    <s v="Mr Vinh"/>
    <s v="V17564-DWXD-7491"/>
    <s v="CO-PL-4"/>
    <s v="PLATE "/>
    <n v="2"/>
    <n v="7.2"/>
    <n v="14.5"/>
    <s v="(836x6x184) "/>
    <m/>
    <s v="V17564-PWND-0061"/>
    <m/>
    <m/>
    <m/>
    <m/>
    <m/>
    <m/>
    <m/>
    <m/>
    <m/>
    <m/>
    <m/>
    <n v="14.5"/>
    <n v="0"/>
    <m/>
    <n v="1"/>
    <n v="14.5"/>
    <d v="2026-05-20T00:00:00"/>
    <n v="2"/>
    <n v="14.5"/>
    <d v="2026-05-20T00:00:00"/>
    <n v="2"/>
    <n v="14.5"/>
    <m/>
    <m/>
    <n v="0"/>
    <s v="U276-009"/>
    <d v="2026-05-20T00:00:00"/>
    <n v="2"/>
    <n v="14.5"/>
    <d v="2026-05-21T00:00:00"/>
    <n v="2"/>
    <n v="14.5"/>
    <s v="PAC"/>
    <s v="U276-007"/>
  </r>
  <r>
    <s v=""/>
    <x v="1"/>
    <s v="Shipment 2 CO-SCR Duct"/>
    <x v="0"/>
    <x v="0"/>
    <m/>
    <m/>
    <s v="HRSG"/>
    <m/>
    <m/>
    <s v="V17564-DWXD-7436"/>
    <s v="CO-RC-1"/>
    <s v="RETAINER CLIP "/>
    <n v="18"/>
    <n v="0.1111111111111111"/>
    <n v="2"/>
    <s v="(51x5x102)"/>
    <m/>
    <s v="Đã đóng kiện, không làm"/>
    <m/>
    <m/>
    <m/>
    <m/>
    <m/>
    <m/>
    <m/>
    <m/>
    <m/>
    <m/>
    <m/>
    <n v="0"/>
    <n v="2"/>
    <m/>
    <n v="0.85"/>
    <n v="1.7"/>
    <m/>
    <m/>
    <n v="0"/>
    <m/>
    <m/>
    <n v="0"/>
    <m/>
    <m/>
    <n v="0"/>
    <m/>
    <m/>
    <m/>
    <n v="0"/>
    <m/>
    <m/>
    <n v="0"/>
    <s v="PAC"/>
    <m/>
  </r>
  <r>
    <n v="38"/>
    <x v="0"/>
    <s v="Shipment 2 CO-SCR Duct"/>
    <x v="0"/>
    <x v="0"/>
    <m/>
    <m/>
    <s v="HRSG"/>
    <m/>
    <s v="Mr Vinh"/>
    <s v="V17564-DWXD-7437"/>
    <s v="COB-1"/>
    <s v="CHANNEL "/>
    <n v="1"/>
    <n v="1329"/>
    <n v="1329"/>
    <s v="(378x2353x6154)"/>
    <m/>
    <s v="V17564-DWND-0020"/>
    <m/>
    <m/>
    <m/>
    <m/>
    <m/>
    <m/>
    <m/>
    <m/>
    <m/>
    <m/>
    <m/>
    <n v="1329"/>
    <n v="0"/>
    <m/>
    <n v="1"/>
    <n v="1329"/>
    <d v="2026-01-26T00:00:00"/>
    <n v="1"/>
    <n v="1329"/>
    <d v="2026-02-04T00:00:00"/>
    <n v="1"/>
    <n v="1329"/>
    <d v="2026-04-08T00:00:00"/>
    <n v="1"/>
    <n v="1329"/>
    <s v="U276-002"/>
    <d v="2026-04-08T00:00:00"/>
    <n v="1"/>
    <n v="1329"/>
    <d v="2026-04-10T00:00:00"/>
    <n v="1"/>
    <n v="1329"/>
    <s v="PAC"/>
    <s v="U276-001"/>
  </r>
  <r>
    <n v="39"/>
    <x v="0"/>
    <s v="Shipment 2 CO-SCR Duct"/>
    <x v="0"/>
    <x v="0"/>
    <m/>
    <m/>
    <s v="HRSG"/>
    <m/>
    <s v="Mr Vinh"/>
    <s v="V17564-DWXD-7440"/>
    <s v="COB-2"/>
    <s v="BUILT-UP H-BEAM "/>
    <n v="1"/>
    <n v="6784.1"/>
    <n v="6784.1"/>
    <s v="(1472x2941x6191)"/>
    <m/>
    <s v="V17564-DWND-0020"/>
    <m/>
    <m/>
    <m/>
    <m/>
    <m/>
    <m/>
    <m/>
    <m/>
    <m/>
    <m/>
    <m/>
    <n v="6784.1"/>
    <n v="0"/>
    <m/>
    <n v="1"/>
    <n v="6784.1"/>
    <d v="2026-02-04T00:00:00"/>
    <n v="1"/>
    <n v="6784.1"/>
    <d v="2026-02-12T00:00:00"/>
    <n v="1"/>
    <n v="6784.1"/>
    <d v="2026-04-08T00:00:00"/>
    <n v="1"/>
    <n v="6784.1"/>
    <s v="U276-004"/>
    <d v="2026-04-15T00:00:00"/>
    <n v="1"/>
    <n v="6784.1"/>
    <d v="2026-04-21T00:00:00"/>
    <n v="1"/>
    <n v="6784.1"/>
    <s v="PAC"/>
    <s v="U276-003"/>
  </r>
  <r>
    <n v="40"/>
    <x v="0"/>
    <s v="Shipment 2 CO-SCR Duct"/>
    <x v="0"/>
    <x v="0"/>
    <m/>
    <m/>
    <s v="HRSG"/>
    <m/>
    <s v="Mr Vinh"/>
    <s v="V17564-DWXD-7443"/>
    <s v="COB-3"/>
    <s v="CHANNEL "/>
    <n v="1"/>
    <n v="883.9"/>
    <n v="883.9"/>
    <s v="(378x1288x6154)"/>
    <m/>
    <s v="V17564-DWND-0020"/>
    <m/>
    <m/>
    <m/>
    <m/>
    <m/>
    <m/>
    <m/>
    <m/>
    <m/>
    <m/>
    <m/>
    <n v="883.9"/>
    <n v="0"/>
    <m/>
    <n v="1"/>
    <n v="883.9"/>
    <d v="2026-02-04T00:00:00"/>
    <n v="1"/>
    <n v="883.9"/>
    <d v="2026-03-04T00:00:00"/>
    <n v="1"/>
    <n v="883.9"/>
    <d v="2026-04-08T00:00:00"/>
    <n v="1"/>
    <n v="883.9"/>
    <s v="U276-003"/>
    <d v="2026-04-14T00:00:00"/>
    <n v="1"/>
    <n v="883.9"/>
    <d v="2026-04-15T00:00:00"/>
    <n v="1"/>
    <n v="883.9"/>
    <s v="PAC"/>
    <s v="U276-002"/>
  </r>
  <r>
    <n v="41"/>
    <x v="0"/>
    <s v="Shipment 2 CO-SCR Duct"/>
    <x v="0"/>
    <x v="0"/>
    <m/>
    <m/>
    <s v="HRSG"/>
    <m/>
    <s v="Mr Vinh"/>
    <s v="V17564-DWXD-7446"/>
    <s v="COL-1"/>
    <s v="CHANNEL "/>
    <n v="1"/>
    <n v="2996.7000000000003"/>
    <n v="2996.7000000000003"/>
    <s v="(346x2328x12264)"/>
    <m/>
    <s v="V17564-DWND-0020"/>
    <m/>
    <m/>
    <m/>
    <m/>
    <m/>
    <m/>
    <m/>
    <m/>
    <m/>
    <m/>
    <m/>
    <n v="2996.7000000000003"/>
    <n v="0"/>
    <m/>
    <n v="1"/>
    <n v="2996.7000000000003"/>
    <d v="2026-03-04T00:00:00"/>
    <n v="1"/>
    <n v="2996.7000000000003"/>
    <d v="2026-03-11T00:00:00"/>
    <n v="1"/>
    <n v="2996.7000000000003"/>
    <d v="2026-04-08T00:00:00"/>
    <n v="1"/>
    <n v="2996.7000000000003"/>
    <s v="U276-005"/>
    <d v="2026-04-29T00:00:00"/>
    <n v="1"/>
    <n v="2996.7000000000003"/>
    <d v="2026-04-30T00:00:00"/>
    <n v="1"/>
    <n v="2996.7000000000003"/>
    <s v="PAC"/>
    <s v="U276-004"/>
  </r>
  <r>
    <n v="42"/>
    <x v="0"/>
    <s v="Shipment 2 CO-SCR Duct"/>
    <x v="0"/>
    <x v="0"/>
    <m/>
    <m/>
    <s v="HRSG"/>
    <m/>
    <s v="Mr Vinh"/>
    <s v="V17564-DWXD-7449"/>
    <s v="COL-2"/>
    <s v="CHANNEL "/>
    <n v="1"/>
    <n v="3144.3"/>
    <n v="3144.3"/>
    <s v="(490x2328x12469)"/>
    <m/>
    <s v="V17564-DWND-0020"/>
    <m/>
    <m/>
    <m/>
    <m/>
    <m/>
    <m/>
    <m/>
    <m/>
    <m/>
    <m/>
    <m/>
    <n v="3144.3"/>
    <n v="0"/>
    <m/>
    <n v="1"/>
    <n v="3144.3"/>
    <d v="2026-02-04T00:00:00"/>
    <n v="1"/>
    <n v="3144.3"/>
    <d v="2026-03-07T00:00:00"/>
    <n v="1"/>
    <n v="3144.3"/>
    <d v="2026-04-08T00:00:00"/>
    <n v="1"/>
    <n v="3144.3"/>
    <s v="U276-006"/>
    <d v="2026-04-30T00:00:00"/>
    <n v="1"/>
    <n v="3144.3"/>
    <d v="2026-05-06T00:00:00"/>
    <n v="1"/>
    <n v="3144.3"/>
    <s v="PAC"/>
    <s v="U276-005"/>
  </r>
  <r>
    <n v="43"/>
    <x v="0"/>
    <s v="Shipment 2 CO-SCR Duct"/>
    <x v="0"/>
    <x v="0"/>
    <m/>
    <m/>
    <s v="HRSG"/>
    <m/>
    <s v="Mr Vinh"/>
    <s v="V17564-DWXD-7452"/>
    <s v="COL-3"/>
    <s v="BUILT-UP H-BEAM "/>
    <n v="1"/>
    <n v="26962.700000000004"/>
    <n v="26962.700000000004"/>
    <s v="(1208x2991x30910)"/>
    <m/>
    <s v="V17564-DWND-0020"/>
    <m/>
    <m/>
    <m/>
    <m/>
    <m/>
    <m/>
    <m/>
    <m/>
    <m/>
    <m/>
    <m/>
    <n v="26962.700000000004"/>
    <n v="0"/>
    <m/>
    <n v="1"/>
    <n v="26962.700000000004"/>
    <d v="2026-03-17T00:00:00"/>
    <n v="1"/>
    <n v="26962.700000000004"/>
    <d v="2026-03-20T00:00:00"/>
    <n v="1"/>
    <n v="26962.700000000004"/>
    <d v="2026-04-08T00:00:00"/>
    <n v="1"/>
    <n v="26962.700000000004"/>
    <s v="U276-007"/>
    <d v="2026-04-30T00:00:00"/>
    <n v="1"/>
    <n v="26962.700000000004"/>
    <d v="2026-05-18T00:00:00"/>
    <n v="1"/>
    <n v="26962.700000000004"/>
    <s v="PAC"/>
    <s v="U276-006"/>
  </r>
  <r>
    <n v="44"/>
    <x v="0"/>
    <s v="Shipment 2 CO-SCR Duct"/>
    <x v="0"/>
    <x v="0"/>
    <m/>
    <m/>
    <s v="HRSG"/>
    <m/>
    <s v="Mr Vinh"/>
    <s v="V17564-DWXD-7457"/>
    <s v="COL-4"/>
    <s v="ANGLE "/>
    <n v="1"/>
    <n v="1663.6999999999998"/>
    <n v="1663.6999999999998"/>
    <s v="(490x1263x12463)"/>
    <m/>
    <s v="V17564-DWND-0020"/>
    <m/>
    <m/>
    <m/>
    <m/>
    <m/>
    <m/>
    <m/>
    <m/>
    <m/>
    <m/>
    <m/>
    <n v="1663.6999999999998"/>
    <n v="0"/>
    <m/>
    <n v="1"/>
    <n v="1663.6999999999998"/>
    <d v="2026-02-05T00:00:00"/>
    <n v="1"/>
    <n v="1663.6999999999998"/>
    <d v="2026-02-09T00:00:00"/>
    <n v="1"/>
    <n v="1663.6999999999998"/>
    <d v="2026-04-08T00:00:00"/>
    <n v="1"/>
    <n v="1663.6999999999998"/>
    <s v="U276-006"/>
    <d v="2026-04-30T00:00:00"/>
    <n v="1"/>
    <n v="1663.6999999999998"/>
    <d v="2026-05-06T00:00:00"/>
    <n v="1"/>
    <n v="1663.6999999999998"/>
    <s v="PAC"/>
    <s v="U276-005"/>
  </r>
  <r>
    <n v="45"/>
    <x v="0"/>
    <s v="Shipment 2 CO-SCR Duct"/>
    <x v="0"/>
    <x v="0"/>
    <m/>
    <m/>
    <s v="HRSG"/>
    <m/>
    <s v="Mr Vinh"/>
    <s v="V17564-DWXD-7460"/>
    <s v="COL-5"/>
    <s v="CHANNEL "/>
    <n v="1"/>
    <n v="1648.5"/>
    <n v="1648.5"/>
    <s v="(296x1263x12258)"/>
    <m/>
    <s v="V17564-DWND-0020"/>
    <m/>
    <m/>
    <m/>
    <m/>
    <m/>
    <m/>
    <m/>
    <m/>
    <m/>
    <m/>
    <m/>
    <n v="1648.5"/>
    <n v="0"/>
    <m/>
    <n v="1"/>
    <n v="1648.5"/>
    <d v="2026-02-09T00:00:00"/>
    <n v="1"/>
    <n v="1648.5"/>
    <d v="2026-02-10T00:00:00"/>
    <n v="1"/>
    <n v="1648.5"/>
    <d v="2026-04-08T00:00:00"/>
    <n v="1"/>
    <n v="1648.5"/>
    <s v="U276-005"/>
    <d v="2026-04-29T00:00:00"/>
    <n v="1"/>
    <n v="1648.5"/>
    <d v="2026-04-30T00:00:00"/>
    <n v="1"/>
    <n v="1648.5"/>
    <s v="PAC"/>
    <s v="U276-004"/>
  </r>
  <r>
    <n v="46"/>
    <x v="0"/>
    <s v="Shipment 2 CO-SCR Duct"/>
    <x v="0"/>
    <x v="0"/>
    <m/>
    <m/>
    <s v="HRSG"/>
    <m/>
    <s v="Mr Vinh"/>
    <s v="V17564-DWXD-7463"/>
    <s v="COR-1"/>
    <s v="CHANNEL "/>
    <n v="1"/>
    <n v="2996.7000000000003"/>
    <n v="2996.7000000000003"/>
    <s v="(346x2328x12264)"/>
    <m/>
    <s v="V17564-DWND-0020"/>
    <m/>
    <m/>
    <m/>
    <m/>
    <m/>
    <m/>
    <m/>
    <m/>
    <m/>
    <m/>
    <m/>
    <n v="2996.7000000000003"/>
    <n v="0"/>
    <m/>
    <n v="1"/>
    <n v="2996.7000000000003"/>
    <d v="2026-02-27T00:00:00"/>
    <n v="1"/>
    <n v="2996.7000000000003"/>
    <d v="2026-03-11T00:00:00"/>
    <n v="1"/>
    <n v="2996.7000000000003"/>
    <d v="2026-04-08T00:00:00"/>
    <n v="1"/>
    <n v="2996.7000000000003"/>
    <s v="U276-005"/>
    <d v="2026-04-29T00:00:00"/>
    <n v="1"/>
    <n v="2996.7000000000003"/>
    <d v="2026-04-30T00:00:00"/>
    <n v="1"/>
    <n v="2996.7000000000003"/>
    <s v="PAC"/>
    <s v="U276-004"/>
  </r>
  <r>
    <n v="47"/>
    <x v="0"/>
    <s v="Shipment 2 CO-SCR Duct"/>
    <x v="0"/>
    <x v="0"/>
    <m/>
    <m/>
    <s v="HRSG"/>
    <m/>
    <s v="Mr Vinh"/>
    <s v="V17564-DWXD-7466"/>
    <s v="COR-2"/>
    <s v="CHANNEL "/>
    <n v="1"/>
    <n v="3145.1000000000004"/>
    <n v="3145.1000000000004"/>
    <s v="(490x2328x12469)"/>
    <m/>
    <s v="V17564-DWND-0020"/>
    <m/>
    <m/>
    <m/>
    <m/>
    <m/>
    <m/>
    <m/>
    <m/>
    <m/>
    <m/>
    <m/>
    <n v="3145.1000000000004"/>
    <n v="0"/>
    <m/>
    <n v="1"/>
    <n v="3145.1000000000004"/>
    <d v="2026-02-27T00:00:00"/>
    <n v="1"/>
    <n v="3145.1000000000004"/>
    <d v="2026-03-07T00:00:00"/>
    <n v="1"/>
    <n v="3145.1000000000004"/>
    <d v="2026-04-08T00:00:00"/>
    <n v="1"/>
    <n v="3145.1000000000004"/>
    <s v="U276-006"/>
    <d v="2026-05-04T00:00:00"/>
    <n v="1"/>
    <n v="3145.1000000000004"/>
    <d v="2026-05-06T00:00:00"/>
    <n v="1"/>
    <n v="3145.1000000000004"/>
    <s v="PAC"/>
    <s v="U276-005"/>
  </r>
  <r>
    <n v="48"/>
    <x v="0"/>
    <s v="Shipment 2 CO-SCR Duct"/>
    <x v="0"/>
    <x v="0"/>
    <m/>
    <m/>
    <s v="HRSG"/>
    <m/>
    <s v="Mr Vinh"/>
    <s v="V17564-DWXD-7469"/>
    <s v="COR-3"/>
    <s v="BUILT-UP H-BEAM "/>
    <n v="1"/>
    <n v="26961.700000000004"/>
    <n v="26961.700000000004"/>
    <s v="(1208x2991x30910)"/>
    <m/>
    <s v="V17564-DWND-0020"/>
    <m/>
    <m/>
    <m/>
    <m/>
    <m/>
    <m/>
    <m/>
    <m/>
    <m/>
    <m/>
    <m/>
    <n v="26961.700000000008"/>
    <n v="0"/>
    <m/>
    <n v="1"/>
    <n v="26961.700000000004"/>
    <d v="2026-02-21T00:00:00"/>
    <n v="1"/>
    <n v="26961.700000000004"/>
    <d v="2026-03-04T00:00:00"/>
    <n v="1"/>
    <n v="26961.700000000004"/>
    <d v="2026-04-08T00:00:00"/>
    <n v="1"/>
    <n v="26961.700000000004"/>
    <s v="U276-006-1"/>
    <d v="2026-05-10T00:00:00"/>
    <n v="1"/>
    <n v="26961.700000000004"/>
    <d v="2026-05-18T00:00:00"/>
    <n v="1"/>
    <n v="26961.700000000004"/>
    <s v="PAC"/>
    <s v="U276-006"/>
  </r>
  <r>
    <n v="49"/>
    <x v="0"/>
    <s v="Shipment 2 CO-SCR Duct"/>
    <x v="0"/>
    <x v="0"/>
    <m/>
    <m/>
    <s v="HRSG"/>
    <m/>
    <s v="Mr Vinh"/>
    <s v="V17564-DWXD-7474"/>
    <s v="COR-4"/>
    <s v="ANGLE "/>
    <n v="1"/>
    <n v="1663.7"/>
    <n v="1663.7"/>
    <s v="(490x1263x12463)"/>
    <m/>
    <s v="V17564-DWND-0020"/>
    <m/>
    <m/>
    <m/>
    <m/>
    <m/>
    <m/>
    <m/>
    <m/>
    <m/>
    <m/>
    <m/>
    <n v="1663.6999999999998"/>
    <n v="0"/>
    <m/>
    <n v="1"/>
    <n v="1663.7"/>
    <d v="2026-02-09T00:00:00"/>
    <n v="1"/>
    <n v="1663.7"/>
    <d v="2026-02-27T00:00:00"/>
    <n v="1"/>
    <n v="1663.7"/>
    <d v="2026-04-08T00:00:00"/>
    <n v="1"/>
    <n v="1663.7"/>
    <s v="U276-006"/>
    <d v="2026-05-04T00:00:00"/>
    <n v="1"/>
    <n v="1663.7"/>
    <d v="2026-05-06T00:00:00"/>
    <n v="1"/>
    <n v="1663.7"/>
    <s v="PAC"/>
    <s v="U276-005"/>
  </r>
  <r>
    <n v="50"/>
    <x v="0"/>
    <s v="Shipment 2 CO-SCR Duct"/>
    <x v="0"/>
    <x v="0"/>
    <m/>
    <m/>
    <s v="HRSG"/>
    <m/>
    <s v="Mr Vinh"/>
    <s v="V17564-DWXD-7477"/>
    <s v="COR-5"/>
    <s v="CHANNEL "/>
    <n v="1"/>
    <n v="1648.5"/>
    <n v="1648.5"/>
    <s v="(296x1263x12258)"/>
    <m/>
    <s v="V17564-DWND-0020"/>
    <m/>
    <m/>
    <m/>
    <m/>
    <m/>
    <m/>
    <m/>
    <m/>
    <m/>
    <m/>
    <m/>
    <n v="1648.5"/>
    <n v="0"/>
    <m/>
    <n v="1"/>
    <n v="1648.5"/>
    <d v="2026-03-17T00:00:00"/>
    <n v="1"/>
    <n v="1648.5"/>
    <d v="2026-03-20T00:00:00"/>
    <n v="1"/>
    <n v="1648.5"/>
    <d v="2026-04-08T00:00:00"/>
    <n v="1"/>
    <n v="1648.5"/>
    <s v="U276-005"/>
    <d v="2026-04-29T00:00:00"/>
    <n v="1"/>
    <n v="1648.5"/>
    <d v="2026-04-30T00:00:00"/>
    <n v="1"/>
    <n v="1648.5"/>
    <s v="PAC"/>
    <s v="U276-004"/>
  </r>
  <r>
    <n v="51"/>
    <x v="0"/>
    <s v="Shipment 2 CO-SCR Duct"/>
    <x v="0"/>
    <x v="0"/>
    <m/>
    <m/>
    <s v="HRSG"/>
    <m/>
    <s v="Mr Vinh"/>
    <s v="V17564-DWXD-7480"/>
    <s v="COT-1"/>
    <s v="CHANNEL "/>
    <n v="1"/>
    <n v="1351.3"/>
    <n v="1351.3"/>
    <s v="(363x2353x6154)"/>
    <m/>
    <s v="V17564-DWND-0020"/>
    <m/>
    <m/>
    <m/>
    <m/>
    <m/>
    <m/>
    <m/>
    <m/>
    <m/>
    <m/>
    <m/>
    <n v="1351.3000000000002"/>
    <n v="0"/>
    <m/>
    <n v="1"/>
    <n v="1351.3"/>
    <d v="2026-01-24T00:00:00"/>
    <n v="1"/>
    <n v="1351.3"/>
    <d v="2026-03-16T00:00:00"/>
    <n v="1"/>
    <n v="1351.3"/>
    <d v="2026-04-08T00:00:00"/>
    <n v="1"/>
    <n v="1351.3"/>
    <s v="U276-002"/>
    <d v="2026-04-08T00:00:00"/>
    <n v="1"/>
    <n v="1351.3"/>
    <d v="2026-04-10T00:00:00"/>
    <n v="1"/>
    <n v="1351.3"/>
    <s v="PAC"/>
    <s v="U276-001"/>
  </r>
  <r>
    <n v="52"/>
    <x v="0"/>
    <s v="Shipment 2 CO-SCR Duct"/>
    <x v="0"/>
    <x v="0"/>
    <m/>
    <m/>
    <s v="HRSG"/>
    <m/>
    <s v="Mr Vinh"/>
    <s v="V17564-DWXD-7483"/>
    <s v="COT-2"/>
    <s v="BUILT-UP H-BEAM "/>
    <n v="1"/>
    <n v="6879.9000000000015"/>
    <n v="6879.9000000000015"/>
    <s v="(1389x2941x6191)"/>
    <m/>
    <s v="V17564-DWND-0020"/>
    <m/>
    <m/>
    <m/>
    <m/>
    <m/>
    <m/>
    <m/>
    <m/>
    <m/>
    <m/>
    <m/>
    <n v="6879.9000000000015"/>
    <n v="0"/>
    <m/>
    <n v="1"/>
    <n v="6879.9000000000015"/>
    <d v="2026-01-26T00:00:00"/>
    <n v="1"/>
    <n v="6879.9000000000015"/>
    <d v="2026-02-09T00:00:00"/>
    <n v="1"/>
    <n v="6879.9000000000015"/>
    <d v="2026-04-08T00:00:00"/>
    <n v="1"/>
    <n v="6879.9000000000015"/>
    <s v="U276-004"/>
    <d v="2026-04-15T00:00:00"/>
    <n v="1"/>
    <n v="6879.9000000000015"/>
    <d v="2026-04-21T00:00:00"/>
    <n v="1"/>
    <n v="6879.9000000000015"/>
    <s v="PAC"/>
    <s v="U276-003"/>
  </r>
  <r>
    <n v="53"/>
    <x v="0"/>
    <s v="Shipment 2 CO-SCR Duct"/>
    <x v="0"/>
    <x v="0"/>
    <m/>
    <m/>
    <s v="HRSG"/>
    <m/>
    <s v="Mr Vinh"/>
    <s v="V17564-DWXD-7486"/>
    <s v="COT-3"/>
    <s v="CHANNEL "/>
    <n v="1"/>
    <n v="906"/>
    <n v="906"/>
    <s v="(363x1288x6154)"/>
    <m/>
    <s v="V17564-DWND-0020"/>
    <m/>
    <m/>
    <m/>
    <m/>
    <m/>
    <m/>
    <m/>
    <m/>
    <m/>
    <m/>
    <m/>
    <n v="906.00000000000011"/>
    <n v="0"/>
    <m/>
    <n v="1"/>
    <n v="906"/>
    <d v="2026-02-05T00:00:00"/>
    <n v="1"/>
    <n v="906"/>
    <d v="2026-03-16T00:00:00"/>
    <n v="1"/>
    <n v="906"/>
    <d v="2026-04-08T00:00:00"/>
    <n v="1"/>
    <n v="906"/>
    <s v="U276-003"/>
    <d v="2026-04-14T00:00:00"/>
    <n v="1"/>
    <n v="906"/>
    <d v="2026-04-15T00:00:00"/>
    <n v="1"/>
    <n v="906"/>
    <s v="PAC"/>
    <s v="U276-002"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77"/>
  <sheetViews>
    <sheetView tabSelected="1" zoomScale="70" zoomScaleNormal="70" workbookViewId="0">
      <pane xSplit="18" ySplit="3" topLeftCell="AJ4" activePane="bottomRight" state="frozen"/>
      <selection pane="topRight" activeCell="S1" sqref="S1"/>
      <selection pane="bottomLeft" activeCell="A4" sqref="A4"/>
      <selection pane="bottomRight" activeCell="K6" sqref="K6"/>
    </sheetView>
  </sheetViews>
  <sheetFormatPr defaultRowHeight="15.75" outlineLevelCol="1" x14ac:dyDescent="0.25"/>
  <cols>
    <col min="1" max="1" width="4" customWidth="1"/>
    <col min="2" max="2" width="10.375" customWidth="1"/>
    <col min="3" max="3" width="22.625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1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ÁN:U276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46218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SUBTOTAL(9,AK4:AK77)</f>
        <v>244</v>
      </c>
      <c r="AL2" s="68">
        <f>SUBTOTAL(9,AL4:AL77)</f>
        <v>91899.5</v>
      </c>
      <c r="AM2" s="15"/>
      <c r="AN2" s="67">
        <f>SUBTOTAL(9,AN4:AN77)</f>
        <v>244</v>
      </c>
      <c r="AO2" s="68">
        <f>SUBTOTAL(9,AO4:AO77)</f>
        <v>91899.5</v>
      </c>
      <c r="AP2" s="15"/>
      <c r="AQ2" s="67">
        <f>SUBTOTAL(9,AQ4:AQ77)</f>
        <v>16</v>
      </c>
      <c r="AR2" s="68">
        <f>SUBTOTAL(9,AR4:AR77)</f>
        <v>90965.799999999988</v>
      </c>
      <c r="AS2" s="16" t="str">
        <f>SUBSTITUTE(A1,"DỰ ÁN:","")&amp;"-"</f>
        <v>U276-</v>
      </c>
      <c r="AT2" s="17"/>
      <c r="AU2" s="67">
        <f>SUBTOTAL(9,AU4:AU77)</f>
        <v>244</v>
      </c>
      <c r="AV2" s="68">
        <f>SUBTOTAL(9,AV4:AV77)</f>
        <v>91899.5</v>
      </c>
      <c r="AW2" s="16"/>
      <c r="AX2" s="67">
        <f>SUBTOTAL(9,AX4:AX77)</f>
        <v>244</v>
      </c>
      <c r="AY2" s="67">
        <f>SUBTOTAL(9,AY4:AY77)</f>
        <v>91899.5</v>
      </c>
      <c r="AZ2" s="17"/>
      <c r="BA2" s="18" t="str">
        <f>SUBSTITUTE(A1,"DỰ ÁN:","")&amp;"-"</f>
        <v>U276-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182</v>
      </c>
      <c r="C4" s="25" t="s">
        <v>183</v>
      </c>
      <c r="D4" s="25" t="s">
        <v>180</v>
      </c>
      <c r="E4" s="25" t="s">
        <v>181</v>
      </c>
      <c r="F4" s="25"/>
      <c r="G4" s="65"/>
      <c r="H4" s="25" t="s">
        <v>184</v>
      </c>
      <c r="I4" s="25"/>
      <c r="J4" s="26" t="s">
        <v>244</v>
      </c>
      <c r="K4" s="27" t="s">
        <v>69</v>
      </c>
      <c r="L4" s="28" t="s">
        <v>70</v>
      </c>
      <c r="M4" s="28" t="s">
        <v>71</v>
      </c>
      <c r="N4" s="25">
        <v>86</v>
      </c>
      <c r="O4" s="29">
        <v>5.2488372093023257</v>
      </c>
      <c r="P4" s="29">
        <v>451.4</v>
      </c>
      <c r="Q4" s="25" t="s">
        <v>189</v>
      </c>
      <c r="R4" s="25"/>
      <c r="S4" s="26" t="s">
        <v>185</v>
      </c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451.40000000000003</v>
      </c>
      <c r="AF4" s="32">
        <f>+P4-AE4</f>
        <v>0</v>
      </c>
      <c r="AG4" s="30"/>
      <c r="AH4" s="33">
        <v>1</v>
      </c>
      <c r="AI4" s="34">
        <f>+AH4*P4</f>
        <v>451.4</v>
      </c>
      <c r="AJ4" s="35">
        <v>46162</v>
      </c>
      <c r="AK4" s="30">
        <v>86</v>
      </c>
      <c r="AL4" s="36">
        <f>IFERROR(AK4*$P4/$N4,0)</f>
        <v>451.40000000000003</v>
      </c>
      <c r="AM4" s="35">
        <v>46162</v>
      </c>
      <c r="AN4" s="30">
        <v>86</v>
      </c>
      <c r="AO4" s="36">
        <f>IFERROR(AN4*$P4/$N4,0)</f>
        <v>451.40000000000003</v>
      </c>
      <c r="AP4" s="35"/>
      <c r="AQ4" s="30"/>
      <c r="AR4" s="36">
        <f>IFERROR(AQ4*$P4/$N4,0)</f>
        <v>0</v>
      </c>
      <c r="AS4" s="27" t="s">
        <v>242</v>
      </c>
      <c r="AT4" s="37">
        <v>46162</v>
      </c>
      <c r="AU4" s="30">
        <v>86</v>
      </c>
      <c r="AV4" s="36">
        <f>IFERROR(AU4*$P4/$N4,0)</f>
        <v>451.40000000000003</v>
      </c>
      <c r="AW4" s="35">
        <v>46162</v>
      </c>
      <c r="AX4" s="30">
        <v>86</v>
      </c>
      <c r="AY4" s="32">
        <f>IFERROR(AX4*$P4/$N4,0)</f>
        <v>451.40000000000003</v>
      </c>
      <c r="AZ4" s="30" t="s">
        <v>228</v>
      </c>
      <c r="BA4" s="63" t="s">
        <v>240</v>
      </c>
      <c r="BB4" s="71"/>
      <c r="BC4" s="71"/>
      <c r="BD4" s="71"/>
      <c r="BF4" s="59" t="s">
        <v>182</v>
      </c>
      <c r="BG4" s="72">
        <v>91899.5</v>
      </c>
      <c r="BH4" s="70">
        <v>91899.5</v>
      </c>
    </row>
    <row r="5" spans="1:60" x14ac:dyDescent="0.25">
      <c r="A5" s="24">
        <f>IF(B5="","",SUBTOTAL(3,$B$4:B5))</f>
        <v>2</v>
      </c>
      <c r="B5" s="25" t="s">
        <v>182</v>
      </c>
      <c r="C5" s="25" t="s">
        <v>183</v>
      </c>
      <c r="D5" s="25" t="s">
        <v>180</v>
      </c>
      <c r="E5" s="25" t="s">
        <v>181</v>
      </c>
      <c r="F5" s="25"/>
      <c r="G5" s="65"/>
      <c r="H5" s="25" t="s">
        <v>184</v>
      </c>
      <c r="I5" s="25"/>
      <c r="J5" s="26" t="s">
        <v>244</v>
      </c>
      <c r="K5" s="27" t="s">
        <v>72</v>
      </c>
      <c r="L5" s="28" t="s">
        <v>73</v>
      </c>
      <c r="M5" s="28" t="s">
        <v>71</v>
      </c>
      <c r="N5" s="25">
        <v>2</v>
      </c>
      <c r="O5" s="29">
        <v>5.0999999999999996</v>
      </c>
      <c r="P5" s="29">
        <v>10.199999999999999</v>
      </c>
      <c r="Q5" s="25" t="s">
        <v>190</v>
      </c>
      <c r="R5" s="25"/>
      <c r="S5" s="26" t="s">
        <v>185</v>
      </c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77" si="0">+AL5*0.5+AO5*0.4+AV5*0.1</f>
        <v>10.199999999999999</v>
      </c>
      <c r="AF5" s="32">
        <f t="shared" ref="AF5:AF77" si="1">+P5-AE5</f>
        <v>0</v>
      </c>
      <c r="AG5" s="30"/>
      <c r="AH5" s="33">
        <v>1</v>
      </c>
      <c r="AI5" s="34">
        <f t="shared" ref="AI5:AI77" si="2">+AH5*P5</f>
        <v>10.199999999999999</v>
      </c>
      <c r="AJ5" s="35">
        <v>46162</v>
      </c>
      <c r="AK5" s="30">
        <v>2</v>
      </c>
      <c r="AL5" s="36">
        <f t="shared" ref="AL5:AL77" si="3">IFERROR(AK5*$P5/$N5,0)</f>
        <v>10.199999999999999</v>
      </c>
      <c r="AM5" s="35">
        <v>46162</v>
      </c>
      <c r="AN5" s="30">
        <v>2</v>
      </c>
      <c r="AO5" s="36">
        <f t="shared" ref="AO5:AO77" si="4">IFERROR(AN5*$P5/$N5,0)</f>
        <v>10.199999999999999</v>
      </c>
      <c r="AP5" s="35"/>
      <c r="AQ5" s="30"/>
      <c r="AR5" s="36">
        <f t="shared" ref="AR5:AR77" si="5">IFERROR(AQ5*$P5/$N5,0)</f>
        <v>0</v>
      </c>
      <c r="AS5" s="27" t="s">
        <v>241</v>
      </c>
      <c r="AT5" s="37">
        <v>46162</v>
      </c>
      <c r="AU5" s="30">
        <v>2</v>
      </c>
      <c r="AV5" s="36">
        <f t="shared" ref="AV5:AV77" si="6">IFERROR(AU5*$P5/$N5,0)</f>
        <v>10.199999999999999</v>
      </c>
      <c r="AW5" s="35">
        <v>46163</v>
      </c>
      <c r="AX5" s="30">
        <v>2</v>
      </c>
      <c r="AY5" s="32">
        <f t="shared" ref="AY5:AY77" si="7">IFERROR(AX5*$P5/$N5,0)</f>
        <v>10.199999999999999</v>
      </c>
      <c r="AZ5" s="30" t="s">
        <v>228</v>
      </c>
      <c r="BA5" s="63" t="s">
        <v>239</v>
      </c>
      <c r="BB5" s="71"/>
      <c r="BC5" s="71"/>
      <c r="BD5" s="71"/>
      <c r="BF5" s="60" t="s">
        <v>180</v>
      </c>
      <c r="BG5" s="72">
        <v>91899.5</v>
      </c>
      <c r="BH5" s="70">
        <v>91899.5</v>
      </c>
    </row>
    <row r="6" spans="1:60" x14ac:dyDescent="0.25">
      <c r="A6" s="24">
        <f>IF(B6="","",SUBTOTAL(3,$B$4:B6))</f>
        <v>3</v>
      </c>
      <c r="B6" s="25" t="s">
        <v>182</v>
      </c>
      <c r="C6" s="25" t="s">
        <v>183</v>
      </c>
      <c r="D6" s="25" t="s">
        <v>180</v>
      </c>
      <c r="E6" s="25" t="s">
        <v>181</v>
      </c>
      <c r="F6" s="25"/>
      <c r="G6" s="65"/>
      <c r="H6" s="25" t="s">
        <v>184</v>
      </c>
      <c r="I6" s="25"/>
      <c r="J6" s="26" t="s">
        <v>244</v>
      </c>
      <c r="K6" s="27" t="s">
        <v>74</v>
      </c>
      <c r="L6" s="28" t="s">
        <v>75</v>
      </c>
      <c r="M6" s="28" t="s">
        <v>71</v>
      </c>
      <c r="N6" s="25">
        <v>1</v>
      </c>
      <c r="O6" s="29">
        <v>7.1</v>
      </c>
      <c r="P6" s="29">
        <v>7.1</v>
      </c>
      <c r="Q6" s="25" t="s">
        <v>191</v>
      </c>
      <c r="R6" s="25"/>
      <c r="S6" s="26" t="s">
        <v>185</v>
      </c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0"/>
        <v>7.1</v>
      </c>
      <c r="AF6" s="32">
        <f t="shared" si="1"/>
        <v>0</v>
      </c>
      <c r="AG6" s="30"/>
      <c r="AH6" s="33">
        <v>1</v>
      </c>
      <c r="AI6" s="34">
        <f t="shared" si="2"/>
        <v>7.1</v>
      </c>
      <c r="AJ6" s="35">
        <v>46162</v>
      </c>
      <c r="AK6" s="30">
        <v>1</v>
      </c>
      <c r="AL6" s="36">
        <f t="shared" si="3"/>
        <v>7.1</v>
      </c>
      <c r="AM6" s="35">
        <v>46162</v>
      </c>
      <c r="AN6" s="30">
        <v>1</v>
      </c>
      <c r="AO6" s="36">
        <f t="shared" si="4"/>
        <v>7.1</v>
      </c>
      <c r="AP6" s="35"/>
      <c r="AQ6" s="30"/>
      <c r="AR6" s="36">
        <f t="shared" si="5"/>
        <v>0</v>
      </c>
      <c r="AS6" s="27" t="s">
        <v>242</v>
      </c>
      <c r="AT6" s="37">
        <v>46162</v>
      </c>
      <c r="AU6" s="30">
        <v>1</v>
      </c>
      <c r="AV6" s="36">
        <f t="shared" si="6"/>
        <v>7.1</v>
      </c>
      <c r="AW6" s="35">
        <v>46162</v>
      </c>
      <c r="AX6" s="30">
        <v>1</v>
      </c>
      <c r="AY6" s="32">
        <f t="shared" si="7"/>
        <v>7.1</v>
      </c>
      <c r="AZ6" s="30" t="s">
        <v>228</v>
      </c>
      <c r="BA6" s="63" t="s">
        <v>240</v>
      </c>
      <c r="BB6" s="71"/>
      <c r="BC6" s="71"/>
      <c r="BD6" s="71"/>
      <c r="BF6" s="61" t="s">
        <v>181</v>
      </c>
      <c r="BG6" s="72">
        <v>91899.5</v>
      </c>
      <c r="BH6" s="70">
        <v>91899.5</v>
      </c>
    </row>
    <row r="7" spans="1:60" x14ac:dyDescent="0.25">
      <c r="A7" s="24">
        <f>IF(B7="","",SUBTOTAL(3,$B$4:B7))</f>
        <v>4</v>
      </c>
      <c r="B7" s="25" t="s">
        <v>182</v>
      </c>
      <c r="C7" s="25" t="s">
        <v>183</v>
      </c>
      <c r="D7" s="25" t="s">
        <v>180</v>
      </c>
      <c r="E7" s="25" t="s">
        <v>181</v>
      </c>
      <c r="F7" s="25"/>
      <c r="G7" s="65"/>
      <c r="H7" s="25" t="s">
        <v>184</v>
      </c>
      <c r="I7" s="25"/>
      <c r="J7" s="26" t="s">
        <v>244</v>
      </c>
      <c r="K7" s="27" t="s">
        <v>76</v>
      </c>
      <c r="L7" s="28" t="s">
        <v>77</v>
      </c>
      <c r="M7" s="28" t="s">
        <v>71</v>
      </c>
      <c r="N7" s="25">
        <v>1</v>
      </c>
      <c r="O7" s="29">
        <v>4</v>
      </c>
      <c r="P7" s="29">
        <v>4</v>
      </c>
      <c r="Q7" s="25" t="s">
        <v>192</v>
      </c>
      <c r="R7" s="25"/>
      <c r="S7" s="26" t="s">
        <v>185</v>
      </c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0"/>
        <v>4</v>
      </c>
      <c r="AF7" s="32">
        <f t="shared" si="1"/>
        <v>0</v>
      </c>
      <c r="AG7" s="30"/>
      <c r="AH7" s="33">
        <v>1</v>
      </c>
      <c r="AI7" s="34">
        <f t="shared" si="2"/>
        <v>4</v>
      </c>
      <c r="AJ7" s="35">
        <v>46162</v>
      </c>
      <c r="AK7" s="30">
        <v>1</v>
      </c>
      <c r="AL7" s="36">
        <f t="shared" si="3"/>
        <v>4</v>
      </c>
      <c r="AM7" s="35">
        <v>46162</v>
      </c>
      <c r="AN7" s="30">
        <v>1</v>
      </c>
      <c r="AO7" s="36">
        <f t="shared" si="4"/>
        <v>4</v>
      </c>
      <c r="AP7" s="35"/>
      <c r="AQ7" s="30"/>
      <c r="AR7" s="36">
        <f t="shared" si="5"/>
        <v>0</v>
      </c>
      <c r="AS7" s="27" t="s">
        <v>242</v>
      </c>
      <c r="AT7" s="37">
        <v>46162</v>
      </c>
      <c r="AU7" s="30">
        <v>1</v>
      </c>
      <c r="AV7" s="36">
        <f t="shared" si="6"/>
        <v>4</v>
      </c>
      <c r="AW7" s="35">
        <v>46162</v>
      </c>
      <c r="AX7" s="30">
        <v>1</v>
      </c>
      <c r="AY7" s="32">
        <f t="shared" si="7"/>
        <v>4</v>
      </c>
      <c r="AZ7" s="30" t="s">
        <v>228</v>
      </c>
      <c r="BA7" s="63" t="s">
        <v>240</v>
      </c>
      <c r="BB7" s="71"/>
      <c r="BC7" s="71"/>
      <c r="BD7" s="71"/>
      <c r="BF7" s="59" t="s">
        <v>50</v>
      </c>
      <c r="BG7" s="72">
        <v>91899.5</v>
      </c>
      <c r="BH7" s="70">
        <v>91899.5</v>
      </c>
    </row>
    <row r="8" spans="1:60" x14ac:dyDescent="0.25">
      <c r="A8" s="24">
        <f>IF(B8="","",SUBTOTAL(3,$B$4:B8))</f>
        <v>5</v>
      </c>
      <c r="B8" s="25" t="s">
        <v>182</v>
      </c>
      <c r="C8" s="25" t="s">
        <v>183</v>
      </c>
      <c r="D8" s="25" t="s">
        <v>180</v>
      </c>
      <c r="E8" s="25" t="s">
        <v>181</v>
      </c>
      <c r="F8" s="25"/>
      <c r="G8" s="65"/>
      <c r="H8" s="25" t="s">
        <v>184</v>
      </c>
      <c r="I8" s="25"/>
      <c r="J8" s="26" t="s">
        <v>244</v>
      </c>
      <c r="K8" s="27" t="s">
        <v>78</v>
      </c>
      <c r="L8" s="28" t="s">
        <v>79</v>
      </c>
      <c r="M8" s="28" t="s">
        <v>71</v>
      </c>
      <c r="N8" s="25">
        <v>1</v>
      </c>
      <c r="O8" s="29">
        <v>7.4</v>
      </c>
      <c r="P8" s="29">
        <v>7.4</v>
      </c>
      <c r="Q8" s="25" t="s">
        <v>193</v>
      </c>
      <c r="R8" s="25"/>
      <c r="S8" s="26" t="s">
        <v>185</v>
      </c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0"/>
        <v>7.4</v>
      </c>
      <c r="AF8" s="32">
        <f t="shared" si="1"/>
        <v>0</v>
      </c>
      <c r="AG8" s="30"/>
      <c r="AH8" s="33">
        <v>1</v>
      </c>
      <c r="AI8" s="34">
        <f t="shared" si="2"/>
        <v>7.4</v>
      </c>
      <c r="AJ8" s="35">
        <v>46162</v>
      </c>
      <c r="AK8" s="30">
        <v>1</v>
      </c>
      <c r="AL8" s="36">
        <f t="shared" si="3"/>
        <v>7.4</v>
      </c>
      <c r="AM8" s="35">
        <v>46162</v>
      </c>
      <c r="AN8" s="30">
        <v>1</v>
      </c>
      <c r="AO8" s="36">
        <f t="shared" si="4"/>
        <v>7.4</v>
      </c>
      <c r="AP8" s="35"/>
      <c r="AQ8" s="30"/>
      <c r="AR8" s="36">
        <f t="shared" si="5"/>
        <v>0</v>
      </c>
      <c r="AS8" s="27" t="s">
        <v>241</v>
      </c>
      <c r="AT8" s="37">
        <v>46162</v>
      </c>
      <c r="AU8" s="30">
        <v>1</v>
      </c>
      <c r="AV8" s="36">
        <f t="shared" si="6"/>
        <v>7.4</v>
      </c>
      <c r="AW8" s="35">
        <v>46163</v>
      </c>
      <c r="AX8" s="30">
        <v>1</v>
      </c>
      <c r="AY8" s="32">
        <f t="shared" ref="AY8:AY9" si="8">IFERROR(AX8*$P8/$N8,0)</f>
        <v>7.4</v>
      </c>
      <c r="AZ8" s="30" t="s">
        <v>228</v>
      </c>
      <c r="BA8" s="63" t="s">
        <v>239</v>
      </c>
      <c r="BB8" s="71"/>
      <c r="BC8" s="71"/>
      <c r="BD8" s="71"/>
    </row>
    <row r="9" spans="1:60" x14ac:dyDescent="0.25">
      <c r="A9" s="24">
        <f>IF(B9="","",SUBTOTAL(3,$B$4:B9))</f>
        <v>6</v>
      </c>
      <c r="B9" s="25" t="s">
        <v>182</v>
      </c>
      <c r="C9" s="25" t="s">
        <v>183</v>
      </c>
      <c r="D9" s="25" t="s">
        <v>180</v>
      </c>
      <c r="E9" s="25" t="s">
        <v>181</v>
      </c>
      <c r="F9" s="25"/>
      <c r="G9" s="65"/>
      <c r="H9" s="25" t="s">
        <v>184</v>
      </c>
      <c r="I9" s="25"/>
      <c r="J9" s="26" t="s">
        <v>244</v>
      </c>
      <c r="K9" s="27" t="s">
        <v>80</v>
      </c>
      <c r="L9" s="28" t="s">
        <v>81</v>
      </c>
      <c r="M9" s="28" t="s">
        <v>71</v>
      </c>
      <c r="N9" s="25">
        <v>1</v>
      </c>
      <c r="O9" s="29">
        <v>7.4</v>
      </c>
      <c r="P9" s="29">
        <v>7.4</v>
      </c>
      <c r="Q9" s="25" t="s">
        <v>193</v>
      </c>
      <c r="R9" s="25"/>
      <c r="S9" s="26" t="s">
        <v>185</v>
      </c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0"/>
        <v>7.4</v>
      </c>
      <c r="AF9" s="32">
        <f t="shared" si="1"/>
        <v>0</v>
      </c>
      <c r="AG9" s="30"/>
      <c r="AH9" s="33">
        <v>1</v>
      </c>
      <c r="AI9" s="34">
        <f t="shared" si="2"/>
        <v>7.4</v>
      </c>
      <c r="AJ9" s="35">
        <v>46162</v>
      </c>
      <c r="AK9" s="30">
        <v>1</v>
      </c>
      <c r="AL9" s="36">
        <f t="shared" si="3"/>
        <v>7.4</v>
      </c>
      <c r="AM9" s="35">
        <v>46162</v>
      </c>
      <c r="AN9" s="30">
        <v>1</v>
      </c>
      <c r="AO9" s="36">
        <f t="shared" si="4"/>
        <v>7.4</v>
      </c>
      <c r="AP9" s="35"/>
      <c r="AQ9" s="30"/>
      <c r="AR9" s="36">
        <f t="shared" si="5"/>
        <v>0</v>
      </c>
      <c r="AS9" s="27" t="s">
        <v>241</v>
      </c>
      <c r="AT9" s="37">
        <v>46162</v>
      </c>
      <c r="AU9" s="30">
        <v>1</v>
      </c>
      <c r="AV9" s="36">
        <f t="shared" si="6"/>
        <v>7.4</v>
      </c>
      <c r="AW9" s="35">
        <v>46163</v>
      </c>
      <c r="AX9" s="30">
        <v>1</v>
      </c>
      <c r="AY9" s="32">
        <f t="shared" si="8"/>
        <v>7.4</v>
      </c>
      <c r="AZ9" s="30" t="s">
        <v>228</v>
      </c>
      <c r="BA9" s="63" t="s">
        <v>239</v>
      </c>
      <c r="BB9" s="71"/>
      <c r="BC9" s="71"/>
      <c r="BD9" s="71"/>
    </row>
    <row r="10" spans="1:60" x14ac:dyDescent="0.25">
      <c r="A10" s="24">
        <f>IF(B10="","",SUBTOTAL(3,$B$4:B10))</f>
        <v>7</v>
      </c>
      <c r="B10" s="25" t="s">
        <v>182</v>
      </c>
      <c r="C10" s="25" t="s">
        <v>183</v>
      </c>
      <c r="D10" s="25" t="s">
        <v>180</v>
      </c>
      <c r="E10" s="25" t="s">
        <v>181</v>
      </c>
      <c r="F10" s="25"/>
      <c r="G10" s="65"/>
      <c r="H10" s="25" t="s">
        <v>184</v>
      </c>
      <c r="I10" s="25"/>
      <c r="J10" s="26" t="s">
        <v>244</v>
      </c>
      <c r="K10" s="27" t="s">
        <v>82</v>
      </c>
      <c r="L10" s="28" t="s">
        <v>83</v>
      </c>
      <c r="M10" s="28" t="s">
        <v>71</v>
      </c>
      <c r="N10" s="25">
        <v>4</v>
      </c>
      <c r="O10" s="29">
        <v>2.6</v>
      </c>
      <c r="P10" s="29">
        <v>10.4</v>
      </c>
      <c r="Q10" s="25" t="s">
        <v>194</v>
      </c>
      <c r="R10" s="25"/>
      <c r="S10" s="26" t="s">
        <v>185</v>
      </c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0"/>
        <v>10.399999999999999</v>
      </c>
      <c r="AF10" s="32">
        <f t="shared" si="1"/>
        <v>0</v>
      </c>
      <c r="AG10" s="30"/>
      <c r="AH10" s="33">
        <v>1</v>
      </c>
      <c r="AI10" s="34">
        <f t="shared" si="2"/>
        <v>10.4</v>
      </c>
      <c r="AJ10" s="35">
        <v>46162</v>
      </c>
      <c r="AK10" s="30">
        <v>4</v>
      </c>
      <c r="AL10" s="36">
        <f t="shared" si="3"/>
        <v>10.4</v>
      </c>
      <c r="AM10" s="35">
        <v>46162</v>
      </c>
      <c r="AN10" s="30">
        <v>4</v>
      </c>
      <c r="AO10" s="36">
        <f t="shared" si="4"/>
        <v>10.4</v>
      </c>
      <c r="AP10" s="35"/>
      <c r="AQ10" s="30"/>
      <c r="AR10" s="36">
        <f t="shared" si="5"/>
        <v>0</v>
      </c>
      <c r="AS10" s="27" t="s">
        <v>242</v>
      </c>
      <c r="AT10" s="37">
        <v>46162</v>
      </c>
      <c r="AU10" s="30">
        <v>4</v>
      </c>
      <c r="AV10" s="36">
        <f t="shared" si="6"/>
        <v>10.4</v>
      </c>
      <c r="AW10" s="35">
        <v>46162</v>
      </c>
      <c r="AX10" s="30">
        <v>4</v>
      </c>
      <c r="AY10" s="32">
        <f t="shared" si="7"/>
        <v>10.4</v>
      </c>
      <c r="AZ10" s="30" t="s">
        <v>228</v>
      </c>
      <c r="BA10" s="63" t="s">
        <v>240</v>
      </c>
      <c r="BB10" s="71"/>
      <c r="BC10" s="71"/>
      <c r="BD10" s="71"/>
    </row>
    <row r="11" spans="1:60" x14ac:dyDescent="0.25">
      <c r="A11" s="24">
        <f>IF(B11="","",SUBTOTAL(3,$B$4:B11))</f>
        <v>8</v>
      </c>
      <c r="B11" s="25" t="s">
        <v>182</v>
      </c>
      <c r="C11" s="25" t="s">
        <v>183</v>
      </c>
      <c r="D11" s="25" t="s">
        <v>180</v>
      </c>
      <c r="E11" s="25" t="s">
        <v>181</v>
      </c>
      <c r="F11" s="25"/>
      <c r="G11" s="65"/>
      <c r="H11" s="25" t="s">
        <v>184</v>
      </c>
      <c r="I11" s="25"/>
      <c r="J11" s="26" t="s">
        <v>244</v>
      </c>
      <c r="K11" s="27" t="s">
        <v>84</v>
      </c>
      <c r="L11" s="28" t="s">
        <v>85</v>
      </c>
      <c r="M11" s="28" t="s">
        <v>71</v>
      </c>
      <c r="N11" s="25">
        <v>4</v>
      </c>
      <c r="O11" s="29">
        <v>5.25</v>
      </c>
      <c r="P11" s="29">
        <v>21</v>
      </c>
      <c r="Q11" s="25" t="s">
        <v>195</v>
      </c>
      <c r="R11" s="25"/>
      <c r="S11" s="26" t="s">
        <v>185</v>
      </c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0"/>
        <v>21</v>
      </c>
      <c r="AF11" s="32">
        <f t="shared" si="1"/>
        <v>0</v>
      </c>
      <c r="AG11" s="30"/>
      <c r="AH11" s="33">
        <v>1</v>
      </c>
      <c r="AI11" s="34">
        <f t="shared" si="2"/>
        <v>21</v>
      </c>
      <c r="AJ11" s="35">
        <v>46162</v>
      </c>
      <c r="AK11" s="30">
        <v>4</v>
      </c>
      <c r="AL11" s="36">
        <f t="shared" si="3"/>
        <v>21</v>
      </c>
      <c r="AM11" s="35">
        <v>46162</v>
      </c>
      <c r="AN11" s="30">
        <v>4</v>
      </c>
      <c r="AO11" s="36">
        <f t="shared" si="4"/>
        <v>21</v>
      </c>
      <c r="AP11" s="35"/>
      <c r="AQ11" s="30"/>
      <c r="AR11" s="36">
        <f t="shared" si="5"/>
        <v>0</v>
      </c>
      <c r="AS11" s="27" t="s">
        <v>242</v>
      </c>
      <c r="AT11" s="37">
        <v>46162</v>
      </c>
      <c r="AU11" s="30">
        <v>4</v>
      </c>
      <c r="AV11" s="36">
        <f t="shared" si="6"/>
        <v>21</v>
      </c>
      <c r="AW11" s="35">
        <v>46162</v>
      </c>
      <c r="AX11" s="30">
        <v>4</v>
      </c>
      <c r="AY11" s="32">
        <f t="shared" si="7"/>
        <v>21</v>
      </c>
      <c r="AZ11" s="30" t="s">
        <v>228</v>
      </c>
      <c r="BA11" s="63" t="s">
        <v>240</v>
      </c>
      <c r="BB11" s="71"/>
      <c r="BC11" s="71"/>
      <c r="BD11" s="71"/>
    </row>
    <row r="12" spans="1:60" x14ac:dyDescent="0.25">
      <c r="A12" s="24">
        <f>IF(B12="","",SUBTOTAL(3,$B$4:B12))</f>
        <v>9</v>
      </c>
      <c r="B12" s="25" t="s">
        <v>182</v>
      </c>
      <c r="C12" s="25" t="s">
        <v>183</v>
      </c>
      <c r="D12" s="25" t="s">
        <v>180</v>
      </c>
      <c r="E12" s="25" t="s">
        <v>181</v>
      </c>
      <c r="F12" s="25"/>
      <c r="G12" s="65"/>
      <c r="H12" s="25" t="s">
        <v>184</v>
      </c>
      <c r="I12" s="25"/>
      <c r="J12" s="26" t="s">
        <v>244</v>
      </c>
      <c r="K12" s="27" t="s">
        <v>86</v>
      </c>
      <c r="L12" s="28" t="s">
        <v>87</v>
      </c>
      <c r="M12" s="28" t="s">
        <v>71</v>
      </c>
      <c r="N12" s="25">
        <v>4</v>
      </c>
      <c r="O12" s="29">
        <v>4.1749999999999998</v>
      </c>
      <c r="P12" s="29">
        <v>16.7</v>
      </c>
      <c r="Q12" s="25" t="s">
        <v>196</v>
      </c>
      <c r="R12" s="25"/>
      <c r="S12" s="26" t="s">
        <v>185</v>
      </c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0"/>
        <v>16.7</v>
      </c>
      <c r="AF12" s="32">
        <f t="shared" si="1"/>
        <v>0</v>
      </c>
      <c r="AG12" s="30"/>
      <c r="AH12" s="33">
        <v>1</v>
      </c>
      <c r="AI12" s="34">
        <f t="shared" si="2"/>
        <v>16.7</v>
      </c>
      <c r="AJ12" s="35">
        <v>46162</v>
      </c>
      <c r="AK12" s="30">
        <v>4</v>
      </c>
      <c r="AL12" s="36">
        <f t="shared" si="3"/>
        <v>16.7</v>
      </c>
      <c r="AM12" s="35">
        <v>46162</v>
      </c>
      <c r="AN12" s="30">
        <v>4</v>
      </c>
      <c r="AO12" s="36">
        <f t="shared" si="4"/>
        <v>16.7</v>
      </c>
      <c r="AP12" s="35"/>
      <c r="AQ12" s="30"/>
      <c r="AR12" s="36">
        <f t="shared" si="5"/>
        <v>0</v>
      </c>
      <c r="AS12" s="27" t="s">
        <v>242</v>
      </c>
      <c r="AT12" s="37">
        <v>46162</v>
      </c>
      <c r="AU12" s="30">
        <v>4</v>
      </c>
      <c r="AV12" s="36">
        <f t="shared" si="6"/>
        <v>16.7</v>
      </c>
      <c r="AW12" s="35">
        <v>46162</v>
      </c>
      <c r="AX12" s="30">
        <v>4</v>
      </c>
      <c r="AY12" s="32">
        <f t="shared" si="7"/>
        <v>16.7</v>
      </c>
      <c r="AZ12" s="30" t="s">
        <v>228</v>
      </c>
      <c r="BA12" s="63" t="s">
        <v>240</v>
      </c>
      <c r="BB12" s="71"/>
      <c r="BC12" s="71"/>
      <c r="BD12" s="71"/>
    </row>
    <row r="13" spans="1:60" x14ac:dyDescent="0.25">
      <c r="A13" s="24">
        <f>IF(B13="","",SUBTOTAL(3,$B$4:B13))</f>
        <v>10</v>
      </c>
      <c r="B13" s="25" t="s">
        <v>182</v>
      </c>
      <c r="C13" s="25" t="s">
        <v>183</v>
      </c>
      <c r="D13" s="25" t="s">
        <v>180</v>
      </c>
      <c r="E13" s="25" t="s">
        <v>181</v>
      </c>
      <c r="F13" s="25"/>
      <c r="G13" s="65"/>
      <c r="H13" s="25" t="s">
        <v>184</v>
      </c>
      <c r="I13" s="25"/>
      <c r="J13" s="26" t="s">
        <v>244</v>
      </c>
      <c r="K13" s="27" t="s">
        <v>88</v>
      </c>
      <c r="L13" s="28" t="s">
        <v>89</v>
      </c>
      <c r="M13" s="28" t="s">
        <v>71</v>
      </c>
      <c r="N13" s="25">
        <v>2</v>
      </c>
      <c r="O13" s="29">
        <v>3.65</v>
      </c>
      <c r="P13" s="29">
        <v>7.3</v>
      </c>
      <c r="Q13" s="25" t="s">
        <v>197</v>
      </c>
      <c r="R13" s="25"/>
      <c r="S13" s="26" t="s">
        <v>185</v>
      </c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0"/>
        <v>7.3000000000000007</v>
      </c>
      <c r="AF13" s="32">
        <f t="shared" si="1"/>
        <v>0</v>
      </c>
      <c r="AG13" s="30"/>
      <c r="AH13" s="33">
        <v>1</v>
      </c>
      <c r="AI13" s="34">
        <f t="shared" si="2"/>
        <v>7.3</v>
      </c>
      <c r="AJ13" s="35">
        <v>46162</v>
      </c>
      <c r="AK13" s="30">
        <v>2</v>
      </c>
      <c r="AL13" s="36">
        <f t="shared" si="3"/>
        <v>7.3</v>
      </c>
      <c r="AM13" s="35">
        <v>46162</v>
      </c>
      <c r="AN13" s="30">
        <v>2</v>
      </c>
      <c r="AO13" s="36">
        <f t="shared" si="4"/>
        <v>7.3</v>
      </c>
      <c r="AP13" s="35"/>
      <c r="AQ13" s="30"/>
      <c r="AR13" s="36">
        <f t="shared" si="5"/>
        <v>0</v>
      </c>
      <c r="AS13" s="27" t="s">
        <v>242</v>
      </c>
      <c r="AT13" s="37">
        <v>46162</v>
      </c>
      <c r="AU13" s="30">
        <v>2</v>
      </c>
      <c r="AV13" s="36">
        <f t="shared" si="6"/>
        <v>7.3</v>
      </c>
      <c r="AW13" s="35">
        <v>46162</v>
      </c>
      <c r="AX13" s="30">
        <v>2</v>
      </c>
      <c r="AY13" s="32">
        <f t="shared" si="7"/>
        <v>7.3</v>
      </c>
      <c r="AZ13" s="30" t="s">
        <v>228</v>
      </c>
      <c r="BA13" s="63" t="s">
        <v>240</v>
      </c>
      <c r="BB13" s="71"/>
      <c r="BC13" s="71"/>
      <c r="BD13" s="71"/>
    </row>
    <row r="14" spans="1:60" x14ac:dyDescent="0.25">
      <c r="A14" s="24">
        <f>IF(B14="","",SUBTOTAL(3,$B$4:B14))</f>
        <v>11</v>
      </c>
      <c r="B14" s="25" t="s">
        <v>182</v>
      </c>
      <c r="C14" s="25" t="s">
        <v>183</v>
      </c>
      <c r="D14" s="25" t="s">
        <v>180</v>
      </c>
      <c r="E14" s="25" t="s">
        <v>181</v>
      </c>
      <c r="F14" s="25"/>
      <c r="G14" s="65"/>
      <c r="H14" s="25" t="s">
        <v>184</v>
      </c>
      <c r="I14" s="25"/>
      <c r="J14" s="26" t="s">
        <v>244</v>
      </c>
      <c r="K14" s="27" t="s">
        <v>90</v>
      </c>
      <c r="L14" s="28" t="s">
        <v>91</v>
      </c>
      <c r="M14" s="28" t="s">
        <v>71</v>
      </c>
      <c r="N14" s="25">
        <v>2</v>
      </c>
      <c r="O14" s="29">
        <v>4.05</v>
      </c>
      <c r="P14" s="29">
        <v>8.1</v>
      </c>
      <c r="Q14" s="25" t="s">
        <v>198</v>
      </c>
      <c r="R14" s="25"/>
      <c r="S14" s="26" t="s">
        <v>185</v>
      </c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ref="AE14:AE62" si="9">+AL14*0.5+AO14*0.4+AV14*0.1</f>
        <v>8.1</v>
      </c>
      <c r="AF14" s="32">
        <f t="shared" ref="AF14:AF62" si="10">+P14-AE14</f>
        <v>0</v>
      </c>
      <c r="AG14" s="30"/>
      <c r="AH14" s="33">
        <v>1</v>
      </c>
      <c r="AI14" s="34">
        <f t="shared" ref="AI14:AI62" si="11">+AH14*P14</f>
        <v>8.1</v>
      </c>
      <c r="AJ14" s="35">
        <v>46162</v>
      </c>
      <c r="AK14" s="30">
        <v>2</v>
      </c>
      <c r="AL14" s="36">
        <f t="shared" si="3"/>
        <v>8.1</v>
      </c>
      <c r="AM14" s="35">
        <v>46162</v>
      </c>
      <c r="AN14" s="30">
        <v>2</v>
      </c>
      <c r="AO14" s="36">
        <f t="shared" si="4"/>
        <v>8.1</v>
      </c>
      <c r="AP14" s="35"/>
      <c r="AQ14" s="30"/>
      <c r="AR14" s="36">
        <f t="shared" ref="AR14:AR62" si="12">IFERROR(AQ14*$P14/$N14,0)</f>
        <v>0</v>
      </c>
      <c r="AS14" s="27" t="s">
        <v>242</v>
      </c>
      <c r="AT14" s="37">
        <v>46162</v>
      </c>
      <c r="AU14" s="30">
        <v>2</v>
      </c>
      <c r="AV14" s="36">
        <f t="shared" ref="AV14:AV62" si="13">IFERROR(AU14*$P14/$N14,0)</f>
        <v>8.1</v>
      </c>
      <c r="AW14" s="35">
        <v>46162</v>
      </c>
      <c r="AX14" s="30">
        <v>2</v>
      </c>
      <c r="AY14" s="32">
        <f t="shared" ref="AY14:AY62" si="14">IFERROR(AX14*$P14/$N14,0)</f>
        <v>8.1</v>
      </c>
      <c r="AZ14" s="30" t="s">
        <v>228</v>
      </c>
      <c r="BA14" s="63" t="s">
        <v>240</v>
      </c>
      <c r="BB14" s="71"/>
      <c r="BC14" s="71"/>
      <c r="BD14" s="71"/>
    </row>
    <row r="15" spans="1:60" x14ac:dyDescent="0.25">
      <c r="A15" s="24">
        <f>IF(B15="","",SUBTOTAL(3,$B$4:B15))</f>
        <v>12</v>
      </c>
      <c r="B15" s="25" t="s">
        <v>182</v>
      </c>
      <c r="C15" s="25" t="s">
        <v>183</v>
      </c>
      <c r="D15" s="25" t="s">
        <v>180</v>
      </c>
      <c r="E15" s="25" t="s">
        <v>181</v>
      </c>
      <c r="F15" s="25"/>
      <c r="G15" s="65"/>
      <c r="H15" s="25" t="s">
        <v>184</v>
      </c>
      <c r="I15" s="25"/>
      <c r="J15" s="26" t="s">
        <v>244</v>
      </c>
      <c r="K15" s="27" t="s">
        <v>92</v>
      </c>
      <c r="L15" s="28" t="s">
        <v>93</v>
      </c>
      <c r="M15" s="28" t="s">
        <v>71</v>
      </c>
      <c r="N15" s="25">
        <v>2</v>
      </c>
      <c r="O15" s="29">
        <v>8.25</v>
      </c>
      <c r="P15" s="29">
        <v>16.5</v>
      </c>
      <c r="Q15" s="25" t="s">
        <v>199</v>
      </c>
      <c r="R15" s="25"/>
      <c r="S15" s="26" t="s">
        <v>185</v>
      </c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9"/>
        <v>16.5</v>
      </c>
      <c r="AF15" s="32">
        <f t="shared" si="10"/>
        <v>0</v>
      </c>
      <c r="AG15" s="30"/>
      <c r="AH15" s="33">
        <v>1</v>
      </c>
      <c r="AI15" s="34">
        <f t="shared" si="11"/>
        <v>16.5</v>
      </c>
      <c r="AJ15" s="35">
        <v>46162</v>
      </c>
      <c r="AK15" s="30">
        <v>2</v>
      </c>
      <c r="AL15" s="36">
        <f t="shared" si="3"/>
        <v>16.5</v>
      </c>
      <c r="AM15" s="35">
        <v>46162</v>
      </c>
      <c r="AN15" s="30">
        <v>2</v>
      </c>
      <c r="AO15" s="36">
        <f t="shared" si="4"/>
        <v>16.5</v>
      </c>
      <c r="AP15" s="35"/>
      <c r="AQ15" s="30"/>
      <c r="AR15" s="36">
        <f t="shared" si="12"/>
        <v>0</v>
      </c>
      <c r="AS15" s="27" t="s">
        <v>242</v>
      </c>
      <c r="AT15" s="37">
        <v>46162</v>
      </c>
      <c r="AU15" s="30">
        <v>2</v>
      </c>
      <c r="AV15" s="36">
        <f t="shared" si="13"/>
        <v>16.5</v>
      </c>
      <c r="AW15" s="35">
        <v>46162</v>
      </c>
      <c r="AX15" s="30">
        <v>2</v>
      </c>
      <c r="AY15" s="32">
        <f t="shared" si="14"/>
        <v>16.5</v>
      </c>
      <c r="AZ15" s="30" t="s">
        <v>228</v>
      </c>
      <c r="BA15" s="63" t="s">
        <v>240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182</v>
      </c>
      <c r="C16" s="25" t="s">
        <v>183</v>
      </c>
      <c r="D16" s="25" t="s">
        <v>180</v>
      </c>
      <c r="E16" s="25" t="s">
        <v>181</v>
      </c>
      <c r="F16" s="25"/>
      <c r="G16" s="65"/>
      <c r="H16" s="25" t="s">
        <v>184</v>
      </c>
      <c r="I16" s="25"/>
      <c r="J16" s="26" t="s">
        <v>244</v>
      </c>
      <c r="K16" s="27" t="s">
        <v>94</v>
      </c>
      <c r="L16" s="28" t="s">
        <v>95</v>
      </c>
      <c r="M16" s="28" t="s">
        <v>71</v>
      </c>
      <c r="N16" s="25">
        <v>6</v>
      </c>
      <c r="O16" s="29">
        <v>9.1</v>
      </c>
      <c r="P16" s="29">
        <v>54.6</v>
      </c>
      <c r="Q16" s="25" t="s">
        <v>200</v>
      </c>
      <c r="R16" s="25"/>
      <c r="S16" s="26" t="s">
        <v>185</v>
      </c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9"/>
        <v>54.6</v>
      </c>
      <c r="AF16" s="32">
        <f t="shared" si="10"/>
        <v>0</v>
      </c>
      <c r="AG16" s="30"/>
      <c r="AH16" s="33">
        <v>1</v>
      </c>
      <c r="AI16" s="34">
        <f t="shared" si="11"/>
        <v>54.6</v>
      </c>
      <c r="AJ16" s="35">
        <v>46162</v>
      </c>
      <c r="AK16" s="30">
        <v>6</v>
      </c>
      <c r="AL16" s="36">
        <f t="shared" si="3"/>
        <v>54.6</v>
      </c>
      <c r="AM16" s="35">
        <v>46162</v>
      </c>
      <c r="AN16" s="30">
        <v>6</v>
      </c>
      <c r="AO16" s="36">
        <f t="shared" si="4"/>
        <v>54.6</v>
      </c>
      <c r="AP16" s="35"/>
      <c r="AQ16" s="30"/>
      <c r="AR16" s="36">
        <f t="shared" si="12"/>
        <v>0</v>
      </c>
      <c r="AS16" s="27" t="s">
        <v>242</v>
      </c>
      <c r="AT16" s="37">
        <v>46162</v>
      </c>
      <c r="AU16" s="30">
        <v>6</v>
      </c>
      <c r="AV16" s="36">
        <f t="shared" si="13"/>
        <v>54.6</v>
      </c>
      <c r="AW16" s="35">
        <v>46162</v>
      </c>
      <c r="AX16" s="30">
        <v>6</v>
      </c>
      <c r="AY16" s="32">
        <f t="shared" si="14"/>
        <v>54.6</v>
      </c>
      <c r="AZ16" s="30" t="s">
        <v>228</v>
      </c>
      <c r="BA16" s="63" t="s">
        <v>240</v>
      </c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182</v>
      </c>
      <c r="C17" s="25" t="s">
        <v>183</v>
      </c>
      <c r="D17" s="25" t="s">
        <v>180</v>
      </c>
      <c r="E17" s="25" t="s">
        <v>181</v>
      </c>
      <c r="F17" s="25"/>
      <c r="G17" s="65"/>
      <c r="H17" s="25" t="s">
        <v>184</v>
      </c>
      <c r="I17" s="25"/>
      <c r="J17" s="26" t="s">
        <v>244</v>
      </c>
      <c r="K17" s="27" t="s">
        <v>96</v>
      </c>
      <c r="L17" s="28" t="s">
        <v>97</v>
      </c>
      <c r="M17" s="28" t="s">
        <v>71</v>
      </c>
      <c r="N17" s="25">
        <v>1</v>
      </c>
      <c r="O17" s="29">
        <v>7.1</v>
      </c>
      <c r="P17" s="29">
        <v>7.1</v>
      </c>
      <c r="Q17" s="25" t="s">
        <v>191</v>
      </c>
      <c r="R17" s="25"/>
      <c r="S17" s="26" t="s">
        <v>185</v>
      </c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9"/>
        <v>7.1</v>
      </c>
      <c r="AF17" s="32">
        <f t="shared" si="10"/>
        <v>0</v>
      </c>
      <c r="AG17" s="30"/>
      <c r="AH17" s="33">
        <v>1</v>
      </c>
      <c r="AI17" s="34">
        <f t="shared" si="11"/>
        <v>7.1</v>
      </c>
      <c r="AJ17" s="35">
        <v>46162</v>
      </c>
      <c r="AK17" s="30">
        <v>1</v>
      </c>
      <c r="AL17" s="36">
        <f t="shared" si="3"/>
        <v>7.1</v>
      </c>
      <c r="AM17" s="35">
        <v>46162</v>
      </c>
      <c r="AN17" s="30">
        <v>1</v>
      </c>
      <c r="AO17" s="36">
        <f t="shared" si="4"/>
        <v>7.1</v>
      </c>
      <c r="AP17" s="35"/>
      <c r="AQ17" s="30"/>
      <c r="AR17" s="36">
        <f t="shared" si="12"/>
        <v>0</v>
      </c>
      <c r="AS17" s="27" t="s">
        <v>242</v>
      </c>
      <c r="AT17" s="37">
        <v>46162</v>
      </c>
      <c r="AU17" s="30">
        <v>1</v>
      </c>
      <c r="AV17" s="36">
        <f t="shared" si="13"/>
        <v>7.1</v>
      </c>
      <c r="AW17" s="35">
        <v>46162</v>
      </c>
      <c r="AX17" s="30">
        <v>1</v>
      </c>
      <c r="AY17" s="32">
        <f t="shared" si="14"/>
        <v>7.1</v>
      </c>
      <c r="AZ17" s="30" t="s">
        <v>228</v>
      </c>
      <c r="BA17" s="63" t="s">
        <v>240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182</v>
      </c>
      <c r="C18" s="25" t="s">
        <v>183</v>
      </c>
      <c r="D18" s="25" t="s">
        <v>180</v>
      </c>
      <c r="E18" s="25" t="s">
        <v>181</v>
      </c>
      <c r="F18" s="25"/>
      <c r="G18" s="65"/>
      <c r="H18" s="25" t="s">
        <v>184</v>
      </c>
      <c r="I18" s="25"/>
      <c r="J18" s="26" t="s">
        <v>244</v>
      </c>
      <c r="K18" s="27" t="s">
        <v>98</v>
      </c>
      <c r="L18" s="28" t="s">
        <v>99</v>
      </c>
      <c r="M18" s="28" t="s">
        <v>71</v>
      </c>
      <c r="N18" s="25">
        <v>2</v>
      </c>
      <c r="O18" s="29">
        <v>1.6</v>
      </c>
      <c r="P18" s="29">
        <v>3.2</v>
      </c>
      <c r="Q18" s="25" t="s">
        <v>201</v>
      </c>
      <c r="R18" s="25"/>
      <c r="S18" s="26" t="s">
        <v>185</v>
      </c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9"/>
        <v>3.2</v>
      </c>
      <c r="AF18" s="32">
        <f t="shared" si="10"/>
        <v>0</v>
      </c>
      <c r="AG18" s="30"/>
      <c r="AH18" s="33">
        <v>1</v>
      </c>
      <c r="AI18" s="34">
        <f t="shared" si="11"/>
        <v>3.2</v>
      </c>
      <c r="AJ18" s="35">
        <v>46162</v>
      </c>
      <c r="AK18" s="30">
        <v>2</v>
      </c>
      <c r="AL18" s="36">
        <f t="shared" si="3"/>
        <v>3.2</v>
      </c>
      <c r="AM18" s="35">
        <v>46162</v>
      </c>
      <c r="AN18" s="30">
        <v>2</v>
      </c>
      <c r="AO18" s="36">
        <f t="shared" si="4"/>
        <v>3.2</v>
      </c>
      <c r="AP18" s="35"/>
      <c r="AQ18" s="30"/>
      <c r="AR18" s="36">
        <f t="shared" si="12"/>
        <v>0</v>
      </c>
      <c r="AS18" s="27" t="s">
        <v>242</v>
      </c>
      <c r="AT18" s="37">
        <v>46162</v>
      </c>
      <c r="AU18" s="30">
        <v>2</v>
      </c>
      <c r="AV18" s="36">
        <f t="shared" si="13"/>
        <v>3.2</v>
      </c>
      <c r="AW18" s="35">
        <v>46162</v>
      </c>
      <c r="AX18" s="30">
        <v>2</v>
      </c>
      <c r="AY18" s="32">
        <f t="shared" si="14"/>
        <v>3.2</v>
      </c>
      <c r="AZ18" s="30" t="s">
        <v>228</v>
      </c>
      <c r="BA18" s="63" t="s">
        <v>240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182</v>
      </c>
      <c r="C19" s="25" t="s">
        <v>183</v>
      </c>
      <c r="D19" s="25" t="s">
        <v>180</v>
      </c>
      <c r="E19" s="25" t="s">
        <v>181</v>
      </c>
      <c r="F19" s="25"/>
      <c r="G19" s="65"/>
      <c r="H19" s="25" t="s">
        <v>184</v>
      </c>
      <c r="I19" s="25"/>
      <c r="J19" s="26" t="s">
        <v>244</v>
      </c>
      <c r="K19" s="27" t="s">
        <v>100</v>
      </c>
      <c r="L19" s="28" t="s">
        <v>101</v>
      </c>
      <c r="M19" s="28" t="s">
        <v>71</v>
      </c>
      <c r="N19" s="25">
        <v>1</v>
      </c>
      <c r="O19" s="29">
        <v>9.6</v>
      </c>
      <c r="P19" s="29">
        <v>9.6</v>
      </c>
      <c r="Q19" s="25" t="s">
        <v>202</v>
      </c>
      <c r="R19" s="25"/>
      <c r="S19" s="26" t="s">
        <v>185</v>
      </c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9"/>
        <v>9.6000000000000014</v>
      </c>
      <c r="AF19" s="32">
        <f t="shared" si="10"/>
        <v>0</v>
      </c>
      <c r="AG19" s="30"/>
      <c r="AH19" s="33">
        <v>1</v>
      </c>
      <c r="AI19" s="34">
        <f t="shared" si="11"/>
        <v>9.6</v>
      </c>
      <c r="AJ19" s="35">
        <v>46162</v>
      </c>
      <c r="AK19" s="30">
        <v>1</v>
      </c>
      <c r="AL19" s="36">
        <f t="shared" ref="AL19:AL62" si="15">IFERROR(AK19*$P19/$N19,0)</f>
        <v>9.6</v>
      </c>
      <c r="AM19" s="35">
        <v>46162</v>
      </c>
      <c r="AN19" s="30">
        <v>1</v>
      </c>
      <c r="AO19" s="36">
        <f t="shared" ref="AO19:AO62" si="16">IFERROR(AN19*$P19/$N19,0)</f>
        <v>9.6</v>
      </c>
      <c r="AP19" s="35"/>
      <c r="AQ19" s="30"/>
      <c r="AR19" s="36">
        <f t="shared" si="12"/>
        <v>0</v>
      </c>
      <c r="AS19" s="27" t="s">
        <v>241</v>
      </c>
      <c r="AT19" s="37">
        <v>46162</v>
      </c>
      <c r="AU19" s="30">
        <v>1</v>
      </c>
      <c r="AV19" s="36">
        <f t="shared" si="13"/>
        <v>9.6</v>
      </c>
      <c r="AW19" s="35">
        <v>46163</v>
      </c>
      <c r="AX19" s="30">
        <v>1</v>
      </c>
      <c r="AY19" s="32">
        <f t="shared" si="14"/>
        <v>9.6</v>
      </c>
      <c r="AZ19" s="30" t="s">
        <v>228</v>
      </c>
      <c r="BA19" s="63" t="s">
        <v>239</v>
      </c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182</v>
      </c>
      <c r="C20" s="25" t="s">
        <v>183</v>
      </c>
      <c r="D20" s="25" t="s">
        <v>180</v>
      </c>
      <c r="E20" s="25" t="s">
        <v>181</v>
      </c>
      <c r="F20" s="25"/>
      <c r="G20" s="65"/>
      <c r="H20" s="25" t="s">
        <v>184</v>
      </c>
      <c r="I20" s="25"/>
      <c r="J20" s="26" t="s">
        <v>244</v>
      </c>
      <c r="K20" s="27" t="s">
        <v>102</v>
      </c>
      <c r="L20" s="28" t="s">
        <v>103</v>
      </c>
      <c r="M20" s="28" t="s">
        <v>71</v>
      </c>
      <c r="N20" s="25">
        <v>1</v>
      </c>
      <c r="O20" s="29">
        <v>9.6</v>
      </c>
      <c r="P20" s="29">
        <v>9.6</v>
      </c>
      <c r="Q20" s="25" t="s">
        <v>202</v>
      </c>
      <c r="R20" s="25"/>
      <c r="S20" s="26" t="s">
        <v>185</v>
      </c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9"/>
        <v>9.6000000000000014</v>
      </c>
      <c r="AF20" s="32">
        <f t="shared" si="10"/>
        <v>0</v>
      </c>
      <c r="AG20" s="30"/>
      <c r="AH20" s="33">
        <v>1</v>
      </c>
      <c r="AI20" s="34">
        <f t="shared" si="11"/>
        <v>9.6</v>
      </c>
      <c r="AJ20" s="35">
        <v>46162</v>
      </c>
      <c r="AK20" s="30">
        <v>1</v>
      </c>
      <c r="AL20" s="36">
        <f t="shared" si="15"/>
        <v>9.6</v>
      </c>
      <c r="AM20" s="35">
        <v>46162</v>
      </c>
      <c r="AN20" s="30">
        <v>1</v>
      </c>
      <c r="AO20" s="36">
        <f t="shared" si="16"/>
        <v>9.6</v>
      </c>
      <c r="AP20" s="35"/>
      <c r="AQ20" s="30"/>
      <c r="AR20" s="36">
        <f t="shared" si="12"/>
        <v>0</v>
      </c>
      <c r="AS20" s="27" t="s">
        <v>241</v>
      </c>
      <c r="AT20" s="37">
        <v>46162</v>
      </c>
      <c r="AU20" s="30">
        <v>1</v>
      </c>
      <c r="AV20" s="36">
        <f t="shared" si="13"/>
        <v>9.6</v>
      </c>
      <c r="AW20" s="35">
        <v>46163</v>
      </c>
      <c r="AX20" s="30">
        <v>1</v>
      </c>
      <c r="AY20" s="32">
        <f t="shared" si="14"/>
        <v>9.6</v>
      </c>
      <c r="AZ20" s="30" t="s">
        <v>228</v>
      </c>
      <c r="BA20" s="63" t="s">
        <v>239</v>
      </c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182</v>
      </c>
      <c r="C21" s="25" t="s">
        <v>183</v>
      </c>
      <c r="D21" s="25" t="s">
        <v>180</v>
      </c>
      <c r="E21" s="25" t="s">
        <v>181</v>
      </c>
      <c r="F21" s="25"/>
      <c r="G21" s="65"/>
      <c r="H21" s="25" t="s">
        <v>184</v>
      </c>
      <c r="I21" s="25"/>
      <c r="J21" s="26" t="s">
        <v>244</v>
      </c>
      <c r="K21" s="27" t="s">
        <v>104</v>
      </c>
      <c r="L21" s="28" t="s">
        <v>105</v>
      </c>
      <c r="M21" s="28" t="s">
        <v>71</v>
      </c>
      <c r="N21" s="25">
        <v>4</v>
      </c>
      <c r="O21" s="29">
        <v>9.625</v>
      </c>
      <c r="P21" s="29">
        <v>38.5</v>
      </c>
      <c r="Q21" s="25" t="s">
        <v>203</v>
      </c>
      <c r="R21" s="25"/>
      <c r="S21" s="26" t="s">
        <v>185</v>
      </c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9"/>
        <v>38.5</v>
      </c>
      <c r="AF21" s="32">
        <f t="shared" si="10"/>
        <v>0</v>
      </c>
      <c r="AG21" s="30"/>
      <c r="AH21" s="33">
        <v>1</v>
      </c>
      <c r="AI21" s="34">
        <f t="shared" si="11"/>
        <v>38.5</v>
      </c>
      <c r="AJ21" s="35">
        <v>46162</v>
      </c>
      <c r="AK21" s="30">
        <v>4</v>
      </c>
      <c r="AL21" s="36">
        <f t="shared" si="15"/>
        <v>38.5</v>
      </c>
      <c r="AM21" s="35">
        <v>46162</v>
      </c>
      <c r="AN21" s="30">
        <v>4</v>
      </c>
      <c r="AO21" s="36">
        <f t="shared" si="16"/>
        <v>38.5</v>
      </c>
      <c r="AP21" s="35"/>
      <c r="AQ21" s="30"/>
      <c r="AR21" s="36">
        <f t="shared" si="12"/>
        <v>0</v>
      </c>
      <c r="AS21" s="27" t="s">
        <v>241</v>
      </c>
      <c r="AT21" s="37">
        <v>46162</v>
      </c>
      <c r="AU21" s="30">
        <v>4</v>
      </c>
      <c r="AV21" s="36">
        <f t="shared" si="13"/>
        <v>38.5</v>
      </c>
      <c r="AW21" s="35">
        <v>46163</v>
      </c>
      <c r="AX21" s="30">
        <v>4</v>
      </c>
      <c r="AY21" s="32">
        <f t="shared" si="14"/>
        <v>38.5</v>
      </c>
      <c r="AZ21" s="30" t="s">
        <v>228</v>
      </c>
      <c r="BA21" s="63" t="s">
        <v>239</v>
      </c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182</v>
      </c>
      <c r="C22" s="25" t="s">
        <v>183</v>
      </c>
      <c r="D22" s="25" t="s">
        <v>180</v>
      </c>
      <c r="E22" s="25" t="s">
        <v>181</v>
      </c>
      <c r="F22" s="25"/>
      <c r="G22" s="65"/>
      <c r="H22" s="25" t="s">
        <v>184</v>
      </c>
      <c r="I22" s="25"/>
      <c r="J22" s="26" t="s">
        <v>244</v>
      </c>
      <c r="K22" s="27" t="s">
        <v>106</v>
      </c>
      <c r="L22" s="28" t="s">
        <v>107</v>
      </c>
      <c r="M22" s="28" t="s">
        <v>71</v>
      </c>
      <c r="N22" s="25">
        <v>1</v>
      </c>
      <c r="O22" s="29">
        <v>5.3</v>
      </c>
      <c r="P22" s="29">
        <v>5.3</v>
      </c>
      <c r="Q22" s="25" t="s">
        <v>204</v>
      </c>
      <c r="R22" s="25"/>
      <c r="S22" s="26" t="s">
        <v>185</v>
      </c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9"/>
        <v>5.3</v>
      </c>
      <c r="AF22" s="32">
        <f t="shared" si="10"/>
        <v>0</v>
      </c>
      <c r="AG22" s="30"/>
      <c r="AH22" s="33">
        <v>1</v>
      </c>
      <c r="AI22" s="34">
        <f t="shared" si="11"/>
        <v>5.3</v>
      </c>
      <c r="AJ22" s="35">
        <v>46162</v>
      </c>
      <c r="AK22" s="30">
        <v>1</v>
      </c>
      <c r="AL22" s="36">
        <f t="shared" si="15"/>
        <v>5.3</v>
      </c>
      <c r="AM22" s="35">
        <v>46162</v>
      </c>
      <c r="AN22" s="30">
        <v>1</v>
      </c>
      <c r="AO22" s="36">
        <f t="shared" si="16"/>
        <v>5.3</v>
      </c>
      <c r="AP22" s="35"/>
      <c r="AQ22" s="30"/>
      <c r="AR22" s="36">
        <f t="shared" si="12"/>
        <v>0</v>
      </c>
      <c r="AS22" s="27" t="s">
        <v>241</v>
      </c>
      <c r="AT22" s="37">
        <v>46162</v>
      </c>
      <c r="AU22" s="30">
        <v>1</v>
      </c>
      <c r="AV22" s="36">
        <f t="shared" si="13"/>
        <v>5.3</v>
      </c>
      <c r="AW22" s="35">
        <v>46163</v>
      </c>
      <c r="AX22" s="30">
        <v>1</v>
      </c>
      <c r="AY22" s="32">
        <f t="shared" si="14"/>
        <v>5.3</v>
      </c>
      <c r="AZ22" s="30" t="s">
        <v>228</v>
      </c>
      <c r="BA22" s="63" t="s">
        <v>239</v>
      </c>
      <c r="BB22" s="71"/>
      <c r="BC22" s="71"/>
      <c r="BD22" s="71"/>
    </row>
    <row r="23" spans="1:56" x14ac:dyDescent="0.25">
      <c r="A23" s="24">
        <f>IF(B23="","",SUBTOTAL(3,$B$4:B23))</f>
        <v>20</v>
      </c>
      <c r="B23" s="25" t="s">
        <v>182</v>
      </c>
      <c r="C23" s="25" t="s">
        <v>183</v>
      </c>
      <c r="D23" s="25" t="s">
        <v>180</v>
      </c>
      <c r="E23" s="25" t="s">
        <v>181</v>
      </c>
      <c r="F23" s="25"/>
      <c r="G23" s="65"/>
      <c r="H23" s="25" t="s">
        <v>184</v>
      </c>
      <c r="I23" s="25"/>
      <c r="J23" s="26" t="s">
        <v>244</v>
      </c>
      <c r="K23" s="27" t="s">
        <v>108</v>
      </c>
      <c r="L23" s="28" t="s">
        <v>109</v>
      </c>
      <c r="M23" s="28" t="s">
        <v>71</v>
      </c>
      <c r="N23" s="25">
        <v>1</v>
      </c>
      <c r="O23" s="29">
        <v>5.3</v>
      </c>
      <c r="P23" s="29">
        <v>5.3</v>
      </c>
      <c r="Q23" s="25" t="s">
        <v>204</v>
      </c>
      <c r="R23" s="25"/>
      <c r="S23" s="26" t="s">
        <v>185</v>
      </c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9"/>
        <v>5.3</v>
      </c>
      <c r="AF23" s="32">
        <f t="shared" si="10"/>
        <v>0</v>
      </c>
      <c r="AG23" s="30"/>
      <c r="AH23" s="33">
        <v>1</v>
      </c>
      <c r="AI23" s="34">
        <f t="shared" si="11"/>
        <v>5.3</v>
      </c>
      <c r="AJ23" s="35">
        <v>46162</v>
      </c>
      <c r="AK23" s="30">
        <v>1</v>
      </c>
      <c r="AL23" s="36">
        <f t="shared" si="15"/>
        <v>5.3</v>
      </c>
      <c r="AM23" s="35">
        <v>46162</v>
      </c>
      <c r="AN23" s="30">
        <v>1</v>
      </c>
      <c r="AO23" s="36">
        <f t="shared" si="16"/>
        <v>5.3</v>
      </c>
      <c r="AP23" s="35"/>
      <c r="AQ23" s="30"/>
      <c r="AR23" s="36">
        <f t="shared" si="12"/>
        <v>0</v>
      </c>
      <c r="AS23" s="27" t="s">
        <v>241</v>
      </c>
      <c r="AT23" s="37">
        <v>46162</v>
      </c>
      <c r="AU23" s="30">
        <v>1</v>
      </c>
      <c r="AV23" s="36">
        <f t="shared" si="13"/>
        <v>5.3</v>
      </c>
      <c r="AW23" s="35">
        <v>46163</v>
      </c>
      <c r="AX23" s="30">
        <v>1</v>
      </c>
      <c r="AY23" s="32">
        <f t="shared" si="14"/>
        <v>5.3</v>
      </c>
      <c r="AZ23" s="30" t="s">
        <v>228</v>
      </c>
      <c r="BA23" s="63" t="s">
        <v>239</v>
      </c>
      <c r="BB23" s="71"/>
      <c r="BC23" s="71"/>
      <c r="BD23" s="71"/>
    </row>
    <row r="24" spans="1:56" x14ac:dyDescent="0.25">
      <c r="A24" s="24">
        <f>IF(B24="","",SUBTOTAL(3,$B$4:B24))</f>
        <v>21</v>
      </c>
      <c r="B24" s="25" t="s">
        <v>182</v>
      </c>
      <c r="C24" s="25" t="s">
        <v>183</v>
      </c>
      <c r="D24" s="25" t="s">
        <v>180</v>
      </c>
      <c r="E24" s="25" t="s">
        <v>181</v>
      </c>
      <c r="F24" s="25"/>
      <c r="G24" s="65"/>
      <c r="H24" s="25" t="s">
        <v>184</v>
      </c>
      <c r="I24" s="25"/>
      <c r="J24" s="26" t="s">
        <v>244</v>
      </c>
      <c r="K24" s="27" t="s">
        <v>110</v>
      </c>
      <c r="L24" s="28" t="s">
        <v>111</v>
      </c>
      <c r="M24" s="28" t="s">
        <v>71</v>
      </c>
      <c r="N24" s="25">
        <v>2</v>
      </c>
      <c r="O24" s="29">
        <v>4.3499999999999996</v>
      </c>
      <c r="P24" s="29">
        <v>8.6999999999999993</v>
      </c>
      <c r="Q24" s="25" t="s">
        <v>205</v>
      </c>
      <c r="R24" s="25"/>
      <c r="S24" s="26" t="s">
        <v>185</v>
      </c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9"/>
        <v>8.6999999999999993</v>
      </c>
      <c r="AF24" s="32">
        <f t="shared" si="10"/>
        <v>0</v>
      </c>
      <c r="AG24" s="30"/>
      <c r="AH24" s="33">
        <v>1</v>
      </c>
      <c r="AI24" s="34">
        <f t="shared" si="11"/>
        <v>8.6999999999999993</v>
      </c>
      <c r="AJ24" s="35">
        <v>46162</v>
      </c>
      <c r="AK24" s="30">
        <v>2</v>
      </c>
      <c r="AL24" s="36">
        <f>IFERROR(AK24*$P24/$N24,0)</f>
        <v>8.6999999999999993</v>
      </c>
      <c r="AM24" s="35">
        <v>46162</v>
      </c>
      <c r="AN24" s="30">
        <v>2</v>
      </c>
      <c r="AO24" s="36">
        <f>IFERROR(AN24*$P24/$N24,0)</f>
        <v>8.6999999999999993</v>
      </c>
      <c r="AP24" s="35"/>
      <c r="AQ24" s="30"/>
      <c r="AR24" s="36">
        <f t="shared" si="12"/>
        <v>0</v>
      </c>
      <c r="AS24" s="27" t="s">
        <v>242</v>
      </c>
      <c r="AT24" s="37">
        <v>46162</v>
      </c>
      <c r="AU24" s="30">
        <v>2</v>
      </c>
      <c r="AV24" s="36">
        <f t="shared" si="13"/>
        <v>8.6999999999999993</v>
      </c>
      <c r="AW24" s="35">
        <v>46162</v>
      </c>
      <c r="AX24" s="30">
        <v>2</v>
      </c>
      <c r="AY24" s="32">
        <f t="shared" si="14"/>
        <v>8.6999999999999993</v>
      </c>
      <c r="AZ24" s="30" t="s">
        <v>228</v>
      </c>
      <c r="BA24" s="63" t="s">
        <v>240</v>
      </c>
      <c r="BB24" s="71"/>
      <c r="BC24" s="71"/>
      <c r="BD24" s="71"/>
    </row>
    <row r="25" spans="1:56" x14ac:dyDescent="0.25">
      <c r="A25" s="24">
        <f>IF(B25="","",SUBTOTAL(3,$B$4:B25))</f>
        <v>22</v>
      </c>
      <c r="B25" s="25" t="s">
        <v>182</v>
      </c>
      <c r="C25" s="25" t="s">
        <v>183</v>
      </c>
      <c r="D25" s="25" t="s">
        <v>180</v>
      </c>
      <c r="E25" s="25" t="s">
        <v>181</v>
      </c>
      <c r="F25" s="25"/>
      <c r="G25" s="65"/>
      <c r="H25" s="25" t="s">
        <v>184</v>
      </c>
      <c r="I25" s="25"/>
      <c r="J25" s="26" t="s">
        <v>244</v>
      </c>
      <c r="K25" s="27" t="s">
        <v>112</v>
      </c>
      <c r="L25" s="28" t="s">
        <v>113</v>
      </c>
      <c r="M25" s="28" t="s">
        <v>71</v>
      </c>
      <c r="N25" s="25">
        <v>1</v>
      </c>
      <c r="O25" s="29">
        <v>6.5</v>
      </c>
      <c r="P25" s="29">
        <v>6.5</v>
      </c>
      <c r="Q25" s="25" t="s">
        <v>206</v>
      </c>
      <c r="R25" s="25"/>
      <c r="S25" s="26" t="s">
        <v>185</v>
      </c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9"/>
        <v>6.5</v>
      </c>
      <c r="AF25" s="32">
        <f t="shared" si="10"/>
        <v>0</v>
      </c>
      <c r="AG25" s="30"/>
      <c r="AH25" s="33">
        <v>1</v>
      </c>
      <c r="AI25" s="34">
        <f t="shared" si="11"/>
        <v>6.5</v>
      </c>
      <c r="AJ25" s="35">
        <v>46162</v>
      </c>
      <c r="AK25" s="30">
        <v>1</v>
      </c>
      <c r="AL25" s="36">
        <f t="shared" si="15"/>
        <v>6.5</v>
      </c>
      <c r="AM25" s="35">
        <v>46162</v>
      </c>
      <c r="AN25" s="30">
        <v>1</v>
      </c>
      <c r="AO25" s="36">
        <f t="shared" si="16"/>
        <v>6.5</v>
      </c>
      <c r="AP25" s="35"/>
      <c r="AQ25" s="30"/>
      <c r="AR25" s="36">
        <f t="shared" si="12"/>
        <v>0</v>
      </c>
      <c r="AS25" s="27" t="s">
        <v>241</v>
      </c>
      <c r="AT25" s="37">
        <v>46162</v>
      </c>
      <c r="AU25" s="30">
        <v>1</v>
      </c>
      <c r="AV25" s="36">
        <f t="shared" si="13"/>
        <v>6.5</v>
      </c>
      <c r="AW25" s="35">
        <v>46163</v>
      </c>
      <c r="AX25" s="30">
        <v>1</v>
      </c>
      <c r="AY25" s="32">
        <f t="shared" si="14"/>
        <v>6.5</v>
      </c>
      <c r="AZ25" s="30" t="s">
        <v>228</v>
      </c>
      <c r="BA25" s="63" t="s">
        <v>239</v>
      </c>
      <c r="BB25" s="71"/>
      <c r="BC25" s="71"/>
      <c r="BD25" s="71"/>
    </row>
    <row r="26" spans="1:56" x14ac:dyDescent="0.25">
      <c r="A26" s="24">
        <f>IF(B26="","",SUBTOTAL(3,$B$4:B26))</f>
        <v>23</v>
      </c>
      <c r="B26" s="25" t="s">
        <v>182</v>
      </c>
      <c r="C26" s="25" t="s">
        <v>183</v>
      </c>
      <c r="D26" s="25" t="s">
        <v>180</v>
      </c>
      <c r="E26" s="25" t="s">
        <v>181</v>
      </c>
      <c r="F26" s="25"/>
      <c r="G26" s="65"/>
      <c r="H26" s="25" t="s">
        <v>184</v>
      </c>
      <c r="I26" s="25"/>
      <c r="J26" s="26" t="s">
        <v>244</v>
      </c>
      <c r="K26" s="27" t="s">
        <v>114</v>
      </c>
      <c r="L26" s="28" t="s">
        <v>115</v>
      </c>
      <c r="M26" s="28" t="s">
        <v>71</v>
      </c>
      <c r="N26" s="25">
        <v>1</v>
      </c>
      <c r="O26" s="29">
        <v>6.5</v>
      </c>
      <c r="P26" s="29">
        <v>6.5</v>
      </c>
      <c r="Q26" s="25" t="s">
        <v>206</v>
      </c>
      <c r="R26" s="25"/>
      <c r="S26" s="26" t="s">
        <v>185</v>
      </c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9"/>
        <v>6.5</v>
      </c>
      <c r="AF26" s="32">
        <f t="shared" si="10"/>
        <v>0</v>
      </c>
      <c r="AG26" s="30"/>
      <c r="AH26" s="33">
        <v>1</v>
      </c>
      <c r="AI26" s="34">
        <f t="shared" si="11"/>
        <v>6.5</v>
      </c>
      <c r="AJ26" s="35">
        <v>46162</v>
      </c>
      <c r="AK26" s="30">
        <v>1</v>
      </c>
      <c r="AL26" s="36">
        <f t="shared" si="15"/>
        <v>6.5</v>
      </c>
      <c r="AM26" s="35">
        <v>46162</v>
      </c>
      <c r="AN26" s="30">
        <v>1</v>
      </c>
      <c r="AO26" s="36">
        <f t="shared" si="16"/>
        <v>6.5</v>
      </c>
      <c r="AP26" s="35"/>
      <c r="AQ26" s="30"/>
      <c r="AR26" s="36">
        <f t="shared" si="12"/>
        <v>0</v>
      </c>
      <c r="AS26" s="27" t="s">
        <v>241</v>
      </c>
      <c r="AT26" s="37">
        <v>46162</v>
      </c>
      <c r="AU26" s="30">
        <v>1</v>
      </c>
      <c r="AV26" s="36">
        <f t="shared" si="13"/>
        <v>6.5</v>
      </c>
      <c r="AW26" s="35">
        <v>46163</v>
      </c>
      <c r="AX26" s="30">
        <v>1</v>
      </c>
      <c r="AY26" s="32">
        <f t="shared" si="14"/>
        <v>6.5</v>
      </c>
      <c r="AZ26" s="30" t="s">
        <v>228</v>
      </c>
      <c r="BA26" s="63" t="s">
        <v>239</v>
      </c>
      <c r="BB26" s="71"/>
      <c r="BC26" s="71"/>
      <c r="BD26" s="71"/>
    </row>
    <row r="27" spans="1:56" x14ac:dyDescent="0.25">
      <c r="A27" s="24">
        <f>IF(B27="","",SUBTOTAL(3,$B$4:B27))</f>
        <v>24</v>
      </c>
      <c r="B27" s="25" t="s">
        <v>182</v>
      </c>
      <c r="C27" s="25" t="s">
        <v>183</v>
      </c>
      <c r="D27" s="25" t="s">
        <v>180</v>
      </c>
      <c r="E27" s="25" t="s">
        <v>181</v>
      </c>
      <c r="F27" s="25"/>
      <c r="G27" s="65"/>
      <c r="H27" s="25" t="s">
        <v>184</v>
      </c>
      <c r="I27" s="25"/>
      <c r="J27" s="26" t="s">
        <v>244</v>
      </c>
      <c r="K27" s="27" t="s">
        <v>116</v>
      </c>
      <c r="L27" s="28" t="s">
        <v>117</v>
      </c>
      <c r="M27" s="28" t="s">
        <v>71</v>
      </c>
      <c r="N27" s="25">
        <v>1</v>
      </c>
      <c r="O27" s="29">
        <v>2.9</v>
      </c>
      <c r="P27" s="29">
        <v>2.9</v>
      </c>
      <c r="Q27" s="25" t="s">
        <v>207</v>
      </c>
      <c r="R27" s="25"/>
      <c r="S27" s="26" t="s">
        <v>185</v>
      </c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9"/>
        <v>2.9</v>
      </c>
      <c r="AF27" s="32">
        <f t="shared" si="10"/>
        <v>0</v>
      </c>
      <c r="AG27" s="30"/>
      <c r="AH27" s="33">
        <v>1</v>
      </c>
      <c r="AI27" s="34">
        <f t="shared" si="11"/>
        <v>2.9</v>
      </c>
      <c r="AJ27" s="35">
        <v>46162</v>
      </c>
      <c r="AK27" s="30">
        <v>1</v>
      </c>
      <c r="AL27" s="36">
        <f t="shared" si="15"/>
        <v>2.9</v>
      </c>
      <c r="AM27" s="35">
        <v>46162</v>
      </c>
      <c r="AN27" s="30">
        <v>1</v>
      </c>
      <c r="AO27" s="36">
        <f t="shared" si="16"/>
        <v>2.9</v>
      </c>
      <c r="AP27" s="35"/>
      <c r="AQ27" s="30"/>
      <c r="AR27" s="36">
        <f t="shared" si="12"/>
        <v>0</v>
      </c>
      <c r="AS27" s="27" t="s">
        <v>242</v>
      </c>
      <c r="AT27" s="37">
        <v>46162</v>
      </c>
      <c r="AU27" s="30">
        <v>1</v>
      </c>
      <c r="AV27" s="36">
        <f t="shared" si="13"/>
        <v>2.9</v>
      </c>
      <c r="AW27" s="35">
        <v>46162</v>
      </c>
      <c r="AX27" s="30">
        <v>1</v>
      </c>
      <c r="AY27" s="32">
        <f t="shared" si="14"/>
        <v>2.9</v>
      </c>
      <c r="AZ27" s="30" t="s">
        <v>228</v>
      </c>
      <c r="BA27" s="63" t="s">
        <v>240</v>
      </c>
      <c r="BB27" s="71"/>
      <c r="BC27" s="71"/>
      <c r="BD27" s="71"/>
    </row>
    <row r="28" spans="1:56" x14ac:dyDescent="0.25">
      <c r="A28" s="24">
        <f>IF(B28="","",SUBTOTAL(3,$B$4:B28))</f>
        <v>25</v>
      </c>
      <c r="B28" s="25" t="s">
        <v>182</v>
      </c>
      <c r="C28" s="25" t="s">
        <v>183</v>
      </c>
      <c r="D28" s="25" t="s">
        <v>180</v>
      </c>
      <c r="E28" s="25" t="s">
        <v>181</v>
      </c>
      <c r="F28" s="25"/>
      <c r="G28" s="65"/>
      <c r="H28" s="25" t="s">
        <v>184</v>
      </c>
      <c r="I28" s="25"/>
      <c r="J28" s="26" t="s">
        <v>244</v>
      </c>
      <c r="K28" s="27" t="s">
        <v>118</v>
      </c>
      <c r="L28" s="28" t="s">
        <v>119</v>
      </c>
      <c r="M28" s="28" t="s">
        <v>71</v>
      </c>
      <c r="N28" s="25">
        <v>1</v>
      </c>
      <c r="O28" s="29">
        <v>2.9</v>
      </c>
      <c r="P28" s="29">
        <v>2.9</v>
      </c>
      <c r="Q28" s="25" t="s">
        <v>207</v>
      </c>
      <c r="R28" s="25"/>
      <c r="S28" s="26" t="s">
        <v>185</v>
      </c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9"/>
        <v>2.9</v>
      </c>
      <c r="AF28" s="32">
        <f t="shared" si="10"/>
        <v>0</v>
      </c>
      <c r="AG28" s="30"/>
      <c r="AH28" s="33">
        <v>1</v>
      </c>
      <c r="AI28" s="34">
        <f t="shared" si="11"/>
        <v>2.9</v>
      </c>
      <c r="AJ28" s="35">
        <v>46162</v>
      </c>
      <c r="AK28" s="30">
        <v>1</v>
      </c>
      <c r="AL28" s="36">
        <f t="shared" si="15"/>
        <v>2.9</v>
      </c>
      <c r="AM28" s="35">
        <v>46162</v>
      </c>
      <c r="AN28" s="30">
        <v>1</v>
      </c>
      <c r="AO28" s="36">
        <f t="shared" si="16"/>
        <v>2.9</v>
      </c>
      <c r="AP28" s="35"/>
      <c r="AQ28" s="30"/>
      <c r="AR28" s="36">
        <f t="shared" si="12"/>
        <v>0</v>
      </c>
      <c r="AS28" s="27" t="s">
        <v>242</v>
      </c>
      <c r="AT28" s="37">
        <v>46162</v>
      </c>
      <c r="AU28" s="30">
        <v>1</v>
      </c>
      <c r="AV28" s="36">
        <f t="shared" si="13"/>
        <v>2.9</v>
      </c>
      <c r="AW28" s="35">
        <v>46162</v>
      </c>
      <c r="AX28" s="30">
        <v>1</v>
      </c>
      <c r="AY28" s="32">
        <f t="shared" si="14"/>
        <v>2.9</v>
      </c>
      <c r="AZ28" s="30" t="s">
        <v>228</v>
      </c>
      <c r="BA28" s="63" t="s">
        <v>240</v>
      </c>
      <c r="BB28" s="71"/>
      <c r="BC28" s="71"/>
      <c r="BD28" s="71"/>
    </row>
    <row r="29" spans="1:56" x14ac:dyDescent="0.25">
      <c r="A29" s="24">
        <f>IF(B29="","",SUBTOTAL(3,$B$4:B29))</f>
        <v>26</v>
      </c>
      <c r="B29" s="25" t="s">
        <v>182</v>
      </c>
      <c r="C29" s="25" t="s">
        <v>183</v>
      </c>
      <c r="D29" s="25" t="s">
        <v>180</v>
      </c>
      <c r="E29" s="25" t="s">
        <v>181</v>
      </c>
      <c r="F29" s="25"/>
      <c r="G29" s="65"/>
      <c r="H29" s="25" t="s">
        <v>184</v>
      </c>
      <c r="I29" s="25"/>
      <c r="J29" s="26" t="s">
        <v>244</v>
      </c>
      <c r="K29" s="27" t="s">
        <v>120</v>
      </c>
      <c r="L29" s="28" t="s">
        <v>121</v>
      </c>
      <c r="M29" s="28" t="s">
        <v>71</v>
      </c>
      <c r="N29" s="25">
        <v>2</v>
      </c>
      <c r="O29" s="29">
        <v>4.25</v>
      </c>
      <c r="P29" s="29">
        <v>8.5</v>
      </c>
      <c r="Q29" s="25" t="s">
        <v>208</v>
      </c>
      <c r="R29" s="25"/>
      <c r="S29" s="26" t="s">
        <v>185</v>
      </c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9"/>
        <v>8.5</v>
      </c>
      <c r="AF29" s="32">
        <f t="shared" si="10"/>
        <v>0</v>
      </c>
      <c r="AG29" s="30"/>
      <c r="AH29" s="33">
        <v>1</v>
      </c>
      <c r="AI29" s="34">
        <f t="shared" si="11"/>
        <v>8.5</v>
      </c>
      <c r="AJ29" s="35">
        <v>46162</v>
      </c>
      <c r="AK29" s="30">
        <v>2</v>
      </c>
      <c r="AL29" s="36">
        <f t="shared" si="15"/>
        <v>8.5</v>
      </c>
      <c r="AM29" s="35">
        <v>46162</v>
      </c>
      <c r="AN29" s="30">
        <v>2</v>
      </c>
      <c r="AO29" s="36">
        <f t="shared" si="16"/>
        <v>8.5</v>
      </c>
      <c r="AP29" s="35"/>
      <c r="AQ29" s="30"/>
      <c r="AR29" s="36">
        <f t="shared" si="12"/>
        <v>0</v>
      </c>
      <c r="AS29" s="27" t="s">
        <v>242</v>
      </c>
      <c r="AT29" s="37">
        <v>46162</v>
      </c>
      <c r="AU29" s="30">
        <v>2</v>
      </c>
      <c r="AV29" s="36">
        <f t="shared" si="13"/>
        <v>8.5</v>
      </c>
      <c r="AW29" s="35">
        <v>46162</v>
      </c>
      <c r="AX29" s="30">
        <v>2</v>
      </c>
      <c r="AY29" s="32">
        <f t="shared" si="14"/>
        <v>8.5</v>
      </c>
      <c r="AZ29" s="30" t="s">
        <v>228</v>
      </c>
      <c r="BA29" s="63" t="s">
        <v>240</v>
      </c>
      <c r="BB29" s="71"/>
      <c r="BC29" s="71"/>
      <c r="BD29" s="71"/>
    </row>
    <row r="30" spans="1:56" x14ac:dyDescent="0.25">
      <c r="A30" s="24">
        <f>IF(B30="","",SUBTOTAL(3,$B$4:B30))</f>
        <v>27</v>
      </c>
      <c r="B30" s="25" t="s">
        <v>182</v>
      </c>
      <c r="C30" s="25" t="s">
        <v>183</v>
      </c>
      <c r="D30" s="25" t="s">
        <v>180</v>
      </c>
      <c r="E30" s="25" t="s">
        <v>181</v>
      </c>
      <c r="F30" s="25"/>
      <c r="G30" s="65"/>
      <c r="H30" s="25" t="s">
        <v>184</v>
      </c>
      <c r="I30" s="25"/>
      <c r="J30" s="26" t="s">
        <v>244</v>
      </c>
      <c r="K30" s="27" t="s">
        <v>122</v>
      </c>
      <c r="L30" s="28" t="s">
        <v>123</v>
      </c>
      <c r="M30" s="28" t="s">
        <v>71</v>
      </c>
      <c r="N30" s="25">
        <v>1</v>
      </c>
      <c r="O30" s="29">
        <v>5.5</v>
      </c>
      <c r="P30" s="29">
        <v>5.5</v>
      </c>
      <c r="Q30" s="25" t="s">
        <v>209</v>
      </c>
      <c r="R30" s="25"/>
      <c r="S30" s="26" t="s">
        <v>185</v>
      </c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9"/>
        <v>5.5</v>
      </c>
      <c r="AF30" s="32">
        <f t="shared" si="10"/>
        <v>0</v>
      </c>
      <c r="AG30" s="30"/>
      <c r="AH30" s="33">
        <v>1</v>
      </c>
      <c r="AI30" s="34">
        <f t="shared" si="11"/>
        <v>5.5</v>
      </c>
      <c r="AJ30" s="35">
        <v>46162</v>
      </c>
      <c r="AK30" s="30">
        <v>1</v>
      </c>
      <c r="AL30" s="36">
        <f t="shared" si="15"/>
        <v>5.5</v>
      </c>
      <c r="AM30" s="35">
        <v>46162</v>
      </c>
      <c r="AN30" s="30">
        <v>1</v>
      </c>
      <c r="AO30" s="36">
        <f t="shared" si="16"/>
        <v>5.5</v>
      </c>
      <c r="AP30" s="35"/>
      <c r="AQ30" s="30"/>
      <c r="AR30" s="36">
        <f t="shared" si="12"/>
        <v>0</v>
      </c>
      <c r="AS30" s="27" t="s">
        <v>242</v>
      </c>
      <c r="AT30" s="37">
        <v>46162</v>
      </c>
      <c r="AU30" s="30">
        <v>1</v>
      </c>
      <c r="AV30" s="36">
        <f t="shared" si="13"/>
        <v>5.5</v>
      </c>
      <c r="AW30" s="35">
        <v>46162</v>
      </c>
      <c r="AX30" s="30">
        <v>1</v>
      </c>
      <c r="AY30" s="32">
        <f t="shared" si="14"/>
        <v>5.5</v>
      </c>
      <c r="AZ30" s="30" t="s">
        <v>228</v>
      </c>
      <c r="BA30" s="63" t="s">
        <v>240</v>
      </c>
      <c r="BB30" s="71"/>
      <c r="BC30" s="71"/>
      <c r="BD30" s="71"/>
    </row>
    <row r="31" spans="1:56" x14ac:dyDescent="0.25">
      <c r="A31" s="24">
        <f>IF(B31="","",SUBTOTAL(3,$B$4:B31))</f>
        <v>28</v>
      </c>
      <c r="B31" s="25" t="s">
        <v>182</v>
      </c>
      <c r="C31" s="25" t="s">
        <v>183</v>
      </c>
      <c r="D31" s="25" t="s">
        <v>180</v>
      </c>
      <c r="E31" s="25" t="s">
        <v>181</v>
      </c>
      <c r="F31" s="25"/>
      <c r="G31" s="65"/>
      <c r="H31" s="25" t="s">
        <v>184</v>
      </c>
      <c r="I31" s="25"/>
      <c r="J31" s="26" t="s">
        <v>244</v>
      </c>
      <c r="K31" s="27" t="s">
        <v>124</v>
      </c>
      <c r="L31" s="28" t="s">
        <v>125</v>
      </c>
      <c r="M31" s="28" t="s">
        <v>71</v>
      </c>
      <c r="N31" s="25">
        <v>1</v>
      </c>
      <c r="O31" s="29">
        <v>5.5</v>
      </c>
      <c r="P31" s="29">
        <v>5.5</v>
      </c>
      <c r="Q31" s="25" t="s">
        <v>209</v>
      </c>
      <c r="R31" s="25"/>
      <c r="S31" s="26" t="s">
        <v>185</v>
      </c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9"/>
        <v>5.5</v>
      </c>
      <c r="AF31" s="32">
        <f t="shared" si="10"/>
        <v>0</v>
      </c>
      <c r="AG31" s="30"/>
      <c r="AH31" s="33">
        <v>1</v>
      </c>
      <c r="AI31" s="34">
        <f t="shared" si="11"/>
        <v>5.5</v>
      </c>
      <c r="AJ31" s="35">
        <v>46162</v>
      </c>
      <c r="AK31" s="30">
        <v>1</v>
      </c>
      <c r="AL31" s="36">
        <f t="shared" si="15"/>
        <v>5.5</v>
      </c>
      <c r="AM31" s="35">
        <v>46162</v>
      </c>
      <c r="AN31" s="30">
        <v>1</v>
      </c>
      <c r="AO31" s="36">
        <f t="shared" si="16"/>
        <v>5.5</v>
      </c>
      <c r="AP31" s="35"/>
      <c r="AQ31" s="30"/>
      <c r="AR31" s="36">
        <f t="shared" si="12"/>
        <v>0</v>
      </c>
      <c r="AS31" s="27" t="s">
        <v>242</v>
      </c>
      <c r="AT31" s="37">
        <v>46162</v>
      </c>
      <c r="AU31" s="30">
        <v>1</v>
      </c>
      <c r="AV31" s="36">
        <f t="shared" si="13"/>
        <v>5.5</v>
      </c>
      <c r="AW31" s="35">
        <v>46162</v>
      </c>
      <c r="AX31" s="30">
        <v>1</v>
      </c>
      <c r="AY31" s="32">
        <f t="shared" si="14"/>
        <v>5.5</v>
      </c>
      <c r="AZ31" s="30" t="s">
        <v>228</v>
      </c>
      <c r="BA31" s="63" t="s">
        <v>240</v>
      </c>
      <c r="BB31" s="71"/>
      <c r="BC31" s="71"/>
      <c r="BD31" s="71"/>
    </row>
    <row r="32" spans="1:56" x14ac:dyDescent="0.25">
      <c r="A32" s="24">
        <f>IF(B32="","",SUBTOTAL(3,$B$4:B32))</f>
        <v>29</v>
      </c>
      <c r="B32" s="25" t="s">
        <v>182</v>
      </c>
      <c r="C32" s="25" t="s">
        <v>183</v>
      </c>
      <c r="D32" s="25" t="s">
        <v>180</v>
      </c>
      <c r="E32" s="25" t="s">
        <v>181</v>
      </c>
      <c r="F32" s="25"/>
      <c r="G32" s="65"/>
      <c r="H32" s="25" t="s">
        <v>184</v>
      </c>
      <c r="I32" s="25"/>
      <c r="J32" s="26" t="s">
        <v>244</v>
      </c>
      <c r="K32" s="27" t="s">
        <v>126</v>
      </c>
      <c r="L32" s="28" t="s">
        <v>127</v>
      </c>
      <c r="M32" s="28" t="s">
        <v>71</v>
      </c>
      <c r="N32" s="25">
        <v>4</v>
      </c>
      <c r="O32" s="29">
        <v>5.5250000000000004</v>
      </c>
      <c r="P32" s="29">
        <v>22.1</v>
      </c>
      <c r="Q32" s="25" t="s">
        <v>210</v>
      </c>
      <c r="R32" s="25"/>
      <c r="S32" s="26" t="s">
        <v>185</v>
      </c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9"/>
        <v>22.1</v>
      </c>
      <c r="AF32" s="32">
        <f t="shared" si="10"/>
        <v>0</v>
      </c>
      <c r="AG32" s="30"/>
      <c r="AH32" s="33">
        <v>1</v>
      </c>
      <c r="AI32" s="34">
        <f t="shared" si="11"/>
        <v>22.1</v>
      </c>
      <c r="AJ32" s="35">
        <v>46162</v>
      </c>
      <c r="AK32" s="30">
        <v>4</v>
      </c>
      <c r="AL32" s="36">
        <f t="shared" si="15"/>
        <v>22.1</v>
      </c>
      <c r="AM32" s="35">
        <v>46162</v>
      </c>
      <c r="AN32" s="30">
        <v>4</v>
      </c>
      <c r="AO32" s="36">
        <f t="shared" si="16"/>
        <v>22.1</v>
      </c>
      <c r="AP32" s="35"/>
      <c r="AQ32" s="30"/>
      <c r="AR32" s="36">
        <f t="shared" si="12"/>
        <v>0</v>
      </c>
      <c r="AS32" s="27" t="s">
        <v>242</v>
      </c>
      <c r="AT32" s="37">
        <v>46162</v>
      </c>
      <c r="AU32" s="30">
        <v>4</v>
      </c>
      <c r="AV32" s="36">
        <f t="shared" si="13"/>
        <v>22.1</v>
      </c>
      <c r="AW32" s="35">
        <v>46162</v>
      </c>
      <c r="AX32" s="30">
        <v>4</v>
      </c>
      <c r="AY32" s="32">
        <f t="shared" si="14"/>
        <v>22.1</v>
      </c>
      <c r="AZ32" s="30" t="s">
        <v>228</v>
      </c>
      <c r="BA32" s="63" t="s">
        <v>240</v>
      </c>
      <c r="BB32" s="71"/>
      <c r="BC32" s="71"/>
      <c r="BD32" s="71"/>
    </row>
    <row r="33" spans="1:56" x14ac:dyDescent="0.25">
      <c r="A33" s="24">
        <f>IF(B33="","",SUBTOTAL(3,$B$4:B33))</f>
        <v>30</v>
      </c>
      <c r="B33" s="25" t="s">
        <v>182</v>
      </c>
      <c r="C33" s="25" t="s">
        <v>183</v>
      </c>
      <c r="D33" s="25" t="s">
        <v>180</v>
      </c>
      <c r="E33" s="25" t="s">
        <v>181</v>
      </c>
      <c r="F33" s="25"/>
      <c r="G33" s="65"/>
      <c r="H33" s="25" t="s">
        <v>184</v>
      </c>
      <c r="I33" s="25"/>
      <c r="J33" s="26" t="s">
        <v>244</v>
      </c>
      <c r="K33" s="27" t="s">
        <v>128</v>
      </c>
      <c r="L33" s="28" t="s">
        <v>129</v>
      </c>
      <c r="M33" s="28" t="s">
        <v>71</v>
      </c>
      <c r="N33" s="25">
        <v>1</v>
      </c>
      <c r="O33" s="29">
        <v>3.1</v>
      </c>
      <c r="P33" s="29">
        <v>3.1</v>
      </c>
      <c r="Q33" s="25" t="s">
        <v>211</v>
      </c>
      <c r="R33" s="25"/>
      <c r="S33" s="26" t="s">
        <v>185</v>
      </c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9"/>
        <v>3.1</v>
      </c>
      <c r="AF33" s="32">
        <f t="shared" si="10"/>
        <v>0</v>
      </c>
      <c r="AG33" s="30"/>
      <c r="AH33" s="33">
        <v>1</v>
      </c>
      <c r="AI33" s="34">
        <f t="shared" si="11"/>
        <v>3.1</v>
      </c>
      <c r="AJ33" s="35">
        <v>46162</v>
      </c>
      <c r="AK33" s="30">
        <v>1</v>
      </c>
      <c r="AL33" s="36">
        <f t="shared" si="15"/>
        <v>3.1</v>
      </c>
      <c r="AM33" s="35">
        <v>46162</v>
      </c>
      <c r="AN33" s="30">
        <v>1</v>
      </c>
      <c r="AO33" s="36">
        <f t="shared" si="16"/>
        <v>3.1</v>
      </c>
      <c r="AP33" s="35"/>
      <c r="AQ33" s="30"/>
      <c r="AR33" s="36">
        <f t="shared" si="12"/>
        <v>0</v>
      </c>
      <c r="AS33" s="27" t="s">
        <v>242</v>
      </c>
      <c r="AT33" s="37">
        <v>46162</v>
      </c>
      <c r="AU33" s="30">
        <v>1</v>
      </c>
      <c r="AV33" s="36">
        <f t="shared" si="13"/>
        <v>3.1</v>
      </c>
      <c r="AW33" s="35">
        <v>46162</v>
      </c>
      <c r="AX33" s="30">
        <v>1</v>
      </c>
      <c r="AY33" s="32">
        <f t="shared" si="14"/>
        <v>3.1</v>
      </c>
      <c r="AZ33" s="30" t="s">
        <v>228</v>
      </c>
      <c r="BA33" s="63" t="s">
        <v>240</v>
      </c>
      <c r="BB33" s="71"/>
      <c r="BC33" s="71"/>
      <c r="BD33" s="71"/>
    </row>
    <row r="34" spans="1:56" x14ac:dyDescent="0.25">
      <c r="A34" s="24">
        <f>IF(B34="","",SUBTOTAL(3,$B$4:B34))</f>
        <v>31</v>
      </c>
      <c r="B34" s="25" t="s">
        <v>182</v>
      </c>
      <c r="C34" s="25" t="s">
        <v>183</v>
      </c>
      <c r="D34" s="25" t="s">
        <v>180</v>
      </c>
      <c r="E34" s="25" t="s">
        <v>181</v>
      </c>
      <c r="F34" s="25"/>
      <c r="G34" s="65"/>
      <c r="H34" s="25" t="s">
        <v>184</v>
      </c>
      <c r="I34" s="25"/>
      <c r="J34" s="26" t="s">
        <v>244</v>
      </c>
      <c r="K34" s="27" t="s">
        <v>130</v>
      </c>
      <c r="L34" s="28" t="s">
        <v>131</v>
      </c>
      <c r="M34" s="28" t="s">
        <v>71</v>
      </c>
      <c r="N34" s="25">
        <v>1</v>
      </c>
      <c r="O34" s="29">
        <v>3.1</v>
      </c>
      <c r="P34" s="29">
        <v>3.1</v>
      </c>
      <c r="Q34" s="25" t="s">
        <v>211</v>
      </c>
      <c r="R34" s="25"/>
      <c r="S34" s="26" t="s">
        <v>185</v>
      </c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9"/>
        <v>3.1</v>
      </c>
      <c r="AF34" s="32">
        <f t="shared" si="10"/>
        <v>0</v>
      </c>
      <c r="AG34" s="30"/>
      <c r="AH34" s="33">
        <v>1</v>
      </c>
      <c r="AI34" s="34">
        <f t="shared" si="11"/>
        <v>3.1</v>
      </c>
      <c r="AJ34" s="35">
        <v>46162</v>
      </c>
      <c r="AK34" s="30">
        <v>1</v>
      </c>
      <c r="AL34" s="36">
        <f t="shared" si="15"/>
        <v>3.1</v>
      </c>
      <c r="AM34" s="35">
        <v>46162</v>
      </c>
      <c r="AN34" s="30">
        <v>1</v>
      </c>
      <c r="AO34" s="36">
        <f t="shared" si="16"/>
        <v>3.1</v>
      </c>
      <c r="AP34" s="35"/>
      <c r="AQ34" s="30"/>
      <c r="AR34" s="36">
        <f t="shared" si="12"/>
        <v>0</v>
      </c>
      <c r="AS34" s="27" t="s">
        <v>242</v>
      </c>
      <c r="AT34" s="37">
        <v>46162</v>
      </c>
      <c r="AU34" s="30">
        <v>1</v>
      </c>
      <c r="AV34" s="36">
        <f t="shared" si="13"/>
        <v>3.1</v>
      </c>
      <c r="AW34" s="35">
        <v>46162</v>
      </c>
      <c r="AX34" s="30">
        <v>1</v>
      </c>
      <c r="AY34" s="32">
        <f t="shared" si="14"/>
        <v>3.1</v>
      </c>
      <c r="AZ34" s="30" t="s">
        <v>228</v>
      </c>
      <c r="BA34" s="63" t="s">
        <v>240</v>
      </c>
      <c r="BB34" s="71"/>
      <c r="BC34" s="71"/>
      <c r="BD34" s="71"/>
    </row>
    <row r="35" spans="1:56" x14ac:dyDescent="0.25">
      <c r="A35" s="24">
        <f>IF(B35="","",SUBTOTAL(3,$B$4:B35))</f>
        <v>32</v>
      </c>
      <c r="B35" s="25" t="s">
        <v>182</v>
      </c>
      <c r="C35" s="25" t="s">
        <v>183</v>
      </c>
      <c r="D35" s="25" t="s">
        <v>180</v>
      </c>
      <c r="E35" s="25" t="s">
        <v>181</v>
      </c>
      <c r="F35" s="25"/>
      <c r="G35" s="65"/>
      <c r="H35" s="25" t="s">
        <v>184</v>
      </c>
      <c r="I35" s="25"/>
      <c r="J35" s="26" t="s">
        <v>244</v>
      </c>
      <c r="K35" s="27" t="s">
        <v>132</v>
      </c>
      <c r="L35" s="28" t="s">
        <v>133</v>
      </c>
      <c r="M35" s="28" t="s">
        <v>71</v>
      </c>
      <c r="N35" s="25">
        <v>2</v>
      </c>
      <c r="O35" s="29">
        <v>3.75</v>
      </c>
      <c r="P35" s="29">
        <v>7.5</v>
      </c>
      <c r="Q35" s="25" t="s">
        <v>212</v>
      </c>
      <c r="R35" s="25"/>
      <c r="S35" s="26" t="s">
        <v>185</v>
      </c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9"/>
        <v>7.5</v>
      </c>
      <c r="AF35" s="32">
        <f t="shared" si="10"/>
        <v>0</v>
      </c>
      <c r="AG35" s="30"/>
      <c r="AH35" s="33">
        <v>1</v>
      </c>
      <c r="AI35" s="34">
        <f t="shared" si="11"/>
        <v>7.5</v>
      </c>
      <c r="AJ35" s="35">
        <v>46162</v>
      </c>
      <c r="AK35" s="30">
        <v>2</v>
      </c>
      <c r="AL35" s="36">
        <f t="shared" si="15"/>
        <v>7.5</v>
      </c>
      <c r="AM35" s="35">
        <v>46162</v>
      </c>
      <c r="AN35" s="30">
        <v>2</v>
      </c>
      <c r="AO35" s="36">
        <f t="shared" si="16"/>
        <v>7.5</v>
      </c>
      <c r="AP35" s="35"/>
      <c r="AQ35" s="30"/>
      <c r="AR35" s="36">
        <f t="shared" si="12"/>
        <v>0</v>
      </c>
      <c r="AS35" s="27" t="s">
        <v>242</v>
      </c>
      <c r="AT35" s="37">
        <v>46162</v>
      </c>
      <c r="AU35" s="30">
        <v>2</v>
      </c>
      <c r="AV35" s="36">
        <f t="shared" si="13"/>
        <v>7.5</v>
      </c>
      <c r="AW35" s="35">
        <v>46162</v>
      </c>
      <c r="AX35" s="30">
        <v>2</v>
      </c>
      <c r="AY35" s="32">
        <f t="shared" si="14"/>
        <v>7.5</v>
      </c>
      <c r="AZ35" s="30" t="s">
        <v>228</v>
      </c>
      <c r="BA35" s="63" t="s">
        <v>240</v>
      </c>
      <c r="BB35" s="71"/>
      <c r="BC35" s="71"/>
      <c r="BD35" s="71"/>
    </row>
    <row r="36" spans="1:56" x14ac:dyDescent="0.25">
      <c r="A36" s="24">
        <f>IF(B36="","",SUBTOTAL(3,$B$4:B36))</f>
        <v>33</v>
      </c>
      <c r="B36" s="25" t="s">
        <v>182</v>
      </c>
      <c r="C36" s="25" t="s">
        <v>183</v>
      </c>
      <c r="D36" s="25" t="s">
        <v>180</v>
      </c>
      <c r="E36" s="25" t="s">
        <v>181</v>
      </c>
      <c r="F36" s="25"/>
      <c r="G36" s="65"/>
      <c r="H36" s="25" t="s">
        <v>184</v>
      </c>
      <c r="I36" s="25"/>
      <c r="J36" s="26" t="s">
        <v>244</v>
      </c>
      <c r="K36" s="27" t="s">
        <v>134</v>
      </c>
      <c r="L36" s="28" t="s">
        <v>135</v>
      </c>
      <c r="M36" s="28" t="s">
        <v>71</v>
      </c>
      <c r="N36" s="25">
        <v>1</v>
      </c>
      <c r="O36" s="29">
        <v>4</v>
      </c>
      <c r="P36" s="29">
        <v>4</v>
      </c>
      <c r="Q36" s="25" t="s">
        <v>192</v>
      </c>
      <c r="R36" s="25"/>
      <c r="S36" s="26" t="s">
        <v>185</v>
      </c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9"/>
        <v>4</v>
      </c>
      <c r="AF36" s="32">
        <f t="shared" si="10"/>
        <v>0</v>
      </c>
      <c r="AG36" s="30"/>
      <c r="AH36" s="33">
        <v>1</v>
      </c>
      <c r="AI36" s="34">
        <f t="shared" si="11"/>
        <v>4</v>
      </c>
      <c r="AJ36" s="35">
        <v>46162</v>
      </c>
      <c r="AK36" s="30">
        <v>1</v>
      </c>
      <c r="AL36" s="36">
        <f t="shared" si="15"/>
        <v>4</v>
      </c>
      <c r="AM36" s="35">
        <v>46162</v>
      </c>
      <c r="AN36" s="30">
        <v>1</v>
      </c>
      <c r="AO36" s="36">
        <f t="shared" si="16"/>
        <v>4</v>
      </c>
      <c r="AP36" s="35"/>
      <c r="AQ36" s="30"/>
      <c r="AR36" s="36">
        <f t="shared" si="12"/>
        <v>0</v>
      </c>
      <c r="AS36" s="27" t="s">
        <v>242</v>
      </c>
      <c r="AT36" s="37">
        <v>46162</v>
      </c>
      <c r="AU36" s="30">
        <v>1</v>
      </c>
      <c r="AV36" s="36">
        <f t="shared" si="13"/>
        <v>4</v>
      </c>
      <c r="AW36" s="35">
        <v>46162</v>
      </c>
      <c r="AX36" s="30">
        <v>1</v>
      </c>
      <c r="AY36" s="32">
        <f t="shared" si="14"/>
        <v>4</v>
      </c>
      <c r="AZ36" s="30" t="s">
        <v>228</v>
      </c>
      <c r="BA36" s="63" t="s">
        <v>240</v>
      </c>
      <c r="BB36" s="71"/>
      <c r="BC36" s="71"/>
      <c r="BD36" s="71"/>
    </row>
    <row r="37" spans="1:56" x14ac:dyDescent="0.25">
      <c r="A37" s="24">
        <f>IF(B37="","",SUBTOTAL(3,$B$4:B37))</f>
        <v>34</v>
      </c>
      <c r="B37" s="25" t="s">
        <v>182</v>
      </c>
      <c r="C37" s="25" t="s">
        <v>183</v>
      </c>
      <c r="D37" s="25" t="s">
        <v>180</v>
      </c>
      <c r="E37" s="25" t="s">
        <v>181</v>
      </c>
      <c r="F37" s="25"/>
      <c r="G37" s="65"/>
      <c r="H37" s="25" t="s">
        <v>184</v>
      </c>
      <c r="I37" s="25"/>
      <c r="J37" s="26" t="s">
        <v>244</v>
      </c>
      <c r="K37" s="27" t="s">
        <v>136</v>
      </c>
      <c r="L37" s="28" t="s">
        <v>137</v>
      </c>
      <c r="M37" s="28" t="s">
        <v>138</v>
      </c>
      <c r="N37" s="25">
        <v>72</v>
      </c>
      <c r="O37" s="29">
        <v>1.8194444444444444</v>
      </c>
      <c r="P37" s="29">
        <v>131</v>
      </c>
      <c r="Q37" s="25" t="s">
        <v>213</v>
      </c>
      <c r="R37" s="25"/>
      <c r="S37" s="26" t="s">
        <v>186</v>
      </c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9"/>
        <v>131</v>
      </c>
      <c r="AF37" s="32">
        <f t="shared" si="10"/>
        <v>0</v>
      </c>
      <c r="AG37" s="30"/>
      <c r="AH37" s="33">
        <v>1</v>
      </c>
      <c r="AI37" s="34">
        <f t="shared" si="11"/>
        <v>131</v>
      </c>
      <c r="AJ37" s="35">
        <v>46162</v>
      </c>
      <c r="AK37" s="30">
        <v>72</v>
      </c>
      <c r="AL37" s="36">
        <f t="shared" si="15"/>
        <v>131</v>
      </c>
      <c r="AM37" s="35">
        <v>46162</v>
      </c>
      <c r="AN37" s="30">
        <v>72</v>
      </c>
      <c r="AO37" s="36">
        <f t="shared" si="16"/>
        <v>131</v>
      </c>
      <c r="AP37" s="35"/>
      <c r="AQ37" s="30"/>
      <c r="AR37" s="36">
        <f t="shared" si="12"/>
        <v>0</v>
      </c>
      <c r="AS37" s="27" t="s">
        <v>241</v>
      </c>
      <c r="AT37" s="37">
        <v>46162</v>
      </c>
      <c r="AU37" s="30">
        <v>72</v>
      </c>
      <c r="AV37" s="36">
        <f t="shared" si="13"/>
        <v>131</v>
      </c>
      <c r="AW37" s="35">
        <v>46163</v>
      </c>
      <c r="AX37" s="30">
        <v>72</v>
      </c>
      <c r="AY37" s="32">
        <f t="shared" si="14"/>
        <v>131</v>
      </c>
      <c r="AZ37" s="30" t="s">
        <v>228</v>
      </c>
      <c r="BA37" s="63" t="s">
        <v>239</v>
      </c>
      <c r="BB37" s="71"/>
      <c r="BC37" s="71"/>
      <c r="BD37" s="71"/>
    </row>
    <row r="38" spans="1:56" x14ac:dyDescent="0.25">
      <c r="A38" s="24">
        <f>IF(B38="","",SUBTOTAL(3,$B$4:B38))</f>
        <v>35</v>
      </c>
      <c r="B38" s="25" t="s">
        <v>182</v>
      </c>
      <c r="C38" s="25" t="s">
        <v>183</v>
      </c>
      <c r="D38" s="25" t="s">
        <v>180</v>
      </c>
      <c r="E38" s="25" t="s">
        <v>181</v>
      </c>
      <c r="F38" s="25"/>
      <c r="G38" s="65"/>
      <c r="H38" s="25" t="s">
        <v>184</v>
      </c>
      <c r="I38" s="25"/>
      <c r="J38" s="26" t="s">
        <v>244</v>
      </c>
      <c r="K38" s="27" t="s">
        <v>139</v>
      </c>
      <c r="L38" s="28" t="s">
        <v>140</v>
      </c>
      <c r="M38" s="28" t="s">
        <v>138</v>
      </c>
      <c r="N38" s="25">
        <v>2</v>
      </c>
      <c r="O38" s="29">
        <v>0.2</v>
      </c>
      <c r="P38" s="29">
        <v>0.4</v>
      </c>
      <c r="Q38" s="25" t="s">
        <v>214</v>
      </c>
      <c r="R38" s="25"/>
      <c r="S38" s="26" t="s">
        <v>187</v>
      </c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9"/>
        <v>0.4</v>
      </c>
      <c r="AF38" s="32">
        <f t="shared" si="10"/>
        <v>0</v>
      </c>
      <c r="AG38" s="30"/>
      <c r="AH38" s="33">
        <v>1</v>
      </c>
      <c r="AI38" s="34">
        <f t="shared" si="11"/>
        <v>0.4</v>
      </c>
      <c r="AJ38" s="35">
        <v>46162</v>
      </c>
      <c r="AK38" s="30">
        <v>2</v>
      </c>
      <c r="AL38" s="36">
        <f t="shared" si="15"/>
        <v>0.4</v>
      </c>
      <c r="AM38" s="35">
        <v>46162</v>
      </c>
      <c r="AN38" s="30">
        <v>2</v>
      </c>
      <c r="AO38" s="36">
        <f t="shared" si="16"/>
        <v>0.4</v>
      </c>
      <c r="AP38" s="35"/>
      <c r="AQ38" s="30"/>
      <c r="AR38" s="36">
        <f t="shared" si="12"/>
        <v>0</v>
      </c>
      <c r="AS38" s="27" t="s">
        <v>241</v>
      </c>
      <c r="AT38" s="37">
        <v>46162</v>
      </c>
      <c r="AU38" s="30">
        <v>2</v>
      </c>
      <c r="AV38" s="36">
        <f t="shared" si="13"/>
        <v>0.4</v>
      </c>
      <c r="AW38" s="35">
        <v>46163</v>
      </c>
      <c r="AX38" s="30">
        <v>2</v>
      </c>
      <c r="AY38" s="32">
        <f t="shared" si="14"/>
        <v>0.4</v>
      </c>
      <c r="AZ38" s="30" t="s">
        <v>228</v>
      </c>
      <c r="BA38" s="63" t="s">
        <v>239</v>
      </c>
      <c r="BB38" s="71"/>
      <c r="BC38" s="71"/>
      <c r="BD38" s="71"/>
    </row>
    <row r="39" spans="1:56" x14ac:dyDescent="0.25">
      <c r="A39" s="24">
        <f>IF(B39="","",SUBTOTAL(3,$B$4:B39))</f>
        <v>36</v>
      </c>
      <c r="B39" s="25" t="s">
        <v>182</v>
      </c>
      <c r="C39" s="25" t="s">
        <v>183</v>
      </c>
      <c r="D39" s="25" t="s">
        <v>180</v>
      </c>
      <c r="E39" s="25" t="s">
        <v>181</v>
      </c>
      <c r="F39" s="25"/>
      <c r="G39" s="65"/>
      <c r="H39" s="25" t="s">
        <v>184</v>
      </c>
      <c r="I39" s="25"/>
      <c r="J39" s="26" t="s">
        <v>244</v>
      </c>
      <c r="K39" s="27" t="s">
        <v>139</v>
      </c>
      <c r="L39" s="28" t="s">
        <v>141</v>
      </c>
      <c r="M39" s="28" t="s">
        <v>138</v>
      </c>
      <c r="N39" s="25">
        <v>6</v>
      </c>
      <c r="O39" s="29">
        <v>4.9999999999999996E-2</v>
      </c>
      <c r="P39" s="29">
        <v>0.3</v>
      </c>
      <c r="Q39" s="25" t="s">
        <v>215</v>
      </c>
      <c r="R39" s="25"/>
      <c r="S39" s="26" t="s">
        <v>187</v>
      </c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9"/>
        <v>0.30000000000000004</v>
      </c>
      <c r="AF39" s="32">
        <f t="shared" si="10"/>
        <v>0</v>
      </c>
      <c r="AG39" s="30"/>
      <c r="AH39" s="33">
        <v>1</v>
      </c>
      <c r="AI39" s="34">
        <f t="shared" si="11"/>
        <v>0.3</v>
      </c>
      <c r="AJ39" s="35">
        <v>46162</v>
      </c>
      <c r="AK39" s="30">
        <v>6</v>
      </c>
      <c r="AL39" s="36">
        <f t="shared" si="15"/>
        <v>0.3</v>
      </c>
      <c r="AM39" s="35">
        <v>46162</v>
      </c>
      <c r="AN39" s="30">
        <v>6</v>
      </c>
      <c r="AO39" s="36">
        <f t="shared" si="16"/>
        <v>0.3</v>
      </c>
      <c r="AP39" s="35"/>
      <c r="AQ39" s="30"/>
      <c r="AR39" s="36">
        <f t="shared" si="12"/>
        <v>0</v>
      </c>
      <c r="AS39" s="27" t="s">
        <v>241</v>
      </c>
      <c r="AT39" s="37">
        <v>46162</v>
      </c>
      <c r="AU39" s="30">
        <v>6</v>
      </c>
      <c r="AV39" s="36">
        <f t="shared" si="13"/>
        <v>0.3</v>
      </c>
      <c r="AW39" s="35">
        <v>46163</v>
      </c>
      <c r="AX39" s="30">
        <v>6</v>
      </c>
      <c r="AY39" s="32">
        <f t="shared" si="14"/>
        <v>0.3</v>
      </c>
      <c r="AZ39" s="30" t="s">
        <v>228</v>
      </c>
      <c r="BA39" s="63" t="s">
        <v>239</v>
      </c>
      <c r="BB39" s="71"/>
      <c r="BC39" s="71"/>
      <c r="BD39" s="71"/>
    </row>
    <row r="40" spans="1:56" x14ac:dyDescent="0.25">
      <c r="A40" s="24">
        <f>IF(B40="","",SUBTOTAL(3,$B$4:B40))</f>
        <v>37</v>
      </c>
      <c r="B40" s="25" t="s">
        <v>182</v>
      </c>
      <c r="C40" s="25" t="s">
        <v>183</v>
      </c>
      <c r="D40" s="25" t="s">
        <v>180</v>
      </c>
      <c r="E40" s="25" t="s">
        <v>181</v>
      </c>
      <c r="F40" s="25"/>
      <c r="G40" s="65"/>
      <c r="H40" s="25" t="s">
        <v>184</v>
      </c>
      <c r="I40" s="25"/>
      <c r="J40" s="26" t="s">
        <v>244</v>
      </c>
      <c r="K40" s="27" t="s">
        <v>233</v>
      </c>
      <c r="L40" s="28" t="s">
        <v>234</v>
      </c>
      <c r="M40" s="28" t="s">
        <v>138</v>
      </c>
      <c r="N40" s="25">
        <v>2</v>
      </c>
      <c r="O40" s="29">
        <v>7.2</v>
      </c>
      <c r="P40" s="29">
        <v>14.5</v>
      </c>
      <c r="Q40" s="25" t="s">
        <v>235</v>
      </c>
      <c r="R40" s="25"/>
      <c r="S40" s="26" t="s">
        <v>236</v>
      </c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9"/>
        <v>14.5</v>
      </c>
      <c r="AF40" s="32">
        <f t="shared" si="10"/>
        <v>0</v>
      </c>
      <c r="AG40" s="30"/>
      <c r="AH40" s="33">
        <v>1</v>
      </c>
      <c r="AI40" s="34">
        <f t="shared" ref="AI40" si="17">+AH40*P40</f>
        <v>14.5</v>
      </c>
      <c r="AJ40" s="35">
        <v>46162</v>
      </c>
      <c r="AK40" s="30">
        <v>2</v>
      </c>
      <c r="AL40" s="36">
        <f t="shared" ref="AL40" si="18">IFERROR(AK40*$P40/$N40,0)</f>
        <v>14.5</v>
      </c>
      <c r="AM40" s="35">
        <v>46162</v>
      </c>
      <c r="AN40" s="30">
        <v>2</v>
      </c>
      <c r="AO40" s="36">
        <f t="shared" ref="AO40" si="19">IFERROR(AN40*$P40/$N40,0)</f>
        <v>14.5</v>
      </c>
      <c r="AP40" s="35"/>
      <c r="AQ40" s="30"/>
      <c r="AR40" s="36">
        <f t="shared" ref="AR40" si="20">IFERROR(AQ40*$P40/$N40,0)</f>
        <v>0</v>
      </c>
      <c r="AS40" s="27" t="s">
        <v>241</v>
      </c>
      <c r="AT40" s="37">
        <v>46162</v>
      </c>
      <c r="AU40" s="30">
        <v>2</v>
      </c>
      <c r="AV40" s="36">
        <f t="shared" ref="AV40" si="21">IFERROR(AU40*$P40/$N40,0)</f>
        <v>14.5</v>
      </c>
      <c r="AW40" s="35">
        <v>46163</v>
      </c>
      <c r="AX40" s="30">
        <v>2</v>
      </c>
      <c r="AY40" s="32">
        <f t="shared" si="14"/>
        <v>14.5</v>
      </c>
      <c r="AZ40" s="30" t="s">
        <v>228</v>
      </c>
      <c r="BA40" s="63" t="s">
        <v>239</v>
      </c>
      <c r="BB40" s="71"/>
      <c r="BC40" s="71"/>
      <c r="BD40" s="71"/>
    </row>
    <row r="41" spans="1:56" hidden="1" x14ac:dyDescent="0.25">
      <c r="A41" s="24" t="str">
        <f>IF(B41="","",SUBTOTAL(3,$B$4:B41))</f>
        <v/>
      </c>
      <c r="B41" s="25"/>
      <c r="C41" s="25" t="s">
        <v>183</v>
      </c>
      <c r="D41" s="25" t="s">
        <v>180</v>
      </c>
      <c r="E41" s="25" t="s">
        <v>181</v>
      </c>
      <c r="F41" s="25"/>
      <c r="G41" s="65"/>
      <c r="H41" s="25" t="s">
        <v>184</v>
      </c>
      <c r="I41" s="25"/>
      <c r="J41" s="26"/>
      <c r="K41" s="27" t="s">
        <v>142</v>
      </c>
      <c r="L41" s="28" t="s">
        <v>143</v>
      </c>
      <c r="M41" s="28" t="s">
        <v>144</v>
      </c>
      <c r="N41" s="25">
        <v>18</v>
      </c>
      <c r="O41" s="29">
        <v>0.1111111111111111</v>
      </c>
      <c r="P41" s="29">
        <v>2</v>
      </c>
      <c r="Q41" s="25" t="s">
        <v>216</v>
      </c>
      <c r="R41" s="25"/>
      <c r="S41" s="26" t="s">
        <v>243</v>
      </c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9"/>
        <v>0</v>
      </c>
      <c r="AF41" s="32">
        <f t="shared" si="10"/>
        <v>2</v>
      </c>
      <c r="AG41" s="30"/>
      <c r="AH41" s="33">
        <v>0.85</v>
      </c>
      <c r="AI41" s="34">
        <f t="shared" si="11"/>
        <v>1.7</v>
      </c>
      <c r="AJ41" s="35"/>
      <c r="AK41" s="30"/>
      <c r="AL41" s="36">
        <f t="shared" si="15"/>
        <v>0</v>
      </c>
      <c r="AM41" s="35"/>
      <c r="AN41" s="30"/>
      <c r="AO41" s="36">
        <f t="shared" si="16"/>
        <v>0</v>
      </c>
      <c r="AP41" s="35"/>
      <c r="AQ41" s="30"/>
      <c r="AR41" s="36">
        <f t="shared" si="12"/>
        <v>0</v>
      </c>
      <c r="AS41" s="27"/>
      <c r="AT41" s="37"/>
      <c r="AU41" s="30"/>
      <c r="AV41" s="36">
        <f t="shared" si="13"/>
        <v>0</v>
      </c>
      <c r="AW41" s="35"/>
      <c r="AX41" s="30"/>
      <c r="AY41" s="32">
        <f t="shared" si="14"/>
        <v>0</v>
      </c>
      <c r="AZ41" s="30" t="s">
        <v>228</v>
      </c>
      <c r="BA41" s="63"/>
      <c r="BB41" s="71"/>
      <c r="BC41" s="71"/>
      <c r="BD41" s="71"/>
    </row>
    <row r="42" spans="1:56" x14ac:dyDescent="0.25">
      <c r="A42" s="24">
        <f>IF(B42="","",SUBTOTAL(3,$B$4:B42))</f>
        <v>38</v>
      </c>
      <c r="B42" s="25" t="s">
        <v>182</v>
      </c>
      <c r="C42" s="25" t="s">
        <v>183</v>
      </c>
      <c r="D42" s="25" t="s">
        <v>180</v>
      </c>
      <c r="E42" s="25" t="s">
        <v>181</v>
      </c>
      <c r="F42" s="25"/>
      <c r="G42" s="65"/>
      <c r="H42" s="25" t="s">
        <v>184</v>
      </c>
      <c r="I42" s="25"/>
      <c r="J42" s="26" t="s">
        <v>244</v>
      </c>
      <c r="K42" s="27" t="s">
        <v>145</v>
      </c>
      <c r="L42" s="28" t="s">
        <v>146</v>
      </c>
      <c r="M42" s="28" t="s">
        <v>147</v>
      </c>
      <c r="N42" s="25">
        <v>1</v>
      </c>
      <c r="O42" s="29">
        <v>1329</v>
      </c>
      <c r="P42" s="29">
        <v>1329</v>
      </c>
      <c r="Q42" s="25" t="s">
        <v>217</v>
      </c>
      <c r="R42" s="25"/>
      <c r="S42" s="26" t="s">
        <v>188</v>
      </c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9"/>
        <v>1329</v>
      </c>
      <c r="AF42" s="32">
        <f t="shared" si="10"/>
        <v>0</v>
      </c>
      <c r="AG42" s="30"/>
      <c r="AH42" s="33">
        <v>1</v>
      </c>
      <c r="AI42" s="34">
        <f t="shared" si="11"/>
        <v>1329</v>
      </c>
      <c r="AJ42" s="35">
        <v>46048</v>
      </c>
      <c r="AK42" s="30">
        <v>1</v>
      </c>
      <c r="AL42" s="36">
        <f t="shared" si="15"/>
        <v>1329</v>
      </c>
      <c r="AM42" s="35">
        <v>46057</v>
      </c>
      <c r="AN42" s="30">
        <v>1</v>
      </c>
      <c r="AO42" s="36">
        <f t="shared" si="16"/>
        <v>1329</v>
      </c>
      <c r="AP42" s="35">
        <v>46120</v>
      </c>
      <c r="AQ42" s="30">
        <v>1</v>
      </c>
      <c r="AR42" s="36">
        <f t="shared" si="12"/>
        <v>1329</v>
      </c>
      <c r="AS42" s="27" t="s">
        <v>229</v>
      </c>
      <c r="AT42" s="37">
        <v>46120</v>
      </c>
      <c r="AU42" s="30">
        <v>1</v>
      </c>
      <c r="AV42" s="36">
        <f t="shared" si="13"/>
        <v>1329</v>
      </c>
      <c r="AW42" s="35">
        <v>46122</v>
      </c>
      <c r="AX42" s="30">
        <v>1</v>
      </c>
      <c r="AY42" s="32">
        <f t="shared" si="14"/>
        <v>1329</v>
      </c>
      <c r="AZ42" s="30" t="s">
        <v>228</v>
      </c>
      <c r="BA42" s="63" t="s">
        <v>230</v>
      </c>
      <c r="BB42" s="71"/>
      <c r="BC42" s="71"/>
      <c r="BD42" s="71"/>
    </row>
    <row r="43" spans="1:56" x14ac:dyDescent="0.25">
      <c r="A43" s="24">
        <f>IF(B43="","",SUBTOTAL(3,$B$4:B43))</f>
        <v>39</v>
      </c>
      <c r="B43" s="25" t="s">
        <v>182</v>
      </c>
      <c r="C43" s="25" t="s">
        <v>183</v>
      </c>
      <c r="D43" s="25" t="s">
        <v>180</v>
      </c>
      <c r="E43" s="25" t="s">
        <v>181</v>
      </c>
      <c r="F43" s="25"/>
      <c r="G43" s="65"/>
      <c r="H43" s="25" t="s">
        <v>184</v>
      </c>
      <c r="I43" s="25"/>
      <c r="J43" s="26" t="s">
        <v>244</v>
      </c>
      <c r="K43" s="27" t="s">
        <v>148</v>
      </c>
      <c r="L43" s="28" t="s">
        <v>149</v>
      </c>
      <c r="M43" s="28" t="s">
        <v>150</v>
      </c>
      <c r="N43" s="25">
        <v>1</v>
      </c>
      <c r="O43" s="29">
        <v>6784.1</v>
      </c>
      <c r="P43" s="29">
        <v>6784.1</v>
      </c>
      <c r="Q43" s="25" t="s">
        <v>218</v>
      </c>
      <c r="R43" s="25"/>
      <c r="S43" s="26" t="s">
        <v>188</v>
      </c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9"/>
        <v>6784.1</v>
      </c>
      <c r="AF43" s="32">
        <f t="shared" si="10"/>
        <v>0</v>
      </c>
      <c r="AG43" s="30"/>
      <c r="AH43" s="33">
        <v>1</v>
      </c>
      <c r="AI43" s="34">
        <f t="shared" si="11"/>
        <v>6784.1</v>
      </c>
      <c r="AJ43" s="35">
        <v>46057</v>
      </c>
      <c r="AK43" s="30">
        <v>1</v>
      </c>
      <c r="AL43" s="36">
        <f t="shared" si="15"/>
        <v>6784.1</v>
      </c>
      <c r="AM43" s="35">
        <v>46065</v>
      </c>
      <c r="AN43" s="30">
        <v>1</v>
      </c>
      <c r="AO43" s="36">
        <f t="shared" si="16"/>
        <v>6784.1</v>
      </c>
      <c r="AP43" s="35">
        <v>46120</v>
      </c>
      <c r="AQ43" s="30">
        <v>1</v>
      </c>
      <c r="AR43" s="36">
        <f t="shared" si="12"/>
        <v>6784.1</v>
      </c>
      <c r="AS43" s="27" t="s">
        <v>232</v>
      </c>
      <c r="AT43" s="37">
        <v>46127</v>
      </c>
      <c r="AU43" s="30">
        <v>1</v>
      </c>
      <c r="AV43" s="36">
        <f t="shared" si="13"/>
        <v>6784.1</v>
      </c>
      <c r="AW43" s="35">
        <v>46133</v>
      </c>
      <c r="AX43" s="30">
        <v>1</v>
      </c>
      <c r="AY43" s="32">
        <f t="shared" si="14"/>
        <v>6784.1</v>
      </c>
      <c r="AZ43" s="30" t="s">
        <v>228</v>
      </c>
      <c r="BA43" s="63" t="s">
        <v>231</v>
      </c>
      <c r="BB43" s="71"/>
      <c r="BC43" s="71"/>
      <c r="BD43" s="71"/>
    </row>
    <row r="44" spans="1:56" x14ac:dyDescent="0.25">
      <c r="A44" s="24">
        <f>IF(B44="","",SUBTOTAL(3,$B$4:B44))</f>
        <v>40</v>
      </c>
      <c r="B44" s="25" t="s">
        <v>182</v>
      </c>
      <c r="C44" s="25" t="s">
        <v>183</v>
      </c>
      <c r="D44" s="25" t="s">
        <v>180</v>
      </c>
      <c r="E44" s="25" t="s">
        <v>181</v>
      </c>
      <c r="F44" s="25"/>
      <c r="G44" s="65"/>
      <c r="H44" s="25" t="s">
        <v>184</v>
      </c>
      <c r="I44" s="25"/>
      <c r="J44" s="26" t="s">
        <v>244</v>
      </c>
      <c r="K44" s="27" t="s">
        <v>151</v>
      </c>
      <c r="L44" s="28" t="s">
        <v>152</v>
      </c>
      <c r="M44" s="28" t="s">
        <v>147</v>
      </c>
      <c r="N44" s="25">
        <v>1</v>
      </c>
      <c r="O44" s="29">
        <v>883.9</v>
      </c>
      <c r="P44" s="29">
        <v>883.9</v>
      </c>
      <c r="Q44" s="25" t="s">
        <v>219</v>
      </c>
      <c r="R44" s="25"/>
      <c r="S44" s="26" t="s">
        <v>188</v>
      </c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9"/>
        <v>883.9</v>
      </c>
      <c r="AF44" s="32">
        <f t="shared" si="10"/>
        <v>0</v>
      </c>
      <c r="AG44" s="30"/>
      <c r="AH44" s="33">
        <v>1</v>
      </c>
      <c r="AI44" s="34">
        <f t="shared" si="11"/>
        <v>883.9</v>
      </c>
      <c r="AJ44" s="35">
        <v>46057</v>
      </c>
      <c r="AK44" s="30">
        <v>1</v>
      </c>
      <c r="AL44" s="36">
        <f t="shared" si="15"/>
        <v>883.9</v>
      </c>
      <c r="AM44" s="35">
        <v>46085</v>
      </c>
      <c r="AN44" s="30">
        <v>1</v>
      </c>
      <c r="AO44" s="36">
        <f t="shared" si="16"/>
        <v>883.9</v>
      </c>
      <c r="AP44" s="35">
        <v>46120</v>
      </c>
      <c r="AQ44" s="30">
        <v>1</v>
      </c>
      <c r="AR44" s="36">
        <f t="shared" si="12"/>
        <v>883.9</v>
      </c>
      <c r="AS44" s="27" t="s">
        <v>231</v>
      </c>
      <c r="AT44" s="37">
        <v>46126</v>
      </c>
      <c r="AU44" s="30">
        <v>1</v>
      </c>
      <c r="AV44" s="36">
        <f t="shared" si="13"/>
        <v>883.9</v>
      </c>
      <c r="AW44" s="35">
        <v>46127</v>
      </c>
      <c r="AX44" s="30">
        <v>1</v>
      </c>
      <c r="AY44" s="32">
        <f t="shared" si="14"/>
        <v>883.9</v>
      </c>
      <c r="AZ44" s="30" t="s">
        <v>228</v>
      </c>
      <c r="BA44" s="63" t="s">
        <v>229</v>
      </c>
      <c r="BB44" s="71"/>
      <c r="BC44" s="71"/>
      <c r="BD44" s="71"/>
    </row>
    <row r="45" spans="1:56" x14ac:dyDescent="0.25">
      <c r="A45" s="24">
        <f>IF(B45="","",SUBTOTAL(3,$B$4:B45))</f>
        <v>41</v>
      </c>
      <c r="B45" s="25" t="s">
        <v>182</v>
      </c>
      <c r="C45" s="25" t="s">
        <v>183</v>
      </c>
      <c r="D45" s="25" t="s">
        <v>180</v>
      </c>
      <c r="E45" s="25" t="s">
        <v>181</v>
      </c>
      <c r="F45" s="25"/>
      <c r="G45" s="65"/>
      <c r="H45" s="25" t="s">
        <v>184</v>
      </c>
      <c r="I45" s="25"/>
      <c r="J45" s="26" t="s">
        <v>244</v>
      </c>
      <c r="K45" s="27" t="s">
        <v>153</v>
      </c>
      <c r="L45" s="28" t="s">
        <v>154</v>
      </c>
      <c r="M45" s="28" t="s">
        <v>147</v>
      </c>
      <c r="N45" s="25">
        <v>1</v>
      </c>
      <c r="O45" s="29">
        <v>2996.7000000000003</v>
      </c>
      <c r="P45" s="29">
        <v>2996.7000000000003</v>
      </c>
      <c r="Q45" s="25" t="s">
        <v>220</v>
      </c>
      <c r="R45" s="25"/>
      <c r="S45" s="26" t="s">
        <v>188</v>
      </c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9"/>
        <v>2996.7000000000003</v>
      </c>
      <c r="AF45" s="32">
        <f t="shared" si="10"/>
        <v>0</v>
      </c>
      <c r="AG45" s="30"/>
      <c r="AH45" s="33">
        <v>1</v>
      </c>
      <c r="AI45" s="34">
        <f t="shared" si="11"/>
        <v>2996.7000000000003</v>
      </c>
      <c r="AJ45" s="35">
        <v>46085</v>
      </c>
      <c r="AK45" s="30">
        <v>1</v>
      </c>
      <c r="AL45" s="36">
        <f t="shared" si="15"/>
        <v>2996.7000000000003</v>
      </c>
      <c r="AM45" s="35">
        <v>46092</v>
      </c>
      <c r="AN45" s="30">
        <v>1</v>
      </c>
      <c r="AO45" s="36">
        <f t="shared" si="16"/>
        <v>2996.7000000000003</v>
      </c>
      <c r="AP45" s="35">
        <v>46120</v>
      </c>
      <c r="AQ45" s="30">
        <v>1</v>
      </c>
      <c r="AR45" s="36">
        <f t="shared" si="12"/>
        <v>2996.7000000000003</v>
      </c>
      <c r="AS45" s="27" t="s">
        <v>237</v>
      </c>
      <c r="AT45" s="37">
        <v>46141</v>
      </c>
      <c r="AU45" s="30">
        <v>1</v>
      </c>
      <c r="AV45" s="36">
        <f t="shared" si="13"/>
        <v>2996.7000000000003</v>
      </c>
      <c r="AW45" s="35">
        <v>46142</v>
      </c>
      <c r="AX45" s="30">
        <v>1</v>
      </c>
      <c r="AY45" s="32">
        <f t="shared" si="14"/>
        <v>2996.7000000000003</v>
      </c>
      <c r="AZ45" s="30" t="s">
        <v>228</v>
      </c>
      <c r="BA45" s="63" t="s">
        <v>232</v>
      </c>
      <c r="BB45" s="71"/>
      <c r="BC45" s="71"/>
      <c r="BD45" s="71"/>
    </row>
    <row r="46" spans="1:56" x14ac:dyDescent="0.25">
      <c r="A46" s="24">
        <f>IF(B46="","",SUBTOTAL(3,$B$4:B46))</f>
        <v>42</v>
      </c>
      <c r="B46" s="25" t="s">
        <v>182</v>
      </c>
      <c r="C46" s="25" t="s">
        <v>183</v>
      </c>
      <c r="D46" s="25" t="s">
        <v>180</v>
      </c>
      <c r="E46" s="25" t="s">
        <v>181</v>
      </c>
      <c r="F46" s="25"/>
      <c r="G46" s="65"/>
      <c r="H46" s="25" t="s">
        <v>184</v>
      </c>
      <c r="I46" s="25"/>
      <c r="J46" s="26" t="s">
        <v>244</v>
      </c>
      <c r="K46" s="27" t="s">
        <v>155</v>
      </c>
      <c r="L46" s="28" t="s">
        <v>156</v>
      </c>
      <c r="M46" s="28" t="s">
        <v>147</v>
      </c>
      <c r="N46" s="25">
        <v>1</v>
      </c>
      <c r="O46" s="29">
        <v>3144.3</v>
      </c>
      <c r="P46" s="29">
        <v>3144.3</v>
      </c>
      <c r="Q46" s="25" t="s">
        <v>221</v>
      </c>
      <c r="R46" s="25"/>
      <c r="S46" s="26" t="s">
        <v>188</v>
      </c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9"/>
        <v>3144.3</v>
      </c>
      <c r="AF46" s="32">
        <f t="shared" si="10"/>
        <v>0</v>
      </c>
      <c r="AG46" s="30"/>
      <c r="AH46" s="33">
        <v>1</v>
      </c>
      <c r="AI46" s="34">
        <f t="shared" si="11"/>
        <v>3144.3</v>
      </c>
      <c r="AJ46" s="35">
        <v>46057</v>
      </c>
      <c r="AK46" s="30">
        <v>1</v>
      </c>
      <c r="AL46" s="36">
        <f t="shared" si="15"/>
        <v>3144.3</v>
      </c>
      <c r="AM46" s="35">
        <v>46088</v>
      </c>
      <c r="AN46" s="30">
        <v>1</v>
      </c>
      <c r="AO46" s="36">
        <f t="shared" si="16"/>
        <v>3144.3</v>
      </c>
      <c r="AP46" s="35">
        <v>46120</v>
      </c>
      <c r="AQ46" s="30">
        <v>1</v>
      </c>
      <c r="AR46" s="36">
        <f t="shared" si="12"/>
        <v>3144.3</v>
      </c>
      <c r="AS46" s="27" t="s">
        <v>238</v>
      </c>
      <c r="AT46" s="37">
        <v>46142</v>
      </c>
      <c r="AU46" s="30">
        <v>1</v>
      </c>
      <c r="AV46" s="36">
        <f t="shared" si="13"/>
        <v>3144.3</v>
      </c>
      <c r="AW46" s="35">
        <v>46148</v>
      </c>
      <c r="AX46" s="30">
        <v>1</v>
      </c>
      <c r="AY46" s="32">
        <f t="shared" si="14"/>
        <v>3144.3</v>
      </c>
      <c r="AZ46" s="30" t="s">
        <v>228</v>
      </c>
      <c r="BA46" s="63" t="s">
        <v>237</v>
      </c>
      <c r="BB46" s="71"/>
      <c r="BC46" s="71"/>
      <c r="BD46" s="71"/>
    </row>
    <row r="47" spans="1:56" x14ac:dyDescent="0.25">
      <c r="A47" s="24">
        <f>IF(B47="","",SUBTOTAL(3,$B$4:B47))</f>
        <v>43</v>
      </c>
      <c r="B47" s="25" t="s">
        <v>182</v>
      </c>
      <c r="C47" s="25" t="s">
        <v>183</v>
      </c>
      <c r="D47" s="25" t="s">
        <v>180</v>
      </c>
      <c r="E47" s="25" t="s">
        <v>181</v>
      </c>
      <c r="F47" s="25"/>
      <c r="G47" s="65"/>
      <c r="H47" s="25" t="s">
        <v>184</v>
      </c>
      <c r="I47" s="25"/>
      <c r="J47" s="26" t="s">
        <v>244</v>
      </c>
      <c r="K47" s="27" t="s">
        <v>157</v>
      </c>
      <c r="L47" s="28" t="s">
        <v>158</v>
      </c>
      <c r="M47" s="28" t="s">
        <v>150</v>
      </c>
      <c r="N47" s="25">
        <v>1</v>
      </c>
      <c r="O47" s="29">
        <v>26962.700000000004</v>
      </c>
      <c r="P47" s="29">
        <v>26962.700000000004</v>
      </c>
      <c r="Q47" s="25" t="s">
        <v>222</v>
      </c>
      <c r="R47" s="25"/>
      <c r="S47" s="26" t="s">
        <v>188</v>
      </c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9"/>
        <v>26962.700000000004</v>
      </c>
      <c r="AF47" s="32">
        <f t="shared" si="10"/>
        <v>0</v>
      </c>
      <c r="AG47" s="30"/>
      <c r="AH47" s="33">
        <v>1</v>
      </c>
      <c r="AI47" s="34">
        <f t="shared" si="11"/>
        <v>26962.700000000004</v>
      </c>
      <c r="AJ47" s="35">
        <v>46098</v>
      </c>
      <c r="AK47" s="30">
        <v>1</v>
      </c>
      <c r="AL47" s="36">
        <f t="shared" si="15"/>
        <v>26962.700000000004</v>
      </c>
      <c r="AM47" s="35">
        <v>46101</v>
      </c>
      <c r="AN47" s="30">
        <v>1</v>
      </c>
      <c r="AO47" s="36">
        <f t="shared" si="16"/>
        <v>26962.700000000004</v>
      </c>
      <c r="AP47" s="35">
        <v>46120</v>
      </c>
      <c r="AQ47" s="30">
        <v>1</v>
      </c>
      <c r="AR47" s="36">
        <f t="shared" si="12"/>
        <v>26962.700000000004</v>
      </c>
      <c r="AS47" s="27" t="s">
        <v>239</v>
      </c>
      <c r="AT47" s="37">
        <v>46142</v>
      </c>
      <c r="AU47" s="30">
        <v>1</v>
      </c>
      <c r="AV47" s="36">
        <f t="shared" si="13"/>
        <v>26962.700000000004</v>
      </c>
      <c r="AW47" s="35">
        <v>46160</v>
      </c>
      <c r="AX47" s="30">
        <v>1</v>
      </c>
      <c r="AY47" s="32">
        <f t="shared" si="14"/>
        <v>26962.700000000004</v>
      </c>
      <c r="AZ47" s="30" t="s">
        <v>228</v>
      </c>
      <c r="BA47" s="63" t="s">
        <v>238</v>
      </c>
      <c r="BB47" s="71"/>
      <c r="BC47" s="71"/>
      <c r="BD47" s="71"/>
    </row>
    <row r="48" spans="1:56" x14ac:dyDescent="0.25">
      <c r="A48" s="24">
        <f>IF(B48="","",SUBTOTAL(3,$B$4:B48))</f>
        <v>44</v>
      </c>
      <c r="B48" s="25" t="s">
        <v>182</v>
      </c>
      <c r="C48" s="25" t="s">
        <v>183</v>
      </c>
      <c r="D48" s="25" t="s">
        <v>180</v>
      </c>
      <c r="E48" s="25" t="s">
        <v>181</v>
      </c>
      <c r="F48" s="25"/>
      <c r="G48" s="65"/>
      <c r="H48" s="25" t="s">
        <v>184</v>
      </c>
      <c r="I48" s="25"/>
      <c r="J48" s="26" t="s">
        <v>244</v>
      </c>
      <c r="K48" s="27" t="s">
        <v>159</v>
      </c>
      <c r="L48" s="28" t="s">
        <v>160</v>
      </c>
      <c r="M48" s="28" t="s">
        <v>161</v>
      </c>
      <c r="N48" s="25">
        <v>1</v>
      </c>
      <c r="O48" s="29">
        <v>1663.6999999999998</v>
      </c>
      <c r="P48" s="29">
        <v>1663.6999999999998</v>
      </c>
      <c r="Q48" s="25" t="s">
        <v>223</v>
      </c>
      <c r="R48" s="25"/>
      <c r="S48" s="26" t="s">
        <v>188</v>
      </c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9"/>
        <v>1663.6999999999998</v>
      </c>
      <c r="AF48" s="32">
        <f t="shared" si="10"/>
        <v>0</v>
      </c>
      <c r="AG48" s="30"/>
      <c r="AH48" s="33">
        <v>1</v>
      </c>
      <c r="AI48" s="34">
        <f t="shared" si="11"/>
        <v>1663.6999999999998</v>
      </c>
      <c r="AJ48" s="35">
        <v>46058</v>
      </c>
      <c r="AK48" s="30">
        <v>1</v>
      </c>
      <c r="AL48" s="36">
        <f t="shared" si="15"/>
        <v>1663.6999999999998</v>
      </c>
      <c r="AM48" s="35">
        <v>46062</v>
      </c>
      <c r="AN48" s="30">
        <v>1</v>
      </c>
      <c r="AO48" s="36">
        <f t="shared" si="16"/>
        <v>1663.6999999999998</v>
      </c>
      <c r="AP48" s="35">
        <v>46120</v>
      </c>
      <c r="AQ48" s="30">
        <v>1</v>
      </c>
      <c r="AR48" s="36">
        <f t="shared" si="12"/>
        <v>1663.6999999999998</v>
      </c>
      <c r="AS48" s="27" t="s">
        <v>238</v>
      </c>
      <c r="AT48" s="37">
        <v>46142</v>
      </c>
      <c r="AU48" s="30">
        <v>1</v>
      </c>
      <c r="AV48" s="36">
        <f t="shared" si="13"/>
        <v>1663.6999999999998</v>
      </c>
      <c r="AW48" s="35">
        <v>46148</v>
      </c>
      <c r="AX48" s="30">
        <v>1</v>
      </c>
      <c r="AY48" s="32">
        <f t="shared" ref="AY48" si="22">IFERROR(AX48*$P48/$N48,0)</f>
        <v>1663.6999999999998</v>
      </c>
      <c r="AZ48" s="30" t="s">
        <v>228</v>
      </c>
      <c r="BA48" s="63" t="s">
        <v>237</v>
      </c>
      <c r="BB48" s="71"/>
      <c r="BC48" s="71"/>
      <c r="BD48" s="71"/>
    </row>
    <row r="49" spans="1:56" x14ac:dyDescent="0.25">
      <c r="A49" s="24">
        <f>IF(B49="","",SUBTOTAL(3,$B$4:B49))</f>
        <v>45</v>
      </c>
      <c r="B49" s="25" t="s">
        <v>182</v>
      </c>
      <c r="C49" s="25" t="s">
        <v>183</v>
      </c>
      <c r="D49" s="25" t="s">
        <v>180</v>
      </c>
      <c r="E49" s="25" t="s">
        <v>181</v>
      </c>
      <c r="F49" s="25"/>
      <c r="G49" s="65"/>
      <c r="H49" s="25" t="s">
        <v>184</v>
      </c>
      <c r="I49" s="25"/>
      <c r="J49" s="26" t="s">
        <v>244</v>
      </c>
      <c r="K49" s="27" t="s">
        <v>162</v>
      </c>
      <c r="L49" s="28" t="s">
        <v>163</v>
      </c>
      <c r="M49" s="28" t="s">
        <v>147</v>
      </c>
      <c r="N49" s="25">
        <v>1</v>
      </c>
      <c r="O49" s="29">
        <v>1648.5</v>
      </c>
      <c r="P49" s="29">
        <v>1648.5</v>
      </c>
      <c r="Q49" s="25" t="s">
        <v>224</v>
      </c>
      <c r="R49" s="25"/>
      <c r="S49" s="26" t="s">
        <v>188</v>
      </c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9"/>
        <v>1648.5</v>
      </c>
      <c r="AF49" s="32">
        <f t="shared" si="10"/>
        <v>0</v>
      </c>
      <c r="AG49" s="30"/>
      <c r="AH49" s="33">
        <v>1</v>
      </c>
      <c r="AI49" s="34">
        <f t="shared" si="11"/>
        <v>1648.5</v>
      </c>
      <c r="AJ49" s="35">
        <v>46062</v>
      </c>
      <c r="AK49" s="30">
        <v>1</v>
      </c>
      <c r="AL49" s="36">
        <f t="shared" si="15"/>
        <v>1648.5</v>
      </c>
      <c r="AM49" s="35">
        <v>46063</v>
      </c>
      <c r="AN49" s="30">
        <v>1</v>
      </c>
      <c r="AO49" s="36">
        <f t="shared" si="16"/>
        <v>1648.5</v>
      </c>
      <c r="AP49" s="35">
        <v>46120</v>
      </c>
      <c r="AQ49" s="30">
        <v>1</v>
      </c>
      <c r="AR49" s="36">
        <f t="shared" si="12"/>
        <v>1648.5</v>
      </c>
      <c r="AS49" s="27" t="s">
        <v>237</v>
      </c>
      <c r="AT49" s="37">
        <v>46141</v>
      </c>
      <c r="AU49" s="30">
        <v>1</v>
      </c>
      <c r="AV49" s="36">
        <f t="shared" si="13"/>
        <v>1648.5</v>
      </c>
      <c r="AW49" s="35">
        <v>46142</v>
      </c>
      <c r="AX49" s="30">
        <v>1</v>
      </c>
      <c r="AY49" s="32">
        <f t="shared" ref="AY49:AY52" si="23">IFERROR(AX49*$P49/$N49,0)</f>
        <v>1648.5</v>
      </c>
      <c r="AZ49" s="30" t="s">
        <v>228</v>
      </c>
      <c r="BA49" s="63" t="s">
        <v>232</v>
      </c>
      <c r="BB49" s="71"/>
      <c r="BC49" s="71"/>
      <c r="BD49" s="71"/>
    </row>
    <row r="50" spans="1:56" x14ac:dyDescent="0.25">
      <c r="A50" s="24">
        <f>IF(B50="","",SUBTOTAL(3,$B$4:B50))</f>
        <v>46</v>
      </c>
      <c r="B50" s="25" t="s">
        <v>182</v>
      </c>
      <c r="C50" s="25" t="s">
        <v>183</v>
      </c>
      <c r="D50" s="25" t="s">
        <v>180</v>
      </c>
      <c r="E50" s="25" t="s">
        <v>181</v>
      </c>
      <c r="F50" s="25"/>
      <c r="G50" s="65"/>
      <c r="H50" s="25" t="s">
        <v>184</v>
      </c>
      <c r="I50" s="25"/>
      <c r="J50" s="26" t="s">
        <v>244</v>
      </c>
      <c r="K50" s="27" t="s">
        <v>164</v>
      </c>
      <c r="L50" s="28" t="s">
        <v>165</v>
      </c>
      <c r="M50" s="28" t="s">
        <v>147</v>
      </c>
      <c r="N50" s="25">
        <v>1</v>
      </c>
      <c r="O50" s="29">
        <v>2996.7000000000003</v>
      </c>
      <c r="P50" s="29">
        <v>2996.7000000000003</v>
      </c>
      <c r="Q50" s="25" t="s">
        <v>220</v>
      </c>
      <c r="R50" s="25"/>
      <c r="S50" s="26" t="s">
        <v>188</v>
      </c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9"/>
        <v>2996.7000000000003</v>
      </c>
      <c r="AF50" s="32">
        <f t="shared" si="10"/>
        <v>0</v>
      </c>
      <c r="AG50" s="30"/>
      <c r="AH50" s="33">
        <v>1</v>
      </c>
      <c r="AI50" s="34">
        <f t="shared" si="11"/>
        <v>2996.7000000000003</v>
      </c>
      <c r="AJ50" s="35">
        <v>46080</v>
      </c>
      <c r="AK50" s="30">
        <v>1</v>
      </c>
      <c r="AL50" s="36">
        <f t="shared" si="15"/>
        <v>2996.7000000000003</v>
      </c>
      <c r="AM50" s="35">
        <v>46092</v>
      </c>
      <c r="AN50" s="30">
        <v>1</v>
      </c>
      <c r="AO50" s="36">
        <f t="shared" si="16"/>
        <v>2996.7000000000003</v>
      </c>
      <c r="AP50" s="35">
        <v>46120</v>
      </c>
      <c r="AQ50" s="30">
        <v>1</v>
      </c>
      <c r="AR50" s="36">
        <f t="shared" si="12"/>
        <v>2996.7000000000003</v>
      </c>
      <c r="AS50" s="27" t="s">
        <v>237</v>
      </c>
      <c r="AT50" s="37">
        <v>46141</v>
      </c>
      <c r="AU50" s="30">
        <v>1</v>
      </c>
      <c r="AV50" s="36">
        <f t="shared" si="13"/>
        <v>2996.7000000000003</v>
      </c>
      <c r="AW50" s="35">
        <v>46142</v>
      </c>
      <c r="AX50" s="30">
        <v>1</v>
      </c>
      <c r="AY50" s="32">
        <f t="shared" si="23"/>
        <v>2996.7000000000003</v>
      </c>
      <c r="AZ50" s="30" t="s">
        <v>228</v>
      </c>
      <c r="BA50" s="63" t="s">
        <v>232</v>
      </c>
      <c r="BB50" s="71"/>
      <c r="BC50" s="71"/>
      <c r="BD50" s="71"/>
    </row>
    <row r="51" spans="1:56" x14ac:dyDescent="0.25">
      <c r="A51" s="24">
        <f>IF(B51="","",SUBTOTAL(3,$B$4:B51))</f>
        <v>47</v>
      </c>
      <c r="B51" s="25" t="s">
        <v>182</v>
      </c>
      <c r="C51" s="25" t="s">
        <v>183</v>
      </c>
      <c r="D51" s="25" t="s">
        <v>180</v>
      </c>
      <c r="E51" s="25" t="s">
        <v>181</v>
      </c>
      <c r="F51" s="25"/>
      <c r="G51" s="65"/>
      <c r="H51" s="25" t="s">
        <v>184</v>
      </c>
      <c r="I51" s="25"/>
      <c r="J51" s="26" t="s">
        <v>244</v>
      </c>
      <c r="K51" s="27" t="s">
        <v>166</v>
      </c>
      <c r="L51" s="28" t="s">
        <v>167</v>
      </c>
      <c r="M51" s="28" t="s">
        <v>147</v>
      </c>
      <c r="N51" s="25">
        <v>1</v>
      </c>
      <c r="O51" s="29">
        <v>3145.1000000000004</v>
      </c>
      <c r="P51" s="29">
        <v>3145.1000000000004</v>
      </c>
      <c r="Q51" s="25" t="s">
        <v>221</v>
      </c>
      <c r="R51" s="25"/>
      <c r="S51" s="26" t="s">
        <v>188</v>
      </c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9"/>
        <v>3145.1000000000004</v>
      </c>
      <c r="AF51" s="32">
        <f t="shared" si="10"/>
        <v>0</v>
      </c>
      <c r="AG51" s="30"/>
      <c r="AH51" s="33">
        <v>1</v>
      </c>
      <c r="AI51" s="34">
        <f t="shared" si="11"/>
        <v>3145.1000000000004</v>
      </c>
      <c r="AJ51" s="35">
        <v>46080</v>
      </c>
      <c r="AK51" s="30">
        <v>1</v>
      </c>
      <c r="AL51" s="36">
        <f t="shared" si="15"/>
        <v>3145.1000000000004</v>
      </c>
      <c r="AM51" s="35">
        <v>46088</v>
      </c>
      <c r="AN51" s="30">
        <v>1</v>
      </c>
      <c r="AO51" s="36">
        <f t="shared" si="16"/>
        <v>3145.1000000000004</v>
      </c>
      <c r="AP51" s="35">
        <v>46120</v>
      </c>
      <c r="AQ51" s="30">
        <v>1</v>
      </c>
      <c r="AR51" s="36">
        <f t="shared" si="12"/>
        <v>3145.1000000000004</v>
      </c>
      <c r="AS51" s="27" t="s">
        <v>238</v>
      </c>
      <c r="AT51" s="37">
        <v>46146</v>
      </c>
      <c r="AU51" s="30">
        <v>1</v>
      </c>
      <c r="AV51" s="36">
        <f t="shared" si="13"/>
        <v>3145.1000000000004</v>
      </c>
      <c r="AW51" s="35">
        <v>46148</v>
      </c>
      <c r="AX51" s="30">
        <v>1</v>
      </c>
      <c r="AY51" s="32">
        <f t="shared" si="23"/>
        <v>3145.1000000000004</v>
      </c>
      <c r="AZ51" s="30" t="s">
        <v>228</v>
      </c>
      <c r="BA51" s="63" t="s">
        <v>237</v>
      </c>
      <c r="BB51" s="71"/>
      <c r="BC51" s="71"/>
      <c r="BD51" s="71"/>
    </row>
    <row r="52" spans="1:56" x14ac:dyDescent="0.25">
      <c r="A52" s="24">
        <f>IF(B52="","",SUBTOTAL(3,$B$4:B52))</f>
        <v>48</v>
      </c>
      <c r="B52" s="25" t="s">
        <v>182</v>
      </c>
      <c r="C52" s="25" t="s">
        <v>183</v>
      </c>
      <c r="D52" s="25" t="s">
        <v>180</v>
      </c>
      <c r="E52" s="25" t="s">
        <v>181</v>
      </c>
      <c r="F52" s="25"/>
      <c r="G52" s="65"/>
      <c r="H52" s="25" t="s">
        <v>184</v>
      </c>
      <c r="I52" s="25"/>
      <c r="J52" s="26" t="s">
        <v>244</v>
      </c>
      <c r="K52" s="27" t="s">
        <v>168</v>
      </c>
      <c r="L52" s="28" t="s">
        <v>169</v>
      </c>
      <c r="M52" s="28" t="s">
        <v>150</v>
      </c>
      <c r="N52" s="25">
        <v>1</v>
      </c>
      <c r="O52" s="29">
        <v>26961.700000000004</v>
      </c>
      <c r="P52" s="29">
        <v>26961.700000000004</v>
      </c>
      <c r="Q52" s="25" t="s">
        <v>222</v>
      </c>
      <c r="R52" s="25"/>
      <c r="S52" s="26" t="s">
        <v>188</v>
      </c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9"/>
        <v>26961.700000000008</v>
      </c>
      <c r="AF52" s="32">
        <f t="shared" si="10"/>
        <v>0</v>
      </c>
      <c r="AG52" s="30"/>
      <c r="AH52" s="33">
        <v>1</v>
      </c>
      <c r="AI52" s="34">
        <f t="shared" si="11"/>
        <v>26961.700000000004</v>
      </c>
      <c r="AJ52" s="35">
        <v>46074</v>
      </c>
      <c r="AK52" s="30">
        <v>1</v>
      </c>
      <c r="AL52" s="36">
        <f t="shared" si="15"/>
        <v>26961.700000000004</v>
      </c>
      <c r="AM52" s="35">
        <v>46085</v>
      </c>
      <c r="AN52" s="30">
        <v>1</v>
      </c>
      <c r="AO52" s="36">
        <f t="shared" si="16"/>
        <v>26961.700000000004</v>
      </c>
      <c r="AP52" s="35">
        <v>46120</v>
      </c>
      <c r="AQ52" s="30">
        <v>1</v>
      </c>
      <c r="AR52" s="36">
        <f t="shared" si="12"/>
        <v>26961.700000000004</v>
      </c>
      <c r="AS52" s="27" t="s">
        <v>240</v>
      </c>
      <c r="AT52" s="37">
        <v>46152</v>
      </c>
      <c r="AU52" s="30">
        <v>1</v>
      </c>
      <c r="AV52" s="36">
        <f t="shared" si="13"/>
        <v>26961.700000000004</v>
      </c>
      <c r="AW52" s="35">
        <v>46160</v>
      </c>
      <c r="AX52" s="30">
        <v>1</v>
      </c>
      <c r="AY52" s="32">
        <f t="shared" si="23"/>
        <v>26961.700000000004</v>
      </c>
      <c r="AZ52" s="30" t="s">
        <v>228</v>
      </c>
      <c r="BA52" s="63" t="s">
        <v>238</v>
      </c>
      <c r="BB52" s="71"/>
      <c r="BC52" s="71"/>
      <c r="BD52" s="71"/>
    </row>
    <row r="53" spans="1:56" x14ac:dyDescent="0.25">
      <c r="A53" s="24">
        <f>IF(B53="","",SUBTOTAL(3,$B$4:B53))</f>
        <v>49</v>
      </c>
      <c r="B53" s="25" t="s">
        <v>182</v>
      </c>
      <c r="C53" s="25" t="s">
        <v>183</v>
      </c>
      <c r="D53" s="25" t="s">
        <v>180</v>
      </c>
      <c r="E53" s="25" t="s">
        <v>181</v>
      </c>
      <c r="F53" s="25"/>
      <c r="G53" s="65"/>
      <c r="H53" s="25" t="s">
        <v>184</v>
      </c>
      <c r="I53" s="25"/>
      <c r="J53" s="26" t="s">
        <v>244</v>
      </c>
      <c r="K53" s="27" t="s">
        <v>170</v>
      </c>
      <c r="L53" s="28" t="s">
        <v>171</v>
      </c>
      <c r="M53" s="28" t="s">
        <v>161</v>
      </c>
      <c r="N53" s="25">
        <v>1</v>
      </c>
      <c r="O53" s="29">
        <v>1663.7</v>
      </c>
      <c r="P53" s="29">
        <v>1663.7</v>
      </c>
      <c r="Q53" s="25" t="s">
        <v>223</v>
      </c>
      <c r="R53" s="25"/>
      <c r="S53" s="26" t="s">
        <v>188</v>
      </c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9"/>
        <v>1663.6999999999998</v>
      </c>
      <c r="AF53" s="32">
        <f t="shared" si="10"/>
        <v>0</v>
      </c>
      <c r="AG53" s="30"/>
      <c r="AH53" s="33">
        <v>1</v>
      </c>
      <c r="AI53" s="34">
        <f t="shared" si="11"/>
        <v>1663.7</v>
      </c>
      <c r="AJ53" s="35">
        <v>46062</v>
      </c>
      <c r="AK53" s="30">
        <v>1</v>
      </c>
      <c r="AL53" s="36">
        <f t="shared" si="15"/>
        <v>1663.7</v>
      </c>
      <c r="AM53" s="35">
        <v>46080</v>
      </c>
      <c r="AN53" s="30">
        <v>1</v>
      </c>
      <c r="AO53" s="36">
        <f t="shared" si="16"/>
        <v>1663.7</v>
      </c>
      <c r="AP53" s="35">
        <v>46120</v>
      </c>
      <c r="AQ53" s="30">
        <v>1</v>
      </c>
      <c r="AR53" s="36">
        <f t="shared" si="12"/>
        <v>1663.7</v>
      </c>
      <c r="AS53" s="27" t="s">
        <v>238</v>
      </c>
      <c r="AT53" s="37">
        <v>46146</v>
      </c>
      <c r="AU53" s="30">
        <v>1</v>
      </c>
      <c r="AV53" s="36">
        <f t="shared" si="13"/>
        <v>1663.7</v>
      </c>
      <c r="AW53" s="35">
        <v>46148</v>
      </c>
      <c r="AX53" s="30">
        <v>1</v>
      </c>
      <c r="AY53" s="32">
        <f t="shared" ref="AY53" si="24">IFERROR(AX53*$P53/$N53,0)</f>
        <v>1663.7</v>
      </c>
      <c r="AZ53" s="30" t="s">
        <v>228</v>
      </c>
      <c r="BA53" s="63" t="s">
        <v>237</v>
      </c>
      <c r="BB53" s="71"/>
      <c r="BC53" s="71"/>
      <c r="BD53" s="71"/>
    </row>
    <row r="54" spans="1:56" x14ac:dyDescent="0.25">
      <c r="A54" s="24">
        <f>IF(B54="","",SUBTOTAL(3,$B$4:B54))</f>
        <v>50</v>
      </c>
      <c r="B54" s="25" t="s">
        <v>182</v>
      </c>
      <c r="C54" s="25" t="s">
        <v>183</v>
      </c>
      <c r="D54" s="25" t="s">
        <v>180</v>
      </c>
      <c r="E54" s="25" t="s">
        <v>181</v>
      </c>
      <c r="F54" s="25"/>
      <c r="G54" s="65"/>
      <c r="H54" s="25" t="s">
        <v>184</v>
      </c>
      <c r="I54" s="25"/>
      <c r="J54" s="26" t="s">
        <v>244</v>
      </c>
      <c r="K54" s="27" t="s">
        <v>172</v>
      </c>
      <c r="L54" s="28" t="s">
        <v>173</v>
      </c>
      <c r="M54" s="28" t="s">
        <v>147</v>
      </c>
      <c r="N54" s="25">
        <v>1</v>
      </c>
      <c r="O54" s="29">
        <v>1648.5</v>
      </c>
      <c r="P54" s="29">
        <v>1648.5</v>
      </c>
      <c r="Q54" s="25" t="s">
        <v>224</v>
      </c>
      <c r="R54" s="25"/>
      <c r="S54" s="26" t="s">
        <v>188</v>
      </c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9"/>
        <v>1648.5</v>
      </c>
      <c r="AF54" s="32">
        <f t="shared" si="10"/>
        <v>0</v>
      </c>
      <c r="AG54" s="30"/>
      <c r="AH54" s="33">
        <v>1</v>
      </c>
      <c r="AI54" s="34">
        <f t="shared" si="11"/>
        <v>1648.5</v>
      </c>
      <c r="AJ54" s="35">
        <v>46098</v>
      </c>
      <c r="AK54" s="30">
        <v>1</v>
      </c>
      <c r="AL54" s="36">
        <f t="shared" si="15"/>
        <v>1648.5</v>
      </c>
      <c r="AM54" s="35">
        <v>46101</v>
      </c>
      <c r="AN54" s="30">
        <v>1</v>
      </c>
      <c r="AO54" s="36">
        <f t="shared" si="16"/>
        <v>1648.5</v>
      </c>
      <c r="AP54" s="35">
        <v>46120</v>
      </c>
      <c r="AQ54" s="30">
        <v>1</v>
      </c>
      <c r="AR54" s="36">
        <f t="shared" si="12"/>
        <v>1648.5</v>
      </c>
      <c r="AS54" s="27" t="s">
        <v>237</v>
      </c>
      <c r="AT54" s="37">
        <v>46141</v>
      </c>
      <c r="AU54" s="30">
        <v>1</v>
      </c>
      <c r="AV54" s="36">
        <f t="shared" si="13"/>
        <v>1648.5</v>
      </c>
      <c r="AW54" s="35">
        <v>46142</v>
      </c>
      <c r="AX54" s="30">
        <v>1</v>
      </c>
      <c r="AY54" s="32">
        <f t="shared" ref="AY54" si="25">IFERROR(AX54*$P54/$N54,0)</f>
        <v>1648.5</v>
      </c>
      <c r="AZ54" s="30" t="s">
        <v>228</v>
      </c>
      <c r="BA54" s="63" t="s">
        <v>232</v>
      </c>
      <c r="BB54" s="71"/>
      <c r="BC54" s="71"/>
      <c r="BD54" s="71"/>
    </row>
    <row r="55" spans="1:56" x14ac:dyDescent="0.25">
      <c r="A55" s="24">
        <f>IF(B55="","",SUBTOTAL(3,$B$4:B55))</f>
        <v>51</v>
      </c>
      <c r="B55" s="25" t="s">
        <v>182</v>
      </c>
      <c r="C55" s="25" t="s">
        <v>183</v>
      </c>
      <c r="D55" s="25" t="s">
        <v>180</v>
      </c>
      <c r="E55" s="25" t="s">
        <v>181</v>
      </c>
      <c r="F55" s="25"/>
      <c r="G55" s="65"/>
      <c r="H55" s="25" t="s">
        <v>184</v>
      </c>
      <c r="I55" s="25"/>
      <c r="J55" s="26" t="s">
        <v>244</v>
      </c>
      <c r="K55" s="27" t="s">
        <v>174</v>
      </c>
      <c r="L55" s="28" t="s">
        <v>175</v>
      </c>
      <c r="M55" s="28" t="s">
        <v>147</v>
      </c>
      <c r="N55" s="25">
        <v>1</v>
      </c>
      <c r="O55" s="29">
        <v>1351.3</v>
      </c>
      <c r="P55" s="29">
        <v>1351.3</v>
      </c>
      <c r="Q55" s="25" t="s">
        <v>225</v>
      </c>
      <c r="R55" s="25"/>
      <c r="S55" s="26" t="s">
        <v>188</v>
      </c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9"/>
        <v>1351.3000000000002</v>
      </c>
      <c r="AF55" s="32">
        <f t="shared" si="10"/>
        <v>0</v>
      </c>
      <c r="AG55" s="30"/>
      <c r="AH55" s="33">
        <v>1</v>
      </c>
      <c r="AI55" s="34">
        <f t="shared" si="11"/>
        <v>1351.3</v>
      </c>
      <c r="AJ55" s="35">
        <v>46046</v>
      </c>
      <c r="AK55" s="30">
        <v>1</v>
      </c>
      <c r="AL55" s="36">
        <f t="shared" si="15"/>
        <v>1351.3</v>
      </c>
      <c r="AM55" s="35">
        <v>46097</v>
      </c>
      <c r="AN55" s="30">
        <v>1</v>
      </c>
      <c r="AO55" s="36">
        <f t="shared" si="16"/>
        <v>1351.3</v>
      </c>
      <c r="AP55" s="35">
        <v>46120</v>
      </c>
      <c r="AQ55" s="30">
        <v>1</v>
      </c>
      <c r="AR55" s="36">
        <f t="shared" si="12"/>
        <v>1351.3</v>
      </c>
      <c r="AS55" s="27" t="s">
        <v>229</v>
      </c>
      <c r="AT55" s="37">
        <v>46120</v>
      </c>
      <c r="AU55" s="30">
        <v>1</v>
      </c>
      <c r="AV55" s="36">
        <f t="shared" si="13"/>
        <v>1351.3</v>
      </c>
      <c r="AW55" s="35">
        <v>46122</v>
      </c>
      <c r="AX55" s="30">
        <v>1</v>
      </c>
      <c r="AY55" s="32">
        <f t="shared" ref="AY55:AY56" si="26">IFERROR(AX55*$P55/$N55,0)</f>
        <v>1351.3</v>
      </c>
      <c r="AZ55" s="30" t="s">
        <v>228</v>
      </c>
      <c r="BA55" s="63" t="s">
        <v>230</v>
      </c>
      <c r="BB55" s="71"/>
      <c r="BC55" s="71"/>
      <c r="BD55" s="71"/>
    </row>
    <row r="56" spans="1:56" x14ac:dyDescent="0.25">
      <c r="A56" s="24">
        <f>IF(B56="","",SUBTOTAL(3,$B$4:B56))</f>
        <v>52</v>
      </c>
      <c r="B56" s="25" t="s">
        <v>182</v>
      </c>
      <c r="C56" s="25" t="s">
        <v>183</v>
      </c>
      <c r="D56" s="25" t="s">
        <v>180</v>
      </c>
      <c r="E56" s="25" t="s">
        <v>181</v>
      </c>
      <c r="F56" s="25"/>
      <c r="G56" s="65"/>
      <c r="H56" s="25" t="s">
        <v>184</v>
      </c>
      <c r="I56" s="25"/>
      <c r="J56" s="26" t="s">
        <v>244</v>
      </c>
      <c r="K56" s="27" t="s">
        <v>176</v>
      </c>
      <c r="L56" s="28" t="s">
        <v>177</v>
      </c>
      <c r="M56" s="28" t="s">
        <v>150</v>
      </c>
      <c r="N56" s="25">
        <v>1</v>
      </c>
      <c r="O56" s="29">
        <v>6879.9000000000015</v>
      </c>
      <c r="P56" s="29">
        <v>6879.9000000000015</v>
      </c>
      <c r="Q56" s="25" t="s">
        <v>226</v>
      </c>
      <c r="R56" s="25"/>
      <c r="S56" s="26" t="s">
        <v>188</v>
      </c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9"/>
        <v>6879.9000000000015</v>
      </c>
      <c r="AF56" s="32">
        <f t="shared" si="10"/>
        <v>0</v>
      </c>
      <c r="AG56" s="30"/>
      <c r="AH56" s="33">
        <v>1</v>
      </c>
      <c r="AI56" s="34">
        <f t="shared" si="11"/>
        <v>6879.9000000000015</v>
      </c>
      <c r="AJ56" s="35">
        <v>46048</v>
      </c>
      <c r="AK56" s="30">
        <v>1</v>
      </c>
      <c r="AL56" s="36">
        <f t="shared" si="15"/>
        <v>6879.9000000000015</v>
      </c>
      <c r="AM56" s="35">
        <v>46062</v>
      </c>
      <c r="AN56" s="30">
        <v>1</v>
      </c>
      <c r="AO56" s="36">
        <f t="shared" si="16"/>
        <v>6879.9000000000015</v>
      </c>
      <c r="AP56" s="35">
        <v>46120</v>
      </c>
      <c r="AQ56" s="30">
        <v>1</v>
      </c>
      <c r="AR56" s="36">
        <f t="shared" si="12"/>
        <v>6879.9000000000015</v>
      </c>
      <c r="AS56" s="27" t="s">
        <v>232</v>
      </c>
      <c r="AT56" s="37">
        <v>46127</v>
      </c>
      <c r="AU56" s="30">
        <v>1</v>
      </c>
      <c r="AV56" s="36">
        <f t="shared" si="13"/>
        <v>6879.9000000000015</v>
      </c>
      <c r="AW56" s="35">
        <v>46133</v>
      </c>
      <c r="AX56" s="30">
        <v>1</v>
      </c>
      <c r="AY56" s="32">
        <f t="shared" si="26"/>
        <v>6879.9000000000015</v>
      </c>
      <c r="AZ56" s="30" t="s">
        <v>228</v>
      </c>
      <c r="BA56" s="63" t="s">
        <v>231</v>
      </c>
      <c r="BB56" s="71"/>
      <c r="BC56" s="71"/>
      <c r="BD56" s="71"/>
    </row>
    <row r="57" spans="1:56" x14ac:dyDescent="0.25">
      <c r="A57" s="24">
        <f>IF(B57="","",SUBTOTAL(3,$B$4:B57))</f>
        <v>53</v>
      </c>
      <c r="B57" s="25" t="s">
        <v>182</v>
      </c>
      <c r="C57" s="25" t="s">
        <v>183</v>
      </c>
      <c r="D57" s="25" t="s">
        <v>180</v>
      </c>
      <c r="E57" s="25" t="s">
        <v>181</v>
      </c>
      <c r="F57" s="25"/>
      <c r="G57" s="65"/>
      <c r="H57" s="25" t="s">
        <v>184</v>
      </c>
      <c r="I57" s="25"/>
      <c r="J57" s="26" t="s">
        <v>244</v>
      </c>
      <c r="K57" s="27" t="s">
        <v>178</v>
      </c>
      <c r="L57" s="28" t="s">
        <v>179</v>
      </c>
      <c r="M57" s="28" t="s">
        <v>147</v>
      </c>
      <c r="N57" s="25">
        <v>1</v>
      </c>
      <c r="O57" s="29">
        <v>906</v>
      </c>
      <c r="P57" s="29">
        <v>906</v>
      </c>
      <c r="Q57" s="25" t="s">
        <v>227</v>
      </c>
      <c r="R57" s="25"/>
      <c r="S57" s="26" t="s">
        <v>188</v>
      </c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9"/>
        <v>906.00000000000011</v>
      </c>
      <c r="AF57" s="32">
        <f t="shared" si="10"/>
        <v>0</v>
      </c>
      <c r="AG57" s="30"/>
      <c r="AH57" s="33">
        <v>1</v>
      </c>
      <c r="AI57" s="34">
        <f t="shared" si="11"/>
        <v>906</v>
      </c>
      <c r="AJ57" s="35">
        <v>46058</v>
      </c>
      <c r="AK57" s="30">
        <v>1</v>
      </c>
      <c r="AL57" s="36">
        <f t="shared" si="15"/>
        <v>906</v>
      </c>
      <c r="AM57" s="35">
        <v>46097</v>
      </c>
      <c r="AN57" s="30">
        <v>1</v>
      </c>
      <c r="AO57" s="36">
        <f t="shared" si="16"/>
        <v>906</v>
      </c>
      <c r="AP57" s="35">
        <v>46120</v>
      </c>
      <c r="AQ57" s="30">
        <v>1</v>
      </c>
      <c r="AR57" s="36">
        <f t="shared" si="12"/>
        <v>906</v>
      </c>
      <c r="AS57" s="27" t="s">
        <v>231</v>
      </c>
      <c r="AT57" s="37">
        <v>46126</v>
      </c>
      <c r="AU57" s="30">
        <v>1</v>
      </c>
      <c r="AV57" s="36">
        <f t="shared" si="13"/>
        <v>906</v>
      </c>
      <c r="AW57" s="35">
        <v>46127</v>
      </c>
      <c r="AX57" s="30">
        <v>1</v>
      </c>
      <c r="AY57" s="32">
        <f t="shared" ref="AY57" si="27">IFERROR(AX57*$P57/$N57,0)</f>
        <v>906</v>
      </c>
      <c r="AZ57" s="30" t="s">
        <v>228</v>
      </c>
      <c r="BA57" s="63" t="s">
        <v>229</v>
      </c>
      <c r="BB57" s="71"/>
      <c r="BC57" s="71"/>
      <c r="BD57" s="71"/>
    </row>
    <row r="58" spans="1:56" hidden="1" x14ac:dyDescent="0.25">
      <c r="A58" s="24" t="str">
        <f>IF(B58="","",SUBTOTAL(3,$B$4:B58))</f>
        <v/>
      </c>
      <c r="B58" s="25"/>
      <c r="C58" s="25" t="str">
        <f t="shared" ref="C58:C60" si="28">D58&amp;" "&amp;E58</f>
        <v xml:space="preserve"> </v>
      </c>
      <c r="D58" s="25"/>
      <c r="E58" s="25"/>
      <c r="F58" s="25"/>
      <c r="G58" s="65"/>
      <c r="H58" s="25"/>
      <c r="I58" s="25"/>
      <c r="J58" s="26"/>
      <c r="K58" s="27"/>
      <c r="L58" s="28"/>
      <c r="M58" s="28"/>
      <c r="N58" s="25"/>
      <c r="O58" s="29"/>
      <c r="P58" s="29"/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ref="AE58:AE60" si="29">+AL58*0.5+AO58*0.4+AV58*0.1</f>
        <v>0</v>
      </c>
      <c r="AF58" s="32">
        <f t="shared" ref="AF58:AF60" si="30">+P58-AE58</f>
        <v>0</v>
      </c>
      <c r="AG58" s="30"/>
      <c r="AH58" s="33"/>
      <c r="AI58" s="34">
        <f t="shared" ref="AI58:AI60" si="31">+AH58*P58</f>
        <v>0</v>
      </c>
      <c r="AJ58" s="35"/>
      <c r="AK58" s="30"/>
      <c r="AL58" s="36">
        <f t="shared" ref="AL58:AL60" si="32">IFERROR(AK58*$P58/$N58,0)</f>
        <v>0</v>
      </c>
      <c r="AM58" s="35"/>
      <c r="AN58" s="30"/>
      <c r="AO58" s="36">
        <f t="shared" ref="AO58:AO60" si="33">IFERROR(AN58*$P58/$N58,0)</f>
        <v>0</v>
      </c>
      <c r="AP58" s="35"/>
      <c r="AQ58" s="30"/>
      <c r="AR58" s="36">
        <f t="shared" ref="AR58:AR60" si="34">IFERROR(AQ58*$P58/$N58,0)</f>
        <v>0</v>
      </c>
      <c r="AS58" s="27"/>
      <c r="AT58" s="37"/>
      <c r="AU58" s="30"/>
      <c r="AV58" s="36">
        <f t="shared" ref="AV58:AV60" si="35">IFERROR(AU58*$P58/$N58,0)</f>
        <v>0</v>
      </c>
      <c r="AW58" s="35"/>
      <c r="AX58" s="30"/>
      <c r="AY58" s="32">
        <f t="shared" ref="AY58:AY60" si="36">IFERROR(AX58*$P58/$N58,0)</f>
        <v>0</v>
      </c>
      <c r="AZ58" s="30"/>
      <c r="BA58" s="63"/>
      <c r="BB58" s="71"/>
      <c r="BC58" s="71"/>
      <c r="BD58" s="71"/>
    </row>
    <row r="59" spans="1:56" hidden="1" x14ac:dyDescent="0.25">
      <c r="A59" s="24" t="str">
        <f>IF(B59="","",SUBTOTAL(3,$B$4:B59))</f>
        <v/>
      </c>
      <c r="B59" s="25"/>
      <c r="C59" s="25" t="str">
        <f t="shared" si="28"/>
        <v xml:space="preserve"> </v>
      </c>
      <c r="D59" s="25"/>
      <c r="E59" s="25"/>
      <c r="F59" s="25"/>
      <c r="G59" s="65"/>
      <c r="H59" s="25"/>
      <c r="I59" s="25"/>
      <c r="J59" s="26"/>
      <c r="K59" s="27"/>
      <c r="L59" s="28"/>
      <c r="M59" s="28"/>
      <c r="N59" s="25"/>
      <c r="O59" s="29"/>
      <c r="P59" s="29"/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29"/>
        <v>0</v>
      </c>
      <c r="AF59" s="32">
        <f t="shared" si="30"/>
        <v>0</v>
      </c>
      <c r="AG59" s="30"/>
      <c r="AH59" s="33"/>
      <c r="AI59" s="34">
        <f t="shared" si="31"/>
        <v>0</v>
      </c>
      <c r="AJ59" s="35"/>
      <c r="AK59" s="30"/>
      <c r="AL59" s="36">
        <f t="shared" si="32"/>
        <v>0</v>
      </c>
      <c r="AM59" s="35"/>
      <c r="AN59" s="30"/>
      <c r="AO59" s="36">
        <f t="shared" si="33"/>
        <v>0</v>
      </c>
      <c r="AP59" s="35"/>
      <c r="AQ59" s="30"/>
      <c r="AR59" s="36">
        <f t="shared" si="34"/>
        <v>0</v>
      </c>
      <c r="AS59" s="27"/>
      <c r="AT59" s="37"/>
      <c r="AU59" s="30"/>
      <c r="AV59" s="36">
        <f t="shared" si="35"/>
        <v>0</v>
      </c>
      <c r="AW59" s="35"/>
      <c r="AX59" s="30"/>
      <c r="AY59" s="32">
        <f t="shared" si="36"/>
        <v>0</v>
      </c>
      <c r="AZ59" s="30"/>
      <c r="BA59" s="63"/>
      <c r="BB59" s="71"/>
      <c r="BC59" s="71"/>
      <c r="BD59" s="71"/>
    </row>
    <row r="60" spans="1:56" hidden="1" x14ac:dyDescent="0.25">
      <c r="A60" s="24" t="str">
        <f>IF(B60="","",SUBTOTAL(3,$B$4:B60))</f>
        <v/>
      </c>
      <c r="B60" s="25"/>
      <c r="C60" s="25" t="str">
        <f t="shared" si="28"/>
        <v xml:space="preserve"> </v>
      </c>
      <c r="D60" s="25"/>
      <c r="E60" s="25"/>
      <c r="F60" s="25"/>
      <c r="G60" s="65"/>
      <c r="H60" s="25"/>
      <c r="I60" s="25"/>
      <c r="J60" s="26"/>
      <c r="K60" s="27"/>
      <c r="L60" s="28"/>
      <c r="M60" s="28"/>
      <c r="N60" s="25"/>
      <c r="O60" s="29"/>
      <c r="P60" s="29"/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29"/>
        <v>0</v>
      </c>
      <c r="AF60" s="32">
        <f t="shared" si="30"/>
        <v>0</v>
      </c>
      <c r="AG60" s="30"/>
      <c r="AH60" s="33"/>
      <c r="AI60" s="34">
        <f t="shared" si="31"/>
        <v>0</v>
      </c>
      <c r="AJ60" s="35"/>
      <c r="AK60" s="30"/>
      <c r="AL60" s="36">
        <f t="shared" si="32"/>
        <v>0</v>
      </c>
      <c r="AM60" s="35"/>
      <c r="AN60" s="30"/>
      <c r="AO60" s="36">
        <f t="shared" si="33"/>
        <v>0</v>
      </c>
      <c r="AP60" s="35"/>
      <c r="AQ60" s="30"/>
      <c r="AR60" s="36">
        <f t="shared" si="34"/>
        <v>0</v>
      </c>
      <c r="AS60" s="27"/>
      <c r="AT60" s="37"/>
      <c r="AU60" s="30"/>
      <c r="AV60" s="36">
        <f t="shared" si="35"/>
        <v>0</v>
      </c>
      <c r="AW60" s="35"/>
      <c r="AX60" s="30"/>
      <c r="AY60" s="32">
        <f t="shared" si="36"/>
        <v>0</v>
      </c>
      <c r="AZ60" s="30"/>
      <c r="BA60" s="63"/>
      <c r="BB60" s="71"/>
      <c r="BC60" s="71"/>
      <c r="BD60" s="71"/>
    </row>
    <row r="61" spans="1:56" hidden="1" x14ac:dyDescent="0.25">
      <c r="A61" s="24" t="str">
        <f>IF(B61="","",SUBTOTAL(3,$B$4:B61))</f>
        <v/>
      </c>
      <c r="B61" s="25"/>
      <c r="C61" s="25" t="str">
        <f t="shared" ref="C61:C62" si="37">D61&amp;" "&amp;E61</f>
        <v xml:space="preserve"> </v>
      </c>
      <c r="D61" s="25"/>
      <c r="E61" s="25"/>
      <c r="F61" s="25"/>
      <c r="G61" s="65"/>
      <c r="H61" s="25"/>
      <c r="I61" s="25"/>
      <c r="J61" s="26"/>
      <c r="K61" s="27"/>
      <c r="L61" s="28"/>
      <c r="M61" s="28"/>
      <c r="N61" s="25"/>
      <c r="O61" s="29"/>
      <c r="P61" s="29"/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9"/>
        <v>0</v>
      </c>
      <c r="AF61" s="32">
        <f t="shared" si="10"/>
        <v>0</v>
      </c>
      <c r="AG61" s="30"/>
      <c r="AH61" s="33"/>
      <c r="AI61" s="34">
        <f t="shared" si="11"/>
        <v>0</v>
      </c>
      <c r="AJ61" s="35"/>
      <c r="AK61" s="30"/>
      <c r="AL61" s="36">
        <f t="shared" si="15"/>
        <v>0</v>
      </c>
      <c r="AM61" s="35"/>
      <c r="AN61" s="30"/>
      <c r="AO61" s="36">
        <f t="shared" si="16"/>
        <v>0</v>
      </c>
      <c r="AP61" s="35"/>
      <c r="AQ61" s="30"/>
      <c r="AR61" s="36">
        <f t="shared" si="12"/>
        <v>0</v>
      </c>
      <c r="AS61" s="27"/>
      <c r="AT61" s="37"/>
      <c r="AU61" s="30"/>
      <c r="AV61" s="36">
        <f t="shared" si="13"/>
        <v>0</v>
      </c>
      <c r="AW61" s="35"/>
      <c r="AX61" s="30"/>
      <c r="AY61" s="32">
        <f t="shared" si="14"/>
        <v>0</v>
      </c>
      <c r="AZ61" s="30"/>
      <c r="BA61" s="63"/>
      <c r="BB61" s="71"/>
      <c r="BC61" s="71"/>
      <c r="BD61" s="71"/>
    </row>
    <row r="62" spans="1:56" hidden="1" x14ac:dyDescent="0.25">
      <c r="A62" s="24" t="str">
        <f>IF(B62="","",SUBTOTAL(3,$B$4:B62))</f>
        <v/>
      </c>
      <c r="B62" s="25"/>
      <c r="C62" s="25" t="str">
        <f t="shared" si="37"/>
        <v xml:space="preserve"> </v>
      </c>
      <c r="D62" s="25"/>
      <c r="E62" s="25"/>
      <c r="F62" s="25"/>
      <c r="G62" s="65"/>
      <c r="H62" s="25"/>
      <c r="I62" s="25"/>
      <c r="J62" s="26"/>
      <c r="K62" s="27"/>
      <c r="L62" s="28"/>
      <c r="M62" s="28"/>
      <c r="N62" s="25"/>
      <c r="O62" s="29"/>
      <c r="P62" s="29"/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9"/>
        <v>0</v>
      </c>
      <c r="AF62" s="32">
        <f t="shared" si="10"/>
        <v>0</v>
      </c>
      <c r="AG62" s="30"/>
      <c r="AH62" s="33"/>
      <c r="AI62" s="34">
        <f t="shared" si="11"/>
        <v>0</v>
      </c>
      <c r="AJ62" s="35"/>
      <c r="AK62" s="30"/>
      <c r="AL62" s="36">
        <f t="shared" si="15"/>
        <v>0</v>
      </c>
      <c r="AM62" s="35"/>
      <c r="AN62" s="30"/>
      <c r="AO62" s="36">
        <f t="shared" si="16"/>
        <v>0</v>
      </c>
      <c r="AP62" s="35"/>
      <c r="AQ62" s="30"/>
      <c r="AR62" s="36">
        <f t="shared" si="12"/>
        <v>0</v>
      </c>
      <c r="AS62" s="27"/>
      <c r="AT62" s="37"/>
      <c r="AU62" s="30"/>
      <c r="AV62" s="36">
        <f t="shared" si="13"/>
        <v>0</v>
      </c>
      <c r="AW62" s="35"/>
      <c r="AX62" s="30"/>
      <c r="AY62" s="32">
        <f t="shared" si="14"/>
        <v>0</v>
      </c>
      <c r="AZ62" s="30"/>
      <c r="BA62" s="63"/>
      <c r="BB62" s="71"/>
      <c r="BC62" s="71"/>
      <c r="BD62" s="71"/>
    </row>
    <row r="63" spans="1:56" hidden="1" x14ac:dyDescent="0.25">
      <c r="A63" s="24" t="str">
        <f>IF(B63="","",SUBTOTAL(3,$B$4:B63))</f>
        <v/>
      </c>
      <c r="B63" s="25"/>
      <c r="C63" s="25" t="str">
        <f t="shared" ref="C63:C65" si="38">D63&amp;" "&amp;E63</f>
        <v xml:space="preserve"> </v>
      </c>
      <c r="D63" s="25"/>
      <c r="E63" s="25"/>
      <c r="F63" s="25"/>
      <c r="G63" s="65"/>
      <c r="H63" s="25"/>
      <c r="I63" s="25"/>
      <c r="J63" s="26"/>
      <c r="K63" s="27"/>
      <c r="L63" s="28"/>
      <c r="M63" s="28"/>
      <c r="N63" s="25"/>
      <c r="O63" s="29"/>
      <c r="P63" s="29"/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ref="AE63:AE65" si="39">+AL63*0.5+AO63*0.4+AV63*0.1</f>
        <v>0</v>
      </c>
      <c r="AF63" s="32">
        <f t="shared" ref="AF63:AF65" si="40">+P63-AE63</f>
        <v>0</v>
      </c>
      <c r="AG63" s="30"/>
      <c r="AH63" s="33"/>
      <c r="AI63" s="34">
        <f t="shared" ref="AI63:AI65" si="41">+AH63*P63</f>
        <v>0</v>
      </c>
      <c r="AJ63" s="35"/>
      <c r="AK63" s="30"/>
      <c r="AL63" s="36">
        <f t="shared" ref="AL63:AL65" si="42">IFERROR(AK63*$P63/$N63,0)</f>
        <v>0</v>
      </c>
      <c r="AM63" s="35"/>
      <c r="AN63" s="30"/>
      <c r="AO63" s="36">
        <f t="shared" ref="AO63:AO65" si="43">IFERROR(AN63*$P63/$N63,0)</f>
        <v>0</v>
      </c>
      <c r="AP63" s="35"/>
      <c r="AQ63" s="30"/>
      <c r="AR63" s="36">
        <f t="shared" ref="AR63:AR65" si="44">IFERROR(AQ63*$P63/$N63,0)</f>
        <v>0</v>
      </c>
      <c r="AS63" s="27"/>
      <c r="AT63" s="37"/>
      <c r="AU63" s="30"/>
      <c r="AV63" s="36">
        <f t="shared" ref="AV63:AV65" si="45">IFERROR(AU63*$P63/$N63,0)</f>
        <v>0</v>
      </c>
      <c r="AW63" s="35"/>
      <c r="AX63" s="30"/>
      <c r="AY63" s="32">
        <f t="shared" ref="AY63:AY65" si="46">IFERROR(AX63*$P63/$N63,0)</f>
        <v>0</v>
      </c>
      <c r="AZ63" s="30"/>
      <c r="BA63" s="63"/>
      <c r="BB63" s="71"/>
      <c r="BC63" s="71"/>
      <c r="BD63" s="71"/>
    </row>
    <row r="64" spans="1:56" hidden="1" x14ac:dyDescent="0.25">
      <c r="A64" s="24" t="str">
        <f>IF(B64="","",SUBTOTAL(3,$B$4:B64))</f>
        <v/>
      </c>
      <c r="B64" s="25"/>
      <c r="C64" s="25" t="str">
        <f t="shared" si="38"/>
        <v xml:space="preserve"> </v>
      </c>
      <c r="D64" s="25"/>
      <c r="E64" s="25"/>
      <c r="F64" s="25"/>
      <c r="G64" s="65"/>
      <c r="H64" s="25"/>
      <c r="I64" s="25"/>
      <c r="J64" s="26"/>
      <c r="K64" s="27"/>
      <c r="L64" s="28"/>
      <c r="M64" s="28"/>
      <c r="N64" s="25"/>
      <c r="O64" s="29"/>
      <c r="P64" s="29"/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39"/>
        <v>0</v>
      </c>
      <c r="AF64" s="32">
        <f t="shared" si="40"/>
        <v>0</v>
      </c>
      <c r="AG64" s="30"/>
      <c r="AH64" s="33"/>
      <c r="AI64" s="34">
        <f t="shared" si="41"/>
        <v>0</v>
      </c>
      <c r="AJ64" s="35"/>
      <c r="AK64" s="30"/>
      <c r="AL64" s="36">
        <f t="shared" si="42"/>
        <v>0</v>
      </c>
      <c r="AM64" s="35"/>
      <c r="AN64" s="30"/>
      <c r="AO64" s="36">
        <f t="shared" si="43"/>
        <v>0</v>
      </c>
      <c r="AP64" s="35"/>
      <c r="AQ64" s="30"/>
      <c r="AR64" s="36">
        <f t="shared" si="44"/>
        <v>0</v>
      </c>
      <c r="AS64" s="27"/>
      <c r="AT64" s="37"/>
      <c r="AU64" s="30"/>
      <c r="AV64" s="36">
        <f t="shared" si="45"/>
        <v>0</v>
      </c>
      <c r="AW64" s="35"/>
      <c r="AX64" s="30"/>
      <c r="AY64" s="32">
        <f t="shared" si="46"/>
        <v>0</v>
      </c>
      <c r="AZ64" s="30"/>
      <c r="BA64" s="63"/>
      <c r="BB64" s="71"/>
      <c r="BC64" s="71"/>
      <c r="BD64" s="71"/>
    </row>
    <row r="65" spans="1:56" hidden="1" x14ac:dyDescent="0.25">
      <c r="A65" s="24" t="str">
        <f>IF(B65="","",SUBTOTAL(3,$B$4:B65))</f>
        <v/>
      </c>
      <c r="B65" s="25"/>
      <c r="C65" s="25" t="str">
        <f t="shared" si="38"/>
        <v xml:space="preserve"> </v>
      </c>
      <c r="D65" s="25"/>
      <c r="E65" s="25"/>
      <c r="F65" s="25"/>
      <c r="G65" s="65"/>
      <c r="H65" s="25"/>
      <c r="I65" s="25"/>
      <c r="J65" s="26"/>
      <c r="K65" s="27"/>
      <c r="L65" s="28"/>
      <c r="M65" s="28"/>
      <c r="N65" s="25"/>
      <c r="O65" s="29"/>
      <c r="P65" s="29"/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39"/>
        <v>0</v>
      </c>
      <c r="AF65" s="32">
        <f t="shared" si="40"/>
        <v>0</v>
      </c>
      <c r="AG65" s="30"/>
      <c r="AH65" s="33"/>
      <c r="AI65" s="34">
        <f t="shared" si="41"/>
        <v>0</v>
      </c>
      <c r="AJ65" s="35"/>
      <c r="AK65" s="30"/>
      <c r="AL65" s="36">
        <f t="shared" si="42"/>
        <v>0</v>
      </c>
      <c r="AM65" s="35"/>
      <c r="AN65" s="30"/>
      <c r="AO65" s="36">
        <f t="shared" si="43"/>
        <v>0</v>
      </c>
      <c r="AP65" s="35"/>
      <c r="AQ65" s="30"/>
      <c r="AR65" s="36">
        <f t="shared" si="44"/>
        <v>0</v>
      </c>
      <c r="AS65" s="27"/>
      <c r="AT65" s="37"/>
      <c r="AU65" s="30"/>
      <c r="AV65" s="36">
        <f t="shared" si="45"/>
        <v>0</v>
      </c>
      <c r="AW65" s="35"/>
      <c r="AX65" s="30"/>
      <c r="AY65" s="32">
        <f t="shared" si="46"/>
        <v>0</v>
      </c>
      <c r="AZ65" s="30"/>
      <c r="BA65" s="63"/>
      <c r="BB65" s="71"/>
      <c r="BC65" s="71"/>
      <c r="BD65" s="71"/>
    </row>
    <row r="66" spans="1:56" hidden="1" x14ac:dyDescent="0.25">
      <c r="A66" s="24" t="str">
        <f>IF(B66="","",SUBTOTAL(3,$B$4:B66))</f>
        <v/>
      </c>
      <c r="B66" s="25"/>
      <c r="C66" s="25" t="str">
        <f t="shared" ref="C66:C77" si="47">D66&amp;" "&amp;E66</f>
        <v xml:space="preserve"> </v>
      </c>
      <c r="D66" s="25"/>
      <c r="E66" s="25"/>
      <c r="F66" s="25"/>
      <c r="G66" s="65"/>
      <c r="H66" s="25"/>
      <c r="I66" s="25"/>
      <c r="J66" s="26"/>
      <c r="K66" s="24"/>
      <c r="L66" s="25"/>
      <c r="M66" s="28"/>
      <c r="N66" s="25"/>
      <c r="O66" s="29"/>
      <c r="P66" s="29"/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0"/>
        <v>0</v>
      </c>
      <c r="AF66" s="32">
        <f t="shared" si="1"/>
        <v>0</v>
      </c>
      <c r="AG66" s="30"/>
      <c r="AH66" s="33"/>
      <c r="AI66" s="34">
        <f t="shared" si="2"/>
        <v>0</v>
      </c>
      <c r="AJ66" s="35"/>
      <c r="AK66" s="30"/>
      <c r="AL66" s="36">
        <f t="shared" si="3"/>
        <v>0</v>
      </c>
      <c r="AM66" s="35"/>
      <c r="AN66" s="30"/>
      <c r="AO66" s="36">
        <f t="shared" si="4"/>
        <v>0</v>
      </c>
      <c r="AP66" s="35"/>
      <c r="AQ66" s="30"/>
      <c r="AR66" s="36">
        <f t="shared" si="5"/>
        <v>0</v>
      </c>
      <c r="AS66" s="27"/>
      <c r="AT66" s="37"/>
      <c r="AU66" s="30"/>
      <c r="AV66" s="36">
        <f t="shared" si="6"/>
        <v>0</v>
      </c>
      <c r="AW66" s="35"/>
      <c r="AX66" s="30"/>
      <c r="AY66" s="32">
        <f t="shared" si="7"/>
        <v>0</v>
      </c>
      <c r="AZ66" s="30"/>
      <c r="BA66" s="63"/>
      <c r="BB66" s="71"/>
      <c r="BC66" s="71"/>
      <c r="BD66" s="71"/>
    </row>
    <row r="67" spans="1:56" hidden="1" x14ac:dyDescent="0.25">
      <c r="A67" s="24" t="str">
        <f>IF(B67="","",SUBTOTAL(3,$B$4:B67))</f>
        <v/>
      </c>
      <c r="B67" s="25"/>
      <c r="C67" s="25" t="str">
        <f t="shared" si="47"/>
        <v xml:space="preserve"> </v>
      </c>
      <c r="D67" s="25"/>
      <c r="E67" s="25"/>
      <c r="F67" s="25"/>
      <c r="G67" s="65"/>
      <c r="H67" s="25"/>
      <c r="I67" s="25"/>
      <c r="J67" s="26"/>
      <c r="K67" s="24"/>
      <c r="L67" s="25"/>
      <c r="M67" s="28"/>
      <c r="N67" s="25"/>
      <c r="O67" s="29"/>
      <c r="P67" s="29"/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0"/>
        <v>0</v>
      </c>
      <c r="AF67" s="32">
        <f t="shared" si="1"/>
        <v>0</v>
      </c>
      <c r="AG67" s="30"/>
      <c r="AH67" s="33"/>
      <c r="AI67" s="34">
        <f t="shared" si="2"/>
        <v>0</v>
      </c>
      <c r="AJ67" s="35"/>
      <c r="AK67" s="30"/>
      <c r="AL67" s="36">
        <f t="shared" si="3"/>
        <v>0</v>
      </c>
      <c r="AM67" s="35"/>
      <c r="AN67" s="30"/>
      <c r="AO67" s="36">
        <f t="shared" si="4"/>
        <v>0</v>
      </c>
      <c r="AP67" s="35"/>
      <c r="AQ67" s="30"/>
      <c r="AR67" s="36">
        <f t="shared" si="5"/>
        <v>0</v>
      </c>
      <c r="AS67" s="27"/>
      <c r="AT67" s="37"/>
      <c r="AU67" s="30"/>
      <c r="AV67" s="36">
        <f t="shared" si="6"/>
        <v>0</v>
      </c>
      <c r="AW67" s="35"/>
      <c r="AX67" s="30"/>
      <c r="AY67" s="32">
        <f t="shared" si="7"/>
        <v>0</v>
      </c>
      <c r="AZ67" s="30"/>
      <c r="BA67" s="63"/>
      <c r="BB67" s="71"/>
      <c r="BC67" s="71"/>
      <c r="BD67" s="71"/>
    </row>
    <row r="68" spans="1:56" hidden="1" x14ac:dyDescent="0.25">
      <c r="A68" s="24" t="str">
        <f>IF(B68="","",SUBTOTAL(3,$B$4:B68))</f>
        <v/>
      </c>
      <c r="B68" s="25"/>
      <c r="C68" s="25" t="str">
        <f t="shared" si="47"/>
        <v xml:space="preserve"> </v>
      </c>
      <c r="D68" s="25"/>
      <c r="E68" s="25"/>
      <c r="F68" s="25"/>
      <c r="G68" s="65"/>
      <c r="H68" s="25"/>
      <c r="I68" s="25"/>
      <c r="J68" s="26"/>
      <c r="K68" s="24"/>
      <c r="L68" s="25"/>
      <c r="M68" s="28"/>
      <c r="N68" s="25"/>
      <c r="O68" s="29"/>
      <c r="P68" s="29"/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0"/>
        <v>0</v>
      </c>
      <c r="AF68" s="32">
        <f t="shared" si="1"/>
        <v>0</v>
      </c>
      <c r="AG68" s="30"/>
      <c r="AH68" s="33"/>
      <c r="AI68" s="34">
        <f t="shared" si="2"/>
        <v>0</v>
      </c>
      <c r="AJ68" s="35"/>
      <c r="AK68" s="30"/>
      <c r="AL68" s="36">
        <f t="shared" si="3"/>
        <v>0</v>
      </c>
      <c r="AM68" s="35"/>
      <c r="AN68" s="30"/>
      <c r="AO68" s="36">
        <f t="shared" si="4"/>
        <v>0</v>
      </c>
      <c r="AP68" s="35"/>
      <c r="AQ68" s="30"/>
      <c r="AR68" s="36">
        <f t="shared" si="5"/>
        <v>0</v>
      </c>
      <c r="AS68" s="27"/>
      <c r="AT68" s="37"/>
      <c r="AU68" s="30"/>
      <c r="AV68" s="36">
        <f t="shared" si="6"/>
        <v>0</v>
      </c>
      <c r="AW68" s="35"/>
      <c r="AX68" s="30"/>
      <c r="AY68" s="32">
        <f t="shared" si="7"/>
        <v>0</v>
      </c>
      <c r="AZ68" s="30"/>
      <c r="BA68" s="63"/>
      <c r="BB68" s="71"/>
      <c r="BC68" s="71"/>
      <c r="BD68" s="71"/>
    </row>
    <row r="69" spans="1:56" hidden="1" x14ac:dyDescent="0.25">
      <c r="A69" s="24" t="str">
        <f>IF(B69="","",SUBTOTAL(3,$B$4:B69))</f>
        <v/>
      </c>
      <c r="B69" s="25"/>
      <c r="C69" s="25" t="str">
        <f t="shared" si="47"/>
        <v xml:space="preserve"> </v>
      </c>
      <c r="D69" s="25"/>
      <c r="E69" s="25"/>
      <c r="F69" s="25"/>
      <c r="G69" s="65"/>
      <c r="H69" s="25"/>
      <c r="I69" s="25"/>
      <c r="J69" s="26"/>
      <c r="K69" s="24"/>
      <c r="L69" s="25"/>
      <c r="M69" s="28"/>
      <c r="N69" s="25"/>
      <c r="O69" s="29"/>
      <c r="P69" s="29"/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0"/>
        <v>0</v>
      </c>
      <c r="AF69" s="32">
        <f t="shared" si="1"/>
        <v>0</v>
      </c>
      <c r="AG69" s="30"/>
      <c r="AH69" s="33"/>
      <c r="AI69" s="34">
        <f t="shared" si="2"/>
        <v>0</v>
      </c>
      <c r="AJ69" s="35"/>
      <c r="AK69" s="30"/>
      <c r="AL69" s="36">
        <f t="shared" si="3"/>
        <v>0</v>
      </c>
      <c r="AM69" s="35"/>
      <c r="AN69" s="30"/>
      <c r="AO69" s="36">
        <f t="shared" si="4"/>
        <v>0</v>
      </c>
      <c r="AP69" s="35"/>
      <c r="AQ69" s="30"/>
      <c r="AR69" s="36">
        <f t="shared" si="5"/>
        <v>0</v>
      </c>
      <c r="AS69" s="27"/>
      <c r="AT69" s="37"/>
      <c r="AU69" s="30"/>
      <c r="AV69" s="36">
        <f t="shared" si="6"/>
        <v>0</v>
      </c>
      <c r="AW69" s="35"/>
      <c r="AX69" s="30"/>
      <c r="AY69" s="32">
        <f t="shared" si="7"/>
        <v>0</v>
      </c>
      <c r="AZ69" s="30"/>
      <c r="BA69" s="63"/>
      <c r="BB69" s="71"/>
      <c r="BC69" s="71"/>
      <c r="BD69" s="71"/>
    </row>
    <row r="70" spans="1:56" hidden="1" x14ac:dyDescent="0.25">
      <c r="A70" s="24" t="str">
        <f>IF(B70="","",SUBTOTAL(3,$B$4:B70))</f>
        <v/>
      </c>
      <c r="B70" s="25"/>
      <c r="C70" s="25" t="str">
        <f t="shared" si="47"/>
        <v xml:space="preserve"> </v>
      </c>
      <c r="D70" s="25"/>
      <c r="E70" s="25"/>
      <c r="F70" s="25"/>
      <c r="G70" s="65"/>
      <c r="H70" s="25"/>
      <c r="I70" s="25"/>
      <c r="J70" s="26"/>
      <c r="K70" s="24"/>
      <c r="L70" s="25"/>
      <c r="M70" s="28"/>
      <c r="N70" s="25"/>
      <c r="O70" s="29"/>
      <c r="P70" s="29"/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0"/>
        <v>0</v>
      </c>
      <c r="AF70" s="32">
        <f t="shared" si="1"/>
        <v>0</v>
      </c>
      <c r="AG70" s="30"/>
      <c r="AH70" s="33"/>
      <c r="AI70" s="34">
        <f t="shared" si="2"/>
        <v>0</v>
      </c>
      <c r="AJ70" s="35"/>
      <c r="AK70" s="30"/>
      <c r="AL70" s="36">
        <f t="shared" si="3"/>
        <v>0</v>
      </c>
      <c r="AM70" s="35"/>
      <c r="AN70" s="30"/>
      <c r="AO70" s="36">
        <f t="shared" si="4"/>
        <v>0</v>
      </c>
      <c r="AP70" s="35"/>
      <c r="AQ70" s="30"/>
      <c r="AR70" s="36">
        <f t="shared" si="5"/>
        <v>0</v>
      </c>
      <c r="AS70" s="27"/>
      <c r="AT70" s="37"/>
      <c r="AU70" s="30"/>
      <c r="AV70" s="36">
        <f t="shared" si="6"/>
        <v>0</v>
      </c>
      <c r="AW70" s="35"/>
      <c r="AX70" s="30"/>
      <c r="AY70" s="32">
        <f t="shared" si="7"/>
        <v>0</v>
      </c>
      <c r="AZ70" s="30"/>
      <c r="BA70" s="63"/>
      <c r="BB70" s="71"/>
      <c r="BC70" s="71"/>
      <c r="BD70" s="71"/>
    </row>
    <row r="71" spans="1:56" hidden="1" x14ac:dyDescent="0.25">
      <c r="A71" s="24" t="str">
        <f>IF(B71="","",SUBTOTAL(3,$B$4:B71))</f>
        <v/>
      </c>
      <c r="B71" s="25"/>
      <c r="C71" s="25" t="str">
        <f t="shared" si="47"/>
        <v xml:space="preserve"> </v>
      </c>
      <c r="D71" s="25"/>
      <c r="E71" s="25"/>
      <c r="F71" s="25"/>
      <c r="G71" s="65"/>
      <c r="H71" s="25"/>
      <c r="I71" s="25"/>
      <c r="J71" s="26"/>
      <c r="K71" s="24"/>
      <c r="L71" s="25"/>
      <c r="M71" s="28"/>
      <c r="N71" s="25"/>
      <c r="O71" s="29"/>
      <c r="P71" s="29"/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0"/>
        <v>0</v>
      </c>
      <c r="AF71" s="32">
        <f t="shared" si="1"/>
        <v>0</v>
      </c>
      <c r="AG71" s="30"/>
      <c r="AH71" s="33"/>
      <c r="AI71" s="34">
        <f t="shared" si="2"/>
        <v>0</v>
      </c>
      <c r="AJ71" s="35"/>
      <c r="AK71" s="30"/>
      <c r="AL71" s="36">
        <f t="shared" si="3"/>
        <v>0</v>
      </c>
      <c r="AM71" s="35"/>
      <c r="AN71" s="30"/>
      <c r="AO71" s="36">
        <f t="shared" si="4"/>
        <v>0</v>
      </c>
      <c r="AP71" s="35"/>
      <c r="AQ71" s="30"/>
      <c r="AR71" s="36">
        <f t="shared" si="5"/>
        <v>0</v>
      </c>
      <c r="AS71" s="27"/>
      <c r="AT71" s="37"/>
      <c r="AU71" s="30"/>
      <c r="AV71" s="36">
        <f t="shared" si="6"/>
        <v>0</v>
      </c>
      <c r="AW71" s="35"/>
      <c r="AX71" s="30"/>
      <c r="AY71" s="32">
        <f t="shared" si="7"/>
        <v>0</v>
      </c>
      <c r="AZ71" s="30"/>
      <c r="BA71" s="63"/>
      <c r="BB71" s="71"/>
      <c r="BC71" s="71"/>
      <c r="BD71" s="71"/>
    </row>
    <row r="72" spans="1:56" hidden="1" x14ac:dyDescent="0.25">
      <c r="A72" s="24" t="str">
        <f>IF(B72="","",SUBTOTAL(3,$B$4:B72))</f>
        <v/>
      </c>
      <c r="B72" s="25"/>
      <c r="C72" s="25" t="str">
        <f t="shared" si="47"/>
        <v xml:space="preserve"> </v>
      </c>
      <c r="D72" s="25"/>
      <c r="E72" s="25"/>
      <c r="F72" s="25"/>
      <c r="G72" s="65"/>
      <c r="H72" s="25"/>
      <c r="I72" s="25"/>
      <c r="J72" s="26"/>
      <c r="K72" s="24"/>
      <c r="L72" s="25"/>
      <c r="M72" s="28"/>
      <c r="N72" s="25"/>
      <c r="O72" s="29"/>
      <c r="P72" s="29"/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0"/>
        <v>0</v>
      </c>
      <c r="AF72" s="32">
        <f t="shared" si="1"/>
        <v>0</v>
      </c>
      <c r="AG72" s="30"/>
      <c r="AH72" s="33"/>
      <c r="AI72" s="34">
        <f t="shared" si="2"/>
        <v>0</v>
      </c>
      <c r="AJ72" s="35"/>
      <c r="AK72" s="30"/>
      <c r="AL72" s="36">
        <f t="shared" si="3"/>
        <v>0</v>
      </c>
      <c r="AM72" s="35"/>
      <c r="AN72" s="30"/>
      <c r="AO72" s="36">
        <f t="shared" si="4"/>
        <v>0</v>
      </c>
      <c r="AP72" s="35"/>
      <c r="AQ72" s="30"/>
      <c r="AR72" s="36">
        <f t="shared" si="5"/>
        <v>0</v>
      </c>
      <c r="AS72" s="27"/>
      <c r="AT72" s="37"/>
      <c r="AU72" s="30"/>
      <c r="AV72" s="36">
        <f t="shared" si="6"/>
        <v>0</v>
      </c>
      <c r="AW72" s="35"/>
      <c r="AX72" s="30"/>
      <c r="AY72" s="32">
        <f t="shared" si="7"/>
        <v>0</v>
      </c>
      <c r="AZ72" s="30"/>
      <c r="BA72" s="63"/>
      <c r="BB72" s="71"/>
      <c r="BC72" s="71"/>
      <c r="BD72" s="71"/>
    </row>
    <row r="73" spans="1:56" hidden="1" x14ac:dyDescent="0.25">
      <c r="A73" s="24" t="str">
        <f>IF(B73="","",SUBTOTAL(3,$B$4:B73))</f>
        <v/>
      </c>
      <c r="B73" s="25"/>
      <c r="C73" s="25" t="str">
        <f t="shared" si="47"/>
        <v xml:space="preserve"> </v>
      </c>
      <c r="D73" s="25"/>
      <c r="E73" s="25"/>
      <c r="F73" s="25"/>
      <c r="G73" s="65"/>
      <c r="H73" s="25"/>
      <c r="I73" s="25"/>
      <c r="J73" s="26"/>
      <c r="K73" s="24"/>
      <c r="L73" s="25"/>
      <c r="M73" s="28"/>
      <c r="N73" s="25"/>
      <c r="O73" s="29"/>
      <c r="P73" s="29"/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0"/>
        <v>0</v>
      </c>
      <c r="AF73" s="32">
        <f t="shared" si="1"/>
        <v>0</v>
      </c>
      <c r="AG73" s="30"/>
      <c r="AH73" s="33"/>
      <c r="AI73" s="34">
        <f t="shared" si="2"/>
        <v>0</v>
      </c>
      <c r="AJ73" s="35"/>
      <c r="AK73" s="30"/>
      <c r="AL73" s="36">
        <f t="shared" si="3"/>
        <v>0</v>
      </c>
      <c r="AM73" s="35"/>
      <c r="AN73" s="30"/>
      <c r="AO73" s="36">
        <f t="shared" si="4"/>
        <v>0</v>
      </c>
      <c r="AP73" s="35"/>
      <c r="AQ73" s="30"/>
      <c r="AR73" s="36">
        <f t="shared" si="5"/>
        <v>0</v>
      </c>
      <c r="AS73" s="27"/>
      <c r="AT73" s="37"/>
      <c r="AU73" s="30"/>
      <c r="AV73" s="36">
        <f t="shared" si="6"/>
        <v>0</v>
      </c>
      <c r="AW73" s="35"/>
      <c r="AX73" s="30"/>
      <c r="AY73" s="32">
        <f t="shared" si="7"/>
        <v>0</v>
      </c>
      <c r="AZ73" s="30"/>
      <c r="BA73" s="63"/>
      <c r="BB73" s="71"/>
      <c r="BC73" s="71"/>
      <c r="BD73" s="71"/>
    </row>
    <row r="74" spans="1:56" hidden="1" x14ac:dyDescent="0.25">
      <c r="A74" s="24" t="str">
        <f>IF(B74="","",SUBTOTAL(3,$B$4:B74))</f>
        <v/>
      </c>
      <c r="B74" s="25"/>
      <c r="C74" s="25" t="str">
        <f t="shared" si="47"/>
        <v xml:space="preserve"> </v>
      </c>
      <c r="D74" s="25"/>
      <c r="E74" s="25"/>
      <c r="F74" s="25"/>
      <c r="G74" s="65"/>
      <c r="H74" s="25"/>
      <c r="I74" s="25"/>
      <c r="J74" s="26"/>
      <c r="K74" s="24"/>
      <c r="L74" s="25"/>
      <c r="M74" s="28"/>
      <c r="N74" s="25"/>
      <c r="O74" s="29"/>
      <c r="P74" s="29"/>
      <c r="Q74" s="25"/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0"/>
        <v>0</v>
      </c>
      <c r="AF74" s="32">
        <f t="shared" si="1"/>
        <v>0</v>
      </c>
      <c r="AG74" s="30"/>
      <c r="AH74" s="33"/>
      <c r="AI74" s="34">
        <f t="shared" si="2"/>
        <v>0</v>
      </c>
      <c r="AJ74" s="35"/>
      <c r="AK74" s="30"/>
      <c r="AL74" s="36">
        <f t="shared" si="3"/>
        <v>0</v>
      </c>
      <c r="AM74" s="35"/>
      <c r="AN74" s="30"/>
      <c r="AO74" s="36">
        <f t="shared" si="4"/>
        <v>0</v>
      </c>
      <c r="AP74" s="35"/>
      <c r="AQ74" s="30"/>
      <c r="AR74" s="36">
        <f t="shared" si="5"/>
        <v>0</v>
      </c>
      <c r="AS74" s="27"/>
      <c r="AT74" s="37"/>
      <c r="AU74" s="30"/>
      <c r="AV74" s="36">
        <f t="shared" si="6"/>
        <v>0</v>
      </c>
      <c r="AW74" s="35"/>
      <c r="AX74" s="30"/>
      <c r="AY74" s="32">
        <f t="shared" si="7"/>
        <v>0</v>
      </c>
      <c r="AZ74" s="30"/>
      <c r="BA74" s="63"/>
      <c r="BB74" s="71"/>
      <c r="BC74" s="71"/>
      <c r="BD74" s="71"/>
    </row>
    <row r="75" spans="1:56" hidden="1" x14ac:dyDescent="0.25">
      <c r="A75" s="24" t="str">
        <f>IF(B75="","",SUBTOTAL(3,$B$4:B75))</f>
        <v/>
      </c>
      <c r="B75" s="25"/>
      <c r="C75" s="25" t="str">
        <f t="shared" si="47"/>
        <v xml:space="preserve"> </v>
      </c>
      <c r="D75" s="25"/>
      <c r="E75" s="25"/>
      <c r="F75" s="25"/>
      <c r="G75" s="65"/>
      <c r="H75" s="25"/>
      <c r="I75" s="25"/>
      <c r="J75" s="26"/>
      <c r="K75" s="24"/>
      <c r="L75" s="25"/>
      <c r="M75" s="28"/>
      <c r="N75" s="25"/>
      <c r="O75" s="29"/>
      <c r="P75" s="29"/>
      <c r="Q75" s="25"/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0"/>
        <v>0</v>
      </c>
      <c r="AF75" s="32">
        <f t="shared" si="1"/>
        <v>0</v>
      </c>
      <c r="AG75" s="30"/>
      <c r="AH75" s="33"/>
      <c r="AI75" s="34">
        <f t="shared" si="2"/>
        <v>0</v>
      </c>
      <c r="AJ75" s="35"/>
      <c r="AK75" s="30"/>
      <c r="AL75" s="36">
        <f t="shared" si="3"/>
        <v>0</v>
      </c>
      <c r="AM75" s="35"/>
      <c r="AN75" s="30"/>
      <c r="AO75" s="36">
        <f t="shared" si="4"/>
        <v>0</v>
      </c>
      <c r="AP75" s="35"/>
      <c r="AQ75" s="30"/>
      <c r="AR75" s="36">
        <f t="shared" si="5"/>
        <v>0</v>
      </c>
      <c r="AS75" s="27"/>
      <c r="AT75" s="37"/>
      <c r="AU75" s="30"/>
      <c r="AV75" s="36">
        <f t="shared" si="6"/>
        <v>0</v>
      </c>
      <c r="AW75" s="35"/>
      <c r="AX75" s="30"/>
      <c r="AY75" s="32">
        <f t="shared" si="7"/>
        <v>0</v>
      </c>
      <c r="AZ75" s="30"/>
      <c r="BA75" s="63"/>
      <c r="BB75" s="71"/>
      <c r="BC75" s="71"/>
      <c r="BD75" s="71"/>
    </row>
    <row r="76" spans="1:56" hidden="1" x14ac:dyDescent="0.25">
      <c r="A76" s="24" t="str">
        <f>IF(B76="","",SUBTOTAL(3,$B$4:B76))</f>
        <v/>
      </c>
      <c r="B76" s="25"/>
      <c r="C76" s="25" t="str">
        <f t="shared" si="47"/>
        <v xml:space="preserve"> </v>
      </c>
      <c r="D76" s="25"/>
      <c r="E76" s="25"/>
      <c r="F76" s="25"/>
      <c r="G76" s="65"/>
      <c r="H76" s="25"/>
      <c r="I76" s="25"/>
      <c r="J76" s="26"/>
      <c r="K76" s="24"/>
      <c r="L76" s="25"/>
      <c r="M76" s="28"/>
      <c r="N76" s="25"/>
      <c r="O76" s="29"/>
      <c r="P76" s="29"/>
      <c r="Q76" s="25"/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0"/>
        <v>0</v>
      </c>
      <c r="AF76" s="32">
        <f t="shared" si="1"/>
        <v>0</v>
      </c>
      <c r="AG76" s="30"/>
      <c r="AH76" s="33"/>
      <c r="AI76" s="34">
        <f t="shared" si="2"/>
        <v>0</v>
      </c>
      <c r="AJ76" s="35"/>
      <c r="AK76" s="30"/>
      <c r="AL76" s="36">
        <f t="shared" si="3"/>
        <v>0</v>
      </c>
      <c r="AM76" s="35"/>
      <c r="AN76" s="30"/>
      <c r="AO76" s="36">
        <f t="shared" si="4"/>
        <v>0</v>
      </c>
      <c r="AP76" s="35"/>
      <c r="AQ76" s="30"/>
      <c r="AR76" s="36">
        <f t="shared" si="5"/>
        <v>0</v>
      </c>
      <c r="AS76" s="27"/>
      <c r="AT76" s="37"/>
      <c r="AU76" s="30"/>
      <c r="AV76" s="36">
        <f t="shared" si="6"/>
        <v>0</v>
      </c>
      <c r="AW76" s="35"/>
      <c r="AX76" s="30"/>
      <c r="AY76" s="32">
        <f t="shared" si="7"/>
        <v>0</v>
      </c>
      <c r="AZ76" s="30"/>
      <c r="BA76" s="63"/>
      <c r="BB76" s="71"/>
      <c r="BC76" s="71"/>
      <c r="BD76" s="71"/>
    </row>
    <row r="77" spans="1:56" ht="16.5" hidden="1" thickBot="1" x14ac:dyDescent="0.3">
      <c r="A77" s="38" t="str">
        <f>IF(B77="","",SUBTOTAL(3,$B$4:B77))</f>
        <v/>
      </c>
      <c r="B77" s="39"/>
      <c r="C77" s="39" t="str">
        <f t="shared" si="47"/>
        <v xml:space="preserve"> </v>
      </c>
      <c r="D77" s="39"/>
      <c r="E77" s="39"/>
      <c r="F77" s="39"/>
      <c r="G77" s="66"/>
      <c r="H77" s="39"/>
      <c r="I77" s="39"/>
      <c r="J77" s="40"/>
      <c r="K77" s="38"/>
      <c r="L77" s="39"/>
      <c r="M77" s="42"/>
      <c r="N77" s="39"/>
      <c r="O77" s="43"/>
      <c r="P77" s="43"/>
      <c r="Q77" s="39"/>
      <c r="R77" s="39"/>
      <c r="S77" s="40"/>
      <c r="T77" s="38"/>
      <c r="U77" s="41"/>
      <c r="V77" s="41"/>
      <c r="W77" s="41"/>
      <c r="X77" s="66"/>
      <c r="Y77" s="46"/>
      <c r="Z77" s="41"/>
      <c r="AA77" s="46"/>
      <c r="AB77" s="41"/>
      <c r="AC77" s="41"/>
      <c r="AD77" s="69"/>
      <c r="AE77" s="55">
        <f t="shared" si="0"/>
        <v>0</v>
      </c>
      <c r="AF77" s="47">
        <f t="shared" si="1"/>
        <v>0</v>
      </c>
      <c r="AG77" s="41"/>
      <c r="AH77" s="56"/>
      <c r="AI77" s="57">
        <f t="shared" si="2"/>
        <v>0</v>
      </c>
      <c r="AJ77" s="44"/>
      <c r="AK77" s="41"/>
      <c r="AL77" s="45">
        <f t="shared" si="3"/>
        <v>0</v>
      </c>
      <c r="AM77" s="44"/>
      <c r="AN77" s="41"/>
      <c r="AO77" s="45">
        <f t="shared" si="4"/>
        <v>0</v>
      </c>
      <c r="AP77" s="44"/>
      <c r="AQ77" s="41"/>
      <c r="AR77" s="45">
        <f t="shared" si="5"/>
        <v>0</v>
      </c>
      <c r="AS77" s="62"/>
      <c r="AT77" s="46"/>
      <c r="AU77" s="41"/>
      <c r="AV77" s="45">
        <f t="shared" si="6"/>
        <v>0</v>
      </c>
      <c r="AW77" s="44"/>
      <c r="AX77" s="41"/>
      <c r="AY77" s="47">
        <f t="shared" si="7"/>
        <v>0</v>
      </c>
      <c r="AZ77" s="41"/>
      <c r="BA77" s="64"/>
      <c r="BB77" s="71"/>
      <c r="BC77" s="71"/>
      <c r="BD77" s="71"/>
    </row>
  </sheetData>
  <autoFilter ref="A3:BD77" xr:uid="{334E9545-4D7F-4FF2-AE79-B0165FA68616}">
    <filterColumn colId="1">
      <customFilters>
        <customFilter operator="notEqual" val=" "/>
      </customFilters>
    </filterColumn>
  </autoFilter>
  <conditionalFormatting sqref="AJ4:AL77 A4:AG77">
    <cfRule type="expression" dxfId="5" priority="2">
      <formula>$AK4=$N4</formula>
    </cfRule>
  </conditionalFormatting>
  <conditionalFormatting sqref="AH4:AI77">
    <cfRule type="expression" dxfId="4" priority="1">
      <formula>$AH4=1</formula>
    </cfRule>
  </conditionalFormatting>
  <conditionalFormatting sqref="AM4:AO77">
    <cfRule type="expression" dxfId="3" priority="3">
      <formula>$AN4=$N4</formula>
    </cfRule>
  </conditionalFormatting>
  <conditionalFormatting sqref="AP4:AR77">
    <cfRule type="expression" dxfId="2" priority="4">
      <formula>$AQ4=$N4</formula>
    </cfRule>
  </conditionalFormatting>
  <conditionalFormatting sqref="AS4:AV77">
    <cfRule type="expression" dxfId="1" priority="5">
      <formula>$AU4=$N4</formula>
    </cfRule>
  </conditionalFormatting>
  <conditionalFormatting sqref="AW4:BA77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2026-07-16T01:53:24Z</dcterms:modified>
</cp:coreProperties>
</file>