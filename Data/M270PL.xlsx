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MECC JSC\Amecc 2\00. Overall Report\04.Assembly Part List\"/>
    </mc:Choice>
  </mc:AlternateContent>
  <xr:revisionPtr revIDLastSave="0" documentId="13_ncr:1_{F8D95B36-E456-4803-8642-1EC5D582E863}" xr6:coauthVersionLast="47" xr6:coauthVersionMax="47" xr10:uidLastSave="{00000000-0000-0000-0000-000000000000}"/>
  <bookViews>
    <workbookView xWindow="28680" yWindow="-120" windowWidth="29040" windowHeight="15720" activeTab="1" xr2:uid="{250F26A3-A02D-491F-B38E-68E658854094}"/>
  </bookViews>
  <sheets>
    <sheet name="SM1L1Tai cẩu" sheetId="2" r:id="rId1"/>
    <sheet name="SM2L2TC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2" i="3" l="1"/>
  <c r="Q12" i="3"/>
  <c r="P11" i="3"/>
  <c r="Q11" i="3" s="1"/>
  <c r="O18" i="1"/>
  <c r="P18" i="1" s="1"/>
  <c r="O19" i="1"/>
  <c r="P19" i="1" s="1"/>
  <c r="O17" i="1"/>
  <c r="P17" i="1" s="1"/>
  <c r="O12" i="1"/>
  <c r="P12" i="1" s="1"/>
  <c r="O13" i="1"/>
  <c r="P13" i="1" s="1"/>
  <c r="O14" i="1"/>
  <c r="P14" i="1" s="1"/>
  <c r="O15" i="1"/>
  <c r="P15" i="1"/>
  <c r="O11" i="1"/>
  <c r="P11" i="1" s="1"/>
  <c r="BH19" i="1"/>
  <c r="BH18" i="1"/>
  <c r="BH17" i="1"/>
  <c r="BH15" i="1"/>
  <c r="BH14" i="1"/>
  <c r="BH13" i="1"/>
  <c r="BH12" i="1"/>
  <c r="BH11" i="1"/>
</calcChain>
</file>

<file path=xl/sharedStrings.xml><?xml version="1.0" encoding="utf-8"?>
<sst xmlns="http://schemas.openxmlformats.org/spreadsheetml/2006/main" count="455" uniqueCount="157">
  <si>
    <t>ASSEMBLY PART LIST</t>
  </si>
  <si>
    <t>Project name / Tên Dự án      : HAIL AND GHASHA DEVELOPMENT</t>
  </si>
  <si>
    <t>Item Name  / Tên Hạng mục   : Spreader beam</t>
  </si>
  <si>
    <t>Contract No. / Số Hợp đồng   : M270</t>
  </si>
  <si>
    <t>Prepared By  / Chuẩn bị         : Trung Tâm Tư Vấn Thiết Kế</t>
  </si>
  <si>
    <t>Document No. / Số Tài liệu     : M270-01-APL-005</t>
  </si>
  <si>
    <t>Rev./ Số Sửa đổi: 0</t>
  </si>
  <si>
    <t>Date: 11/06/2026</t>
  </si>
  <si>
    <t>Content Rev.</t>
  </si>
  <si>
    <t>Type Fabrication</t>
  </si>
  <si>
    <t>F</t>
  </si>
  <si>
    <t>X</t>
  </si>
  <si>
    <t>Y</t>
  </si>
  <si>
    <t>Z</t>
  </si>
  <si>
    <t>BH</t>
  </si>
  <si>
    <t>Document Cutting</t>
  </si>
  <si>
    <t>DCC</t>
  </si>
  <si>
    <t>No.</t>
  </si>
  <si>
    <t>Drawing Number</t>
  </si>
  <si>
    <t>Assembly No.</t>
  </si>
  <si>
    <t>Description</t>
  </si>
  <si>
    <t>Part No.</t>
  </si>
  <si>
    <t>Size</t>
  </si>
  <si>
    <t>Length</t>
  </si>
  <si>
    <t>Material</t>
  </si>
  <si>
    <t>Q'ty</t>
  </si>
  <si>
    <t>Set</t>
  </si>
  <si>
    <t>T.Q'ty</t>
  </si>
  <si>
    <t>U.Weight</t>
  </si>
  <si>
    <t>T.Weight</t>
  </si>
  <si>
    <t>Loose Part</t>
  </si>
  <si>
    <t>Scope of Work</t>
  </si>
  <si>
    <t>Unit Area (m2)</t>
  </si>
  <si>
    <t>Total Area (m2)</t>
  </si>
  <si>
    <t>Primer Coat</t>
  </si>
  <si>
    <t>Intermediate 
Coat</t>
  </si>
  <si>
    <t>Final Coat</t>
  </si>
  <si>
    <t>Paint Area</t>
  </si>
  <si>
    <t>Paint loss percentage
(% hao phí)</t>
  </si>
  <si>
    <t>Scope of Painting Work</t>
  </si>
  <si>
    <t>Remark</t>
  </si>
  <si>
    <t>AS Symbol</t>
  </si>
  <si>
    <t>Delivery item</t>
  </si>
  <si>
    <t>Rev.1</t>
  </si>
  <si>
    <t>Date</t>
  </si>
  <si>
    <t>Rev.2</t>
  </si>
  <si>
    <t>Rev.3</t>
  </si>
  <si>
    <t>Rev.4</t>
  </si>
  <si>
    <t>Rev.5</t>
  </si>
  <si>
    <t>Rev.6</t>
  </si>
  <si>
    <t xml:space="preserve">Khoan Lỗ </t>
  </si>
  <si>
    <t>Lốc tròn
(Uốn cong)</t>
  </si>
  <si>
    <t>Sấn</t>
  </si>
  <si>
    <t xml:space="preserve">Vát mép
&amp; Cắt miệng </t>
  </si>
  <si>
    <t>Gia công cơ khí
(Machine)</t>
  </si>
  <si>
    <t>Tổ hợp</t>
  </si>
  <si>
    <t>Fabrication 
or Purchasing</t>
  </si>
  <si>
    <t>MPR No.</t>
  </si>
  <si>
    <t>Q'Ty in MPR
Bolt &amp; Fitting</t>
  </si>
  <si>
    <t>Cutting No.</t>
  </si>
  <si>
    <t>Q'TY</t>
  </si>
  <si>
    <t>Date Issue</t>
  </si>
  <si>
    <t>Remain
(T'Qty-Q'Ty)</t>
  </si>
  <si>
    <t>1</t>
  </si>
  <si>
    <t>2</t>
  </si>
  <si>
    <t>3</t>
  </si>
  <si>
    <t>4</t>
  </si>
  <si>
    <t>5A
(Marking as Dwg.)</t>
  </si>
  <si>
    <t>5B
(Marking as Cutting)</t>
  </si>
  <si>
    <t>6</t>
  </si>
  <si>
    <t>7</t>
  </si>
  <si>
    <t>8</t>
  </si>
  <si>
    <t>9</t>
  </si>
  <si>
    <t>10</t>
  </si>
  <si>
    <t>11</t>
  </si>
  <si>
    <t>12</t>
  </si>
  <si>
    <t>13</t>
  </si>
  <si>
    <t>14A</t>
  </si>
  <si>
    <t>14B</t>
  </si>
  <si>
    <t>14C</t>
  </si>
  <si>
    <t>14D</t>
  </si>
  <si>
    <t>xxx</t>
  </si>
  <si>
    <t>16</t>
  </si>
  <si>
    <t>M270-AS-310-SB-001</t>
  </si>
  <si>
    <t>310-SB-001</t>
  </si>
  <si>
    <t>SPREADER BEAM</t>
  </si>
  <si>
    <t>(4640x219x878)</t>
  </si>
  <si>
    <t>AMECC 2</t>
  </si>
  <si>
    <t>PAC</t>
  </si>
  <si>
    <t>x</t>
  </si>
  <si>
    <t>o</t>
  </si>
  <si>
    <t>PIPE 8"SCH80</t>
  </si>
  <si>
    <t>DY-1</t>
  </si>
  <si>
    <t>310-SB-001-DY-1</t>
  </si>
  <si>
    <t>CHS219*12.7</t>
  </si>
  <si>
    <t>S275J0</t>
  </si>
  <si>
    <t>Fabrication</t>
  </si>
  <si>
    <t>M271-05-CP503-1
M271-800-CP579-1</t>
  </si>
  <si>
    <t>M270-09-CP501</t>
  </si>
  <si>
    <t>PLATE</t>
  </si>
  <si>
    <t>P-66</t>
  </si>
  <si>
    <t>310-SB-001-P-66</t>
  </si>
  <si>
    <t>PL10*200</t>
  </si>
  <si>
    <t>S355/A572Gr50</t>
  </si>
  <si>
    <t>B272-08-CP010-1</t>
  </si>
  <si>
    <t>M270-09-CP001</t>
  </si>
  <si>
    <t>P-146</t>
  </si>
  <si>
    <t>310-SB-001-P-146</t>
  </si>
  <si>
    <t>P-148</t>
  </si>
  <si>
    <t>310-SB-001-P-148</t>
  </si>
  <si>
    <t>PL35*461.4</t>
  </si>
  <si>
    <t>M291-21-CP008-4</t>
  </si>
  <si>
    <t>M270-09-CP002</t>
  </si>
  <si>
    <t>P-151</t>
  </si>
  <si>
    <t>310-SB-001-P-151</t>
  </si>
  <si>
    <t>PL35*599.5</t>
  </si>
  <si>
    <t>M270-AS-310-SB-002</t>
  </si>
  <si>
    <t>310-SB-002</t>
  </si>
  <si>
    <t>(3646x219x856)</t>
  </si>
  <si>
    <t>DY-3</t>
  </si>
  <si>
    <t>310-SB-002-DY-3</t>
  </si>
  <si>
    <t>310-SB-002-P-146</t>
  </si>
  <si>
    <t>310-SB-002-P-148</t>
  </si>
  <si>
    <t>Đã nhận</t>
  </si>
  <si>
    <t>Còn thiếu</t>
  </si>
  <si>
    <t>Item Name  / Tên Hạng mục   :  KH2427/ Shipment -1 - Lot 1</t>
  </si>
  <si>
    <t>Document No. / Số Tài liệu     : M270-01-APL-002</t>
  </si>
  <si>
    <t>Rev./ Số Sửa đổi: 8</t>
  </si>
  <si>
    <t>Date:</t>
  </si>
  <si>
    <t>Rev.8</t>
  </si>
  <si>
    <t>M270-AS-260-CD-001</t>
  </si>
  <si>
    <t>260-CD-001</t>
  </si>
  <si>
    <t>COLD FLUE GAS FROM FAN TO STACK</t>
  </si>
  <si>
    <t>(2510x4192x3260)</t>
  </si>
  <si>
    <t>MODIFY, tăng khối lượng</t>
  </si>
  <si>
    <t>LIFTING LUGS</t>
  </si>
  <si>
    <t>PY-8000</t>
  </si>
  <si>
    <t>260-CD-001-PY-8000</t>
  </si>
  <si>
    <t>PL20*200</t>
  </si>
  <si>
    <t>ADDED, cắt mới bổ sung</t>
  </si>
  <si>
    <t>Item Name  / Tên Hạng mục   :  KH2427/ Shipment -2/ Lot-2</t>
  </si>
  <si>
    <t xml:space="preserve"> </t>
  </si>
  <si>
    <t>Document No. / Số Tài liệu     : M270-01-APL-004</t>
  </si>
  <si>
    <t>Rev./ Số Sửa đổi: 9</t>
  </si>
  <si>
    <t>Date: 02-07-2026</t>
  </si>
  <si>
    <t>Rev.9</t>
  </si>
  <si>
    <t>M270-AS-180-CD-001</t>
  </si>
  <si>
    <t>180-CD-001</t>
  </si>
  <si>
    <t>COLD FLUE GAS DUCT FROM BR-101 T***</t>
  </si>
  <si>
    <t>(2872x3660x4310)</t>
  </si>
  <si>
    <t>AMEEC2</t>
  </si>
  <si>
    <t>PAD LUG</t>
  </si>
  <si>
    <t>P-8000</t>
  </si>
  <si>
    <t>180-CD-001-P-8000</t>
  </si>
  <si>
    <t>PY-8001</t>
  </si>
  <si>
    <t>180-CD-001-PY-8001</t>
  </si>
  <si>
    <t>PL20*197.5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</si>
</sst>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010000]d/m/yyyy;@"/>
  </numFmts>
  <fonts count="31">
    <font>
      <sz val="12"/>
      <color theme="1"/>
      <name val="Times New Roman"/>
      <family val="2"/>
      <charset val="163"/>
    </font>
    <font>
      <b/>
      <sz val="18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3"/>
      <name val=".VnTime"/>
      <family val="2"/>
    </font>
    <font>
      <b/>
      <sz val="9"/>
      <name val="Arial"/>
      <family val="2"/>
    </font>
    <font>
      <i/>
      <sz val="9"/>
      <color rgb="FFFF000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i/>
      <sz val="12"/>
      <color rgb="FFFF0000"/>
      <name val="Arial"/>
      <family val="2"/>
    </font>
    <font>
      <b/>
      <i/>
      <sz val="12"/>
      <color rgb="FFFF0000"/>
      <name val="Arial"/>
      <family val="2"/>
      <charset val="163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b/>
      <sz val="18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name val="Times New Roman"/>
      <family val="1"/>
    </font>
    <font>
      <i/>
      <sz val="12"/>
      <color rgb="FFFF0000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i/>
      <sz val="12"/>
      <color rgb="FFFF0000"/>
      <name val="Times New Roman"/>
      <family val="1"/>
    </font>
    <font>
      <b/>
      <sz val="9"/>
      <color theme="0"/>
      <name val="Times New Roman"/>
      <family val="1"/>
    </font>
    <font>
      <b/>
      <sz val="12"/>
      <color theme="0"/>
      <name val="Times New Roman"/>
      <family val="1"/>
    </font>
    <font>
      <sz val="9"/>
      <color theme="0"/>
      <name val="Times New Roman"/>
      <family val="1"/>
    </font>
    <font>
      <b/>
      <sz val="12"/>
      <color rgb="FF000000"/>
      <name val="Times New Roman"/>
      <family val="2"/>
    </font>
    <font>
      <sz val="12"/>
      <color rgb="FF000000"/>
      <name val="Times New Roman"/>
      <family val="2"/>
    </font>
    <font>
      <i/>
      <sz val="9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7FE2E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02">
    <xf numFmtId="0" fontId="0" fillId="0" borderId="0" xfId="0"/>
    <xf numFmtId="0" fontId="1" fillId="0" borderId="1" xfId="0" applyFont="1" applyBorder="1" applyAlignment="1" applyProtection="1">
      <alignment horizontal="centerContinuous" vertical="center"/>
      <protection locked="0"/>
    </xf>
    <xf numFmtId="0" fontId="2" fillId="0" borderId="2" xfId="0" applyFont="1" applyBorder="1" applyAlignment="1" applyProtection="1">
      <alignment horizontal="centerContinuous" vertical="center"/>
      <protection locked="0"/>
    </xf>
    <xf numFmtId="0" fontId="3" fillId="0" borderId="2" xfId="0" applyFont="1" applyBorder="1" applyAlignment="1" applyProtection="1">
      <alignment horizontal="centerContinuous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5" fillId="0" borderId="3" xfId="1" applyFont="1" applyBorder="1" applyAlignment="1" applyProtection="1">
      <alignment horizontal="left" vertical="center" indent="1"/>
      <protection locked="0"/>
    </xf>
    <xf numFmtId="0" fontId="5" fillId="0" borderId="0" xfId="1" applyFont="1" applyAlignment="1" applyProtection="1">
      <alignment horizontal="left" vertical="center" indent="2"/>
      <protection locked="0"/>
    </xf>
    <xf numFmtId="0" fontId="5" fillId="0" borderId="0" xfId="1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0" xfId="1" applyFont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4" fontId="8" fillId="0" borderId="0" xfId="0" applyNumberFormat="1" applyFont="1" applyAlignment="1" applyProtection="1">
      <alignment horizontal="center" vertical="center"/>
      <protection locked="0"/>
    </xf>
    <xf numFmtId="164" fontId="8" fillId="0" borderId="0" xfId="0" applyNumberFormat="1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164" fontId="7" fillId="0" borderId="0" xfId="0" applyNumberFormat="1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10" fillId="0" borderId="0" xfId="1" applyFont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 wrapText="1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vertical="center"/>
      <protection locked="0"/>
    </xf>
    <xf numFmtId="0" fontId="8" fillId="3" borderId="7" xfId="0" applyFont="1" applyFill="1" applyBorder="1" applyAlignment="1" applyProtection="1">
      <alignment horizontal="center" vertical="center" wrapText="1"/>
      <protection locked="0"/>
    </xf>
    <xf numFmtId="164" fontId="11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11" fillId="2" borderId="7" xfId="0" applyFont="1" applyFill="1" applyBorder="1" applyAlignment="1" applyProtection="1">
      <alignment horizontal="centerContinuous" vertical="center" wrapText="1"/>
      <protection locked="0"/>
    </xf>
    <xf numFmtId="0" fontId="12" fillId="2" borderId="4" xfId="0" applyFont="1" applyFill="1" applyBorder="1" applyAlignment="1" applyProtection="1">
      <alignment horizontal="center" vertical="center" wrapText="1"/>
      <protection locked="0"/>
    </xf>
    <xf numFmtId="164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8" xfId="0" applyFont="1" applyFill="1" applyBorder="1" applyAlignment="1" applyProtection="1">
      <alignment horizontal="center" vertical="center"/>
      <protection locked="0"/>
    </xf>
    <xf numFmtId="0" fontId="11" fillId="2" borderId="8" xfId="0" applyFont="1" applyFill="1" applyBorder="1" applyAlignment="1" applyProtection="1">
      <alignment horizontal="center" vertical="center" wrapText="1"/>
      <protection locked="0"/>
    </xf>
    <xf numFmtId="0" fontId="13" fillId="4" borderId="9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left" vertical="center" wrapText="1"/>
    </xf>
    <xf numFmtId="0" fontId="13" fillId="4" borderId="9" xfId="0" applyFont="1" applyFill="1" applyBorder="1" applyAlignment="1">
      <alignment horizontal="left" vertical="center" wrapText="1"/>
    </xf>
    <xf numFmtId="0" fontId="13" fillId="4" borderId="9" xfId="0" applyFont="1" applyFill="1" applyBorder="1" applyAlignment="1">
      <alignment horizontal="right" vertical="center" wrapText="1"/>
    </xf>
    <xf numFmtId="0" fontId="13" fillId="4" borderId="10" xfId="0" applyFont="1" applyFill="1" applyBorder="1" applyAlignment="1">
      <alignment horizontal="right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right" vertical="center" wrapText="1"/>
    </xf>
    <xf numFmtId="0" fontId="14" fillId="0" borderId="10" xfId="0" applyFont="1" applyBorder="1" applyAlignment="1">
      <alignment horizontal="center" vertical="center" wrapText="1"/>
    </xf>
    <xf numFmtId="16" fontId="14" fillId="0" borderId="9" xfId="0" applyNumberFormat="1" applyFont="1" applyBorder="1" applyAlignment="1">
      <alignment horizontal="center" vertical="center" wrapText="1"/>
    </xf>
    <xf numFmtId="165" fontId="14" fillId="0" borderId="9" xfId="0" applyNumberFormat="1" applyFont="1" applyBorder="1" applyAlignment="1">
      <alignment horizontal="center" vertical="center" wrapText="1"/>
    </xf>
    <xf numFmtId="0" fontId="15" fillId="0" borderId="10" xfId="0" applyFont="1" applyBorder="1" applyAlignment="1" applyProtection="1">
      <alignment horizontal="left" vertical="center"/>
      <protection locked="0"/>
    </xf>
    <xf numFmtId="0" fontId="14" fillId="4" borderId="9" xfId="0" applyFont="1" applyFill="1" applyBorder="1" applyAlignment="1">
      <alignment horizontal="right" vertical="center" wrapText="1"/>
    </xf>
    <xf numFmtId="0" fontId="14" fillId="4" borderId="9" xfId="0" applyFont="1" applyFill="1" applyBorder="1" applyAlignment="1">
      <alignment horizontal="center" vertical="center" wrapText="1"/>
    </xf>
    <xf numFmtId="0" fontId="15" fillId="4" borderId="10" xfId="0" applyFont="1" applyFill="1" applyBorder="1" applyAlignment="1" applyProtection="1">
      <alignment horizontal="left" vertical="center"/>
      <protection locked="0"/>
    </xf>
    <xf numFmtId="0" fontId="14" fillId="4" borderId="9" xfId="0" applyFont="1" applyFill="1" applyBorder="1" applyAlignment="1">
      <alignment horizontal="left" vertical="center" wrapText="1"/>
    </xf>
    <xf numFmtId="16" fontId="14" fillId="4" borderId="9" xfId="0" applyNumberFormat="1" applyFont="1" applyFill="1" applyBorder="1" applyAlignment="1">
      <alignment horizontal="center" vertical="center" wrapText="1"/>
    </xf>
    <xf numFmtId="165" fontId="14" fillId="4" borderId="9" xfId="0" applyNumberFormat="1" applyFont="1" applyFill="1" applyBorder="1" applyAlignment="1">
      <alignment horizontal="center" vertical="center" wrapText="1"/>
    </xf>
    <xf numFmtId="16" fontId="11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11" fillId="2" borderId="4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 wrapText="1"/>
      <protection locked="0"/>
    </xf>
    <xf numFmtId="0" fontId="8" fillId="3" borderId="4" xfId="0" applyFont="1" applyFill="1" applyBorder="1" applyAlignment="1" applyProtection="1">
      <alignment horizontal="center" vertical="center" wrapText="1"/>
      <protection locked="0"/>
    </xf>
    <xf numFmtId="0" fontId="8" fillId="3" borderId="5" xfId="0" applyFont="1" applyFill="1" applyBorder="1" applyAlignment="1" applyProtection="1">
      <alignment horizontal="center" vertical="center" wrapText="1"/>
      <protection locked="0"/>
    </xf>
    <xf numFmtId="0" fontId="8" fillId="3" borderId="6" xfId="0" applyFont="1" applyFill="1" applyBorder="1" applyAlignment="1" applyProtection="1">
      <alignment horizontal="center" vertical="center" wrapText="1"/>
      <protection locked="0"/>
    </xf>
    <xf numFmtId="0" fontId="11" fillId="2" borderId="4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 applyProtection="1">
      <alignment horizontal="centerContinuous" vertical="center"/>
      <protection locked="0"/>
    </xf>
    <xf numFmtId="0" fontId="17" fillId="0" borderId="2" xfId="0" applyFont="1" applyBorder="1" applyAlignment="1" applyProtection="1">
      <alignment horizontal="centerContinuous" vertical="center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0" fontId="19" fillId="0" borderId="2" xfId="0" applyFont="1" applyBorder="1" applyAlignment="1" applyProtection="1">
      <alignment horizontal="centerContinuous" vertical="center"/>
      <protection locked="0"/>
    </xf>
    <xf numFmtId="0" fontId="17" fillId="0" borderId="2" xfId="0" applyFont="1" applyBorder="1" applyAlignment="1" applyProtection="1">
      <alignment horizontal="center" vertical="center"/>
      <protection locked="0"/>
    </xf>
    <xf numFmtId="0" fontId="20" fillId="0" borderId="3" xfId="1" applyFont="1" applyBorder="1" applyAlignment="1" applyProtection="1">
      <alignment horizontal="left" vertical="center" indent="1"/>
      <protection locked="0"/>
    </xf>
    <xf numFmtId="0" fontId="20" fillId="0" borderId="0" xfId="1" applyFont="1" applyAlignment="1" applyProtection="1">
      <alignment horizontal="left" vertical="center" indent="2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164" fontId="23" fillId="0" borderId="0" xfId="0" applyNumberFormat="1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vertical="center"/>
      <protection locked="0"/>
    </xf>
    <xf numFmtId="165" fontId="24" fillId="0" borderId="0" xfId="1" applyNumberFormat="1" applyFont="1" applyAlignment="1" applyProtection="1">
      <alignment horizontal="right" vertical="center"/>
      <protection locked="0"/>
    </xf>
    <xf numFmtId="165" fontId="24" fillId="0" borderId="0" xfId="1" applyNumberFormat="1" applyFont="1" applyAlignment="1" applyProtection="1">
      <alignment horizontal="left" vertical="center"/>
      <protection locked="0"/>
    </xf>
    <xf numFmtId="0" fontId="25" fillId="2" borderId="6" xfId="0" applyFont="1" applyFill="1" applyBorder="1" applyAlignment="1" applyProtection="1">
      <alignment horizontal="center" vertical="center"/>
      <protection locked="0"/>
    </xf>
    <xf numFmtId="0" fontId="25" fillId="2" borderId="7" xfId="0" applyFont="1" applyFill="1" applyBorder="1" applyAlignment="1" applyProtection="1">
      <alignment horizontal="center" vertical="center" wrapText="1"/>
      <protection locked="0"/>
    </xf>
    <xf numFmtId="0" fontId="26" fillId="2" borderId="7" xfId="0" applyFont="1" applyFill="1" applyBorder="1" applyAlignment="1" applyProtection="1">
      <alignment horizontal="center" vertical="center" wrapText="1"/>
      <protection locked="0"/>
    </xf>
    <xf numFmtId="0" fontId="25" fillId="2" borderId="7" xfId="0" applyFont="1" applyFill="1" applyBorder="1" applyAlignment="1" applyProtection="1">
      <alignment horizontal="center" vertical="center"/>
      <protection locked="0"/>
    </xf>
    <xf numFmtId="0" fontId="25" fillId="2" borderId="7" xfId="0" applyFont="1" applyFill="1" applyBorder="1" applyAlignment="1" applyProtection="1">
      <alignment horizontal="centerContinuous" vertical="center" wrapText="1"/>
      <protection locked="0"/>
    </xf>
    <xf numFmtId="0" fontId="27" fillId="2" borderId="4" xfId="0" applyFont="1" applyFill="1" applyBorder="1" applyAlignment="1" applyProtection="1">
      <alignment horizontal="center" vertical="center" wrapText="1"/>
      <protection locked="0"/>
    </xf>
    <xf numFmtId="0" fontId="25" fillId="2" borderId="8" xfId="0" applyFont="1" applyFill="1" applyBorder="1" applyAlignment="1" applyProtection="1">
      <alignment horizontal="center" vertical="center"/>
      <protection locked="0"/>
    </xf>
    <xf numFmtId="0" fontId="25" fillId="2" borderId="8" xfId="0" applyFont="1" applyFill="1" applyBorder="1" applyAlignment="1" applyProtection="1">
      <alignment horizontal="center" vertical="center" wrapText="1"/>
      <protection locked="0"/>
    </xf>
    <xf numFmtId="0" fontId="26" fillId="2" borderId="8" xfId="0" applyFont="1" applyFill="1" applyBorder="1" applyAlignment="1" applyProtection="1">
      <alignment horizontal="center" vertical="center" wrapText="1"/>
      <protection locked="0"/>
    </xf>
    <xf numFmtId="0" fontId="28" fillId="5" borderId="9" xfId="0" applyFont="1" applyFill="1" applyBorder="1" applyAlignment="1">
      <alignment horizontal="center" vertical="center" wrapText="1"/>
    </xf>
    <xf numFmtId="0" fontId="28" fillId="5" borderId="9" xfId="0" applyFont="1" applyFill="1" applyBorder="1" applyAlignment="1">
      <alignment horizontal="left" vertical="center" wrapText="1"/>
    </xf>
    <xf numFmtId="0" fontId="28" fillId="6" borderId="9" xfId="0" applyFont="1" applyFill="1" applyBorder="1" applyAlignment="1">
      <alignment horizontal="right" vertical="center" wrapText="1"/>
    </xf>
    <xf numFmtId="0" fontId="28" fillId="5" borderId="9" xfId="0" applyFont="1" applyFill="1" applyBorder="1" applyAlignment="1">
      <alignment horizontal="right" vertical="center" wrapText="1"/>
    </xf>
    <xf numFmtId="0" fontId="28" fillId="6" borderId="9" xfId="0" applyFont="1" applyFill="1" applyBorder="1" applyAlignment="1">
      <alignment horizontal="center" vertical="center" wrapText="1"/>
    </xf>
    <xf numFmtId="0" fontId="29" fillId="6" borderId="9" xfId="0" applyFont="1" applyFill="1" applyBorder="1" applyAlignment="1">
      <alignment horizontal="center" vertical="center" wrapText="1"/>
    </xf>
    <xf numFmtId="0" fontId="29" fillId="6" borderId="9" xfId="0" applyFont="1" applyFill="1" applyBorder="1" applyAlignment="1">
      <alignment horizontal="left" vertical="center" wrapText="1"/>
    </xf>
    <xf numFmtId="0" fontId="29" fillId="6" borderId="9" xfId="0" applyFont="1" applyFill="1" applyBorder="1" applyAlignment="1">
      <alignment horizontal="right" vertical="center" wrapText="1"/>
    </xf>
    <xf numFmtId="0" fontId="30" fillId="0" borderId="0" xfId="0" applyFont="1" applyAlignment="1" applyProtection="1">
      <alignment vertical="center"/>
      <protection locked="0"/>
    </xf>
    <xf numFmtId="0" fontId="24" fillId="0" borderId="0" xfId="1" applyFont="1" applyAlignment="1" applyProtection="1">
      <alignment horizontal="center" vertical="center"/>
      <protection locked="0"/>
    </xf>
    <xf numFmtId="164" fontId="25" fillId="2" borderId="7" xfId="0" applyNumberFormat="1" applyFont="1" applyFill="1" applyBorder="1" applyAlignment="1" applyProtection="1">
      <alignment horizontal="center" vertical="center"/>
      <protection locked="0"/>
    </xf>
    <xf numFmtId="16" fontId="28" fillId="6" borderId="9" xfId="0" applyNumberFormat="1" applyFont="1" applyFill="1" applyBorder="1" applyAlignment="1">
      <alignment horizontal="center" vertical="center" wrapText="1"/>
    </xf>
    <xf numFmtId="16" fontId="29" fillId="6" borderId="9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_BKAN-XD" xfId="1" xr:uid="{1BDB494A-9590-411E-B6CD-DB402E3ACC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81F6B-CF30-4F63-8DAE-6D7FAD3E2DF1}">
  <dimension ref="A1:W11"/>
  <sheetViews>
    <sheetView zoomScale="55" zoomScaleNormal="55" workbookViewId="0">
      <selection activeCell="D53" sqref="D53"/>
    </sheetView>
  </sheetViews>
  <sheetFormatPr defaultRowHeight="15.75"/>
  <cols>
    <col min="1" max="1" width="6.5" customWidth="1"/>
    <col min="2" max="2" width="25.75" customWidth="1"/>
    <col min="3" max="3" width="19.5" customWidth="1"/>
    <col min="4" max="4" width="40.25" bestFit="1" customWidth="1"/>
    <col min="5" max="5" width="16.625" customWidth="1"/>
    <col min="6" max="6" width="31" customWidth="1"/>
    <col min="7" max="7" width="32.625" customWidth="1"/>
    <col min="8" max="8" width="10.25" customWidth="1"/>
    <col min="9" max="9" width="28" customWidth="1"/>
    <col min="10" max="11" width="5.875" customWidth="1"/>
    <col min="12" max="12" width="11" customWidth="1"/>
    <col min="13" max="13" width="12" customWidth="1"/>
    <col min="14" max="14" width="12.5" customWidth="1"/>
    <col min="15" max="15" width="12.625" customWidth="1"/>
    <col min="16" max="16" width="16" customWidth="1"/>
    <col min="17" max="19" width="14.375" customWidth="1"/>
    <col min="20" max="20" width="17.75" customWidth="1"/>
    <col min="21" max="21" width="29.75" customWidth="1"/>
    <col min="22" max="22" width="6.25" customWidth="1"/>
    <col min="23" max="23" width="45.125" customWidth="1"/>
  </cols>
  <sheetData>
    <row r="1" spans="1:23" ht="23.25" thickTop="1">
      <c r="A1" s="63" t="s">
        <v>0</v>
      </c>
      <c r="B1" s="64"/>
      <c r="C1" s="64"/>
      <c r="D1" s="65"/>
      <c r="E1" s="66"/>
      <c r="F1" s="66"/>
      <c r="G1" s="66"/>
      <c r="H1" s="64"/>
      <c r="I1" s="67"/>
      <c r="J1" s="64"/>
      <c r="K1" s="64"/>
      <c r="L1" s="64"/>
      <c r="M1" s="64"/>
      <c r="N1" s="64"/>
      <c r="O1" s="64"/>
      <c r="P1" s="67"/>
      <c r="Q1" s="64"/>
      <c r="R1" s="64"/>
      <c r="S1" s="67"/>
      <c r="T1" s="64"/>
      <c r="U1" s="67"/>
      <c r="V1" s="64"/>
      <c r="W1" s="64"/>
    </row>
    <row r="2" spans="1:23">
      <c r="A2" s="68" t="s">
        <v>1</v>
      </c>
      <c r="B2" s="69"/>
      <c r="C2" s="70"/>
      <c r="D2" s="71"/>
      <c r="E2" s="72"/>
      <c r="F2" s="72"/>
      <c r="G2" s="72"/>
      <c r="H2" s="69"/>
      <c r="I2" s="70"/>
      <c r="J2" s="69"/>
      <c r="K2" s="69"/>
      <c r="L2" s="69"/>
      <c r="M2" s="69"/>
      <c r="N2" s="69"/>
      <c r="O2" s="69"/>
      <c r="P2" s="70"/>
      <c r="Q2" s="69"/>
      <c r="R2" s="69"/>
      <c r="S2" s="70"/>
      <c r="T2" s="69"/>
      <c r="U2" s="70"/>
      <c r="V2" s="69"/>
      <c r="W2" s="69"/>
    </row>
    <row r="3" spans="1:23">
      <c r="A3" s="68" t="s">
        <v>125</v>
      </c>
      <c r="B3" s="69"/>
      <c r="C3" s="69"/>
      <c r="D3" s="71"/>
      <c r="E3" s="72"/>
      <c r="F3" s="72"/>
      <c r="G3" s="72"/>
      <c r="H3" s="69"/>
      <c r="I3" s="70"/>
      <c r="J3" s="69"/>
      <c r="K3" s="69"/>
      <c r="L3" s="69"/>
      <c r="M3" s="69"/>
      <c r="N3" s="69"/>
      <c r="O3" s="69"/>
      <c r="P3" s="70"/>
      <c r="Q3" s="69"/>
      <c r="R3" s="69"/>
      <c r="S3" s="70"/>
      <c r="T3" s="69"/>
      <c r="U3" s="70"/>
      <c r="V3" s="69"/>
      <c r="W3" s="69"/>
    </row>
    <row r="4" spans="1:23">
      <c r="A4" s="68" t="s">
        <v>3</v>
      </c>
      <c r="B4" s="69"/>
      <c r="C4" s="69"/>
      <c r="D4" s="71"/>
      <c r="E4" s="72"/>
      <c r="F4" s="72"/>
      <c r="G4" s="72"/>
      <c r="H4" s="69"/>
      <c r="I4" s="70"/>
      <c r="J4" s="69"/>
      <c r="K4" s="69"/>
      <c r="L4" s="69"/>
      <c r="M4" s="69"/>
      <c r="N4" s="69"/>
      <c r="O4" s="69"/>
      <c r="P4" s="70"/>
      <c r="Q4" s="69"/>
      <c r="R4" s="69"/>
      <c r="S4" s="70"/>
      <c r="T4" s="69"/>
      <c r="U4" s="70"/>
      <c r="V4" s="69"/>
      <c r="W4" s="69"/>
    </row>
    <row r="5" spans="1:23">
      <c r="A5" s="68" t="s">
        <v>4</v>
      </c>
      <c r="B5" s="69"/>
      <c r="C5" s="69"/>
      <c r="D5" s="71"/>
      <c r="E5" s="72"/>
      <c r="F5" s="72"/>
      <c r="G5" s="72"/>
      <c r="H5" s="69"/>
      <c r="I5" s="70"/>
      <c r="J5" s="69"/>
      <c r="K5" s="69"/>
      <c r="L5" s="69"/>
      <c r="M5" s="69"/>
      <c r="N5" s="72"/>
      <c r="O5" s="72"/>
      <c r="P5" s="73"/>
      <c r="Q5" s="72"/>
      <c r="R5" s="72"/>
      <c r="S5" s="73"/>
      <c r="T5" s="72"/>
      <c r="U5" s="70"/>
      <c r="V5" s="73"/>
      <c r="W5" s="74"/>
    </row>
    <row r="6" spans="1:23">
      <c r="A6" s="68" t="s">
        <v>126</v>
      </c>
      <c r="B6" s="69"/>
      <c r="C6" s="69"/>
      <c r="D6" s="71"/>
      <c r="E6" s="75"/>
      <c r="F6" s="75"/>
      <c r="G6" s="75"/>
      <c r="H6" s="69"/>
      <c r="I6" s="76" t="s">
        <v>127</v>
      </c>
      <c r="J6" s="69"/>
      <c r="K6" s="69"/>
      <c r="L6" s="69"/>
      <c r="M6" s="77"/>
      <c r="N6" s="72"/>
      <c r="O6" s="72"/>
      <c r="P6" s="73"/>
      <c r="Q6" s="72"/>
      <c r="R6" s="72"/>
      <c r="S6" s="73"/>
      <c r="T6" s="78" t="s">
        <v>128</v>
      </c>
      <c r="U6" s="79">
        <v>46205</v>
      </c>
      <c r="V6" s="73"/>
      <c r="W6" s="80"/>
    </row>
    <row r="7" spans="1:23">
      <c r="A7" s="81" t="s">
        <v>16</v>
      </c>
      <c r="B7" s="81" t="s">
        <v>16</v>
      </c>
      <c r="C7" s="81" t="s">
        <v>16</v>
      </c>
      <c r="D7" s="82" t="s">
        <v>16</v>
      </c>
      <c r="E7" s="81" t="s">
        <v>16</v>
      </c>
      <c r="F7" s="81" t="s">
        <v>16</v>
      </c>
      <c r="G7" s="81" t="s">
        <v>16</v>
      </c>
      <c r="H7" s="81" t="s">
        <v>16</v>
      </c>
      <c r="I7" s="81" t="s">
        <v>16</v>
      </c>
      <c r="J7" s="81" t="s">
        <v>16</v>
      </c>
      <c r="K7" s="81" t="s">
        <v>16</v>
      </c>
      <c r="L7" s="81" t="s">
        <v>16</v>
      </c>
      <c r="M7" s="81" t="s">
        <v>16</v>
      </c>
      <c r="N7" s="81" t="s">
        <v>16</v>
      </c>
      <c r="O7" s="81" t="s">
        <v>16</v>
      </c>
      <c r="P7" s="81" t="s">
        <v>16</v>
      </c>
      <c r="Q7" s="81" t="s">
        <v>16</v>
      </c>
      <c r="R7" s="81" t="s">
        <v>16</v>
      </c>
      <c r="S7" s="24" t="s">
        <v>16</v>
      </c>
      <c r="T7" s="24" t="s">
        <v>16</v>
      </c>
      <c r="U7" s="81" t="s">
        <v>16</v>
      </c>
      <c r="V7" s="81" t="s">
        <v>16</v>
      </c>
      <c r="W7" s="81" t="s">
        <v>16</v>
      </c>
    </row>
    <row r="8" spans="1:23" ht="36">
      <c r="A8" s="83" t="s">
        <v>17</v>
      </c>
      <c r="B8" s="81" t="s">
        <v>18</v>
      </c>
      <c r="C8" s="81" t="s">
        <v>19</v>
      </c>
      <c r="D8" s="82" t="s">
        <v>20</v>
      </c>
      <c r="E8" s="84" t="s">
        <v>21</v>
      </c>
      <c r="F8" s="84"/>
      <c r="G8" s="84" t="s">
        <v>22</v>
      </c>
      <c r="H8" s="81" t="s">
        <v>23</v>
      </c>
      <c r="I8" s="81" t="s">
        <v>24</v>
      </c>
      <c r="J8" s="84" t="s">
        <v>25</v>
      </c>
      <c r="K8" s="84" t="s">
        <v>26</v>
      </c>
      <c r="L8" s="84" t="s">
        <v>27</v>
      </c>
      <c r="M8" s="81" t="s">
        <v>28</v>
      </c>
      <c r="N8" s="81" t="s">
        <v>29</v>
      </c>
      <c r="O8" s="81" t="s">
        <v>30</v>
      </c>
      <c r="P8" s="81" t="s">
        <v>31</v>
      </c>
      <c r="Q8" s="81" t="s">
        <v>32</v>
      </c>
      <c r="R8" s="81" t="s">
        <v>33</v>
      </c>
      <c r="S8" s="24" t="s">
        <v>38</v>
      </c>
      <c r="T8" s="24" t="s">
        <v>39</v>
      </c>
      <c r="U8" s="81" t="s">
        <v>40</v>
      </c>
      <c r="V8" s="85" t="s">
        <v>41</v>
      </c>
      <c r="W8" s="83" t="s">
        <v>129</v>
      </c>
    </row>
    <row r="9" spans="1:23" ht="24">
      <c r="A9" s="86" t="s">
        <v>63</v>
      </c>
      <c r="B9" s="87" t="s">
        <v>64</v>
      </c>
      <c r="C9" s="87" t="s">
        <v>65</v>
      </c>
      <c r="D9" s="88" t="s">
        <v>66</v>
      </c>
      <c r="E9" s="87" t="s">
        <v>67</v>
      </c>
      <c r="F9" s="87" t="s">
        <v>68</v>
      </c>
      <c r="G9" s="87" t="s">
        <v>69</v>
      </c>
      <c r="H9" s="87" t="s">
        <v>70</v>
      </c>
      <c r="I9" s="87" t="s">
        <v>71</v>
      </c>
      <c r="J9" s="87" t="s">
        <v>72</v>
      </c>
      <c r="K9" s="87" t="s">
        <v>73</v>
      </c>
      <c r="L9" s="87" t="s">
        <v>74</v>
      </c>
      <c r="M9" s="87" t="s">
        <v>75</v>
      </c>
      <c r="N9" s="87" t="s">
        <v>76</v>
      </c>
      <c r="O9" s="87" t="s">
        <v>77</v>
      </c>
      <c r="P9" s="87" t="s">
        <v>78</v>
      </c>
      <c r="Q9" s="87" t="s">
        <v>79</v>
      </c>
      <c r="R9" s="87" t="s">
        <v>80</v>
      </c>
      <c r="S9" s="24" t="s">
        <v>81</v>
      </c>
      <c r="T9" s="33">
        <v>15</v>
      </c>
      <c r="U9" s="87" t="s">
        <v>82</v>
      </c>
      <c r="V9" s="87">
        <v>17</v>
      </c>
      <c r="W9" s="87"/>
    </row>
    <row r="10" spans="1:23">
      <c r="A10" s="89">
        <v>5</v>
      </c>
      <c r="B10" s="90" t="s">
        <v>130</v>
      </c>
      <c r="C10" s="89" t="s">
        <v>131</v>
      </c>
      <c r="D10" s="89" t="s">
        <v>132</v>
      </c>
      <c r="E10" s="89"/>
      <c r="F10" s="89"/>
      <c r="G10" s="90" t="s">
        <v>133</v>
      </c>
      <c r="H10" s="89"/>
      <c r="I10" s="89"/>
      <c r="J10" s="89"/>
      <c r="K10" s="89">
        <v>1</v>
      </c>
      <c r="L10" s="89"/>
      <c r="M10" s="91">
        <v>2513.29</v>
      </c>
      <c r="N10" s="91">
        <v>2513.29</v>
      </c>
      <c r="O10" s="92"/>
      <c r="P10" s="89" t="s">
        <v>87</v>
      </c>
      <c r="Q10" s="91">
        <v>92.07</v>
      </c>
      <c r="R10" s="91">
        <v>92.07</v>
      </c>
      <c r="S10" s="89"/>
      <c r="T10" s="89" t="s">
        <v>88</v>
      </c>
      <c r="U10" s="92"/>
      <c r="V10" s="89" t="s">
        <v>89</v>
      </c>
      <c r="W10" s="93" t="s">
        <v>134</v>
      </c>
    </row>
    <row r="11" spans="1:23">
      <c r="A11" s="94"/>
      <c r="B11" s="95" t="s">
        <v>130</v>
      </c>
      <c r="C11" s="94" t="s">
        <v>131</v>
      </c>
      <c r="D11" s="94" t="s">
        <v>135</v>
      </c>
      <c r="E11" s="94" t="s">
        <v>136</v>
      </c>
      <c r="F11" s="94" t="s">
        <v>137</v>
      </c>
      <c r="G11" s="95" t="s">
        <v>138</v>
      </c>
      <c r="H11" s="94">
        <v>347</v>
      </c>
      <c r="I11" s="94" t="s">
        <v>103</v>
      </c>
      <c r="J11" s="94">
        <v>2</v>
      </c>
      <c r="K11" s="94"/>
      <c r="L11" s="94">
        <v>2</v>
      </c>
      <c r="M11" s="96">
        <v>10.23</v>
      </c>
      <c r="N11" s="96">
        <v>20.47</v>
      </c>
      <c r="O11" s="91"/>
      <c r="P11" s="94" t="s">
        <v>87</v>
      </c>
      <c r="Q11" s="96">
        <v>0.15</v>
      </c>
      <c r="R11" s="96">
        <v>0.3</v>
      </c>
      <c r="S11" s="94">
        <v>34.5</v>
      </c>
      <c r="T11" s="94" t="s">
        <v>88</v>
      </c>
      <c r="U11" s="96"/>
      <c r="V11" s="96"/>
      <c r="W11" s="94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FF072-4C15-41DE-A9F5-F073AA32E644}">
  <dimension ref="A1:AB12"/>
  <sheetViews>
    <sheetView tabSelected="1" zoomScale="55" zoomScaleNormal="55" workbookViewId="0">
      <selection activeCell="R12" sqref="R12"/>
    </sheetView>
  </sheetViews>
  <sheetFormatPr defaultRowHeight="15.75"/>
  <cols>
    <col min="1" max="1" width="6.5" customWidth="1"/>
    <col min="2" max="2" width="25.75" customWidth="1"/>
    <col min="3" max="3" width="19.5" customWidth="1"/>
    <col min="4" max="4" width="16.125" customWidth="1"/>
    <col min="5" max="6" width="25.125" customWidth="1"/>
    <col min="7" max="7" width="34.75" customWidth="1"/>
    <col min="8" max="8" width="31.25" customWidth="1"/>
    <col min="9" max="9" width="10.25" customWidth="1"/>
    <col min="10" max="10" width="25.125" customWidth="1"/>
    <col min="11" max="12" width="5.875" customWidth="1"/>
    <col min="13" max="13" width="6.375" customWidth="1"/>
    <col min="14" max="14" width="12" customWidth="1"/>
    <col min="15" max="19" width="12.5" customWidth="1"/>
    <col min="20" max="20" width="12.625" customWidth="1"/>
    <col min="21" max="21" width="16" customWidth="1"/>
    <col min="22" max="23" width="14.375" customWidth="1"/>
    <col min="24" max="24" width="16" customWidth="1"/>
    <col min="25" max="25" width="23.125" customWidth="1"/>
    <col min="26" max="26" width="8.25" customWidth="1"/>
    <col min="27" max="27" width="28.25" customWidth="1"/>
    <col min="28" max="28" width="15.25" customWidth="1"/>
  </cols>
  <sheetData>
    <row r="1" spans="1:28" ht="23.25" thickTop="1">
      <c r="A1" s="63" t="s">
        <v>0</v>
      </c>
      <c r="B1" s="64"/>
      <c r="C1" s="64"/>
      <c r="D1" s="66"/>
      <c r="E1" s="66"/>
      <c r="F1" s="66"/>
      <c r="G1" s="66"/>
      <c r="H1" s="66"/>
      <c r="I1" s="64"/>
      <c r="J1" s="67"/>
      <c r="K1" s="64"/>
      <c r="L1" s="64"/>
      <c r="M1" s="64"/>
      <c r="N1" s="64"/>
      <c r="O1" s="64"/>
      <c r="P1" s="64"/>
      <c r="Q1" s="64"/>
      <c r="R1" s="64"/>
      <c r="S1" s="64"/>
      <c r="T1" s="64"/>
      <c r="U1" s="67"/>
      <c r="V1" s="64"/>
      <c r="W1" s="64"/>
      <c r="X1" s="64"/>
      <c r="Y1" s="67"/>
      <c r="Z1" s="64"/>
      <c r="AA1" s="64"/>
      <c r="AB1" s="64"/>
    </row>
    <row r="2" spans="1:28">
      <c r="A2" s="68" t="s">
        <v>1</v>
      </c>
      <c r="B2" s="69"/>
      <c r="C2" s="70"/>
      <c r="D2" s="97"/>
      <c r="E2" s="72"/>
      <c r="F2" s="72"/>
      <c r="G2" s="72"/>
      <c r="H2" s="72"/>
      <c r="I2" s="69"/>
      <c r="J2" s="70"/>
      <c r="K2" s="69"/>
      <c r="L2" s="69"/>
      <c r="M2" s="69"/>
      <c r="N2" s="69"/>
      <c r="O2" s="69"/>
      <c r="P2" s="69"/>
      <c r="Q2" s="69"/>
      <c r="R2" s="69"/>
      <c r="S2" s="69"/>
      <c r="T2" s="69"/>
      <c r="U2" s="70"/>
      <c r="V2" s="69"/>
      <c r="W2" s="69"/>
      <c r="X2" s="69"/>
      <c r="Y2" s="70"/>
      <c r="Z2" s="69"/>
      <c r="AA2" s="69"/>
      <c r="AB2" s="69"/>
    </row>
    <row r="3" spans="1:28">
      <c r="A3" s="68" t="s">
        <v>140</v>
      </c>
      <c r="B3" s="69"/>
      <c r="C3" s="69"/>
      <c r="D3" s="97"/>
      <c r="E3" s="72"/>
      <c r="F3" s="72"/>
      <c r="G3" s="72"/>
      <c r="H3" s="72"/>
      <c r="I3" s="69"/>
      <c r="J3" s="70"/>
      <c r="K3" s="69"/>
      <c r="L3" s="69"/>
      <c r="M3" s="69"/>
      <c r="N3" s="69"/>
      <c r="O3" s="69"/>
      <c r="P3" s="69"/>
      <c r="Q3" s="69"/>
      <c r="R3" s="69"/>
      <c r="S3" s="69"/>
      <c r="T3" s="69"/>
      <c r="U3" s="70"/>
      <c r="V3" s="69"/>
      <c r="W3" s="69"/>
      <c r="X3" s="69"/>
      <c r="Y3" s="70"/>
      <c r="Z3" s="69"/>
      <c r="AA3" s="69"/>
      <c r="AB3" s="69"/>
    </row>
    <row r="4" spans="1:28">
      <c r="A4" s="68" t="s">
        <v>3</v>
      </c>
      <c r="B4" s="69"/>
      <c r="C4" s="69"/>
      <c r="D4" s="97"/>
      <c r="E4" s="72"/>
      <c r="F4" s="72"/>
      <c r="G4" s="72"/>
      <c r="H4" s="72"/>
      <c r="I4" s="69"/>
      <c r="J4" s="70"/>
      <c r="K4" s="69"/>
      <c r="L4" s="69"/>
      <c r="M4" s="69"/>
      <c r="N4" s="69"/>
      <c r="O4" s="69"/>
      <c r="P4" s="69"/>
      <c r="Q4" s="69"/>
      <c r="R4" s="69"/>
      <c r="S4" s="69"/>
      <c r="T4" s="69"/>
      <c r="U4" s="70"/>
      <c r="V4" s="69"/>
      <c r="W4" s="69"/>
      <c r="X4" s="69"/>
      <c r="Y4" s="70"/>
      <c r="Z4" s="69"/>
      <c r="AA4" s="69"/>
      <c r="AB4" s="69"/>
    </row>
    <row r="5" spans="1:28">
      <c r="A5" s="68" t="s">
        <v>4</v>
      </c>
      <c r="B5" s="69"/>
      <c r="C5" s="69"/>
      <c r="D5" s="97"/>
      <c r="E5" s="72"/>
      <c r="F5" s="72"/>
      <c r="G5" s="72" t="s">
        <v>141</v>
      </c>
      <c r="H5" s="72"/>
      <c r="I5" s="69"/>
      <c r="J5" s="70"/>
      <c r="K5" s="69"/>
      <c r="L5" s="69"/>
      <c r="M5" s="69"/>
      <c r="N5" s="69"/>
      <c r="O5" s="72"/>
      <c r="P5" s="72"/>
      <c r="Q5" s="72"/>
      <c r="R5" s="72"/>
      <c r="S5" s="72"/>
      <c r="T5" s="72"/>
      <c r="U5" s="73"/>
      <c r="V5" s="72"/>
      <c r="W5" s="72"/>
      <c r="X5" s="72"/>
      <c r="Y5" s="70"/>
      <c r="Z5" s="73"/>
      <c r="AA5" s="74"/>
      <c r="AB5" s="74"/>
    </row>
    <row r="6" spans="1:28">
      <c r="A6" s="68" t="s">
        <v>142</v>
      </c>
      <c r="B6" s="69"/>
      <c r="C6" s="69"/>
      <c r="D6" s="97"/>
      <c r="E6" s="75"/>
      <c r="F6" s="75"/>
      <c r="G6" s="75"/>
      <c r="H6" s="75"/>
      <c r="I6" s="69"/>
      <c r="J6" s="76" t="s">
        <v>143</v>
      </c>
      <c r="K6" s="69"/>
      <c r="L6" s="69"/>
      <c r="M6" s="69"/>
      <c r="N6" s="77"/>
      <c r="O6" s="72"/>
      <c r="P6" s="72"/>
      <c r="Q6" s="72"/>
      <c r="R6" s="72"/>
      <c r="S6" s="72"/>
      <c r="T6" s="72"/>
      <c r="U6" s="73"/>
      <c r="V6" s="72"/>
      <c r="W6" s="72"/>
      <c r="X6" s="72"/>
      <c r="Y6" s="98" t="s">
        <v>144</v>
      </c>
      <c r="Z6" s="73"/>
      <c r="AA6" s="80"/>
      <c r="AB6" s="80"/>
    </row>
    <row r="7" spans="1:28">
      <c r="A7" s="81" t="s">
        <v>16</v>
      </c>
      <c r="B7" s="81" t="s">
        <v>16</v>
      </c>
      <c r="C7" s="81" t="s">
        <v>16</v>
      </c>
      <c r="D7" s="81" t="s">
        <v>16</v>
      </c>
      <c r="E7" s="81" t="s">
        <v>16</v>
      </c>
      <c r="F7" s="81"/>
      <c r="G7" s="81" t="s">
        <v>16</v>
      </c>
      <c r="H7" s="81" t="s">
        <v>16</v>
      </c>
      <c r="I7" s="81" t="s">
        <v>16</v>
      </c>
      <c r="J7" s="81" t="s">
        <v>16</v>
      </c>
      <c r="K7" s="81" t="s">
        <v>16</v>
      </c>
      <c r="L7" s="81" t="s">
        <v>16</v>
      </c>
      <c r="M7" s="81" t="s">
        <v>16</v>
      </c>
      <c r="N7" s="81" t="s">
        <v>16</v>
      </c>
      <c r="O7" s="81" t="s">
        <v>16</v>
      </c>
      <c r="P7" s="81"/>
      <c r="Q7" s="81"/>
      <c r="R7" s="81"/>
      <c r="S7" s="81"/>
      <c r="T7" s="81" t="s">
        <v>16</v>
      </c>
      <c r="U7" s="81" t="s">
        <v>16</v>
      </c>
      <c r="V7" s="81" t="s">
        <v>16</v>
      </c>
      <c r="W7" s="81" t="s">
        <v>16</v>
      </c>
      <c r="X7" s="24" t="s">
        <v>16</v>
      </c>
      <c r="Y7" s="81" t="s">
        <v>16</v>
      </c>
      <c r="Z7" s="81" t="s">
        <v>16</v>
      </c>
      <c r="AA7" s="81" t="s">
        <v>16</v>
      </c>
      <c r="AB7" s="81" t="s">
        <v>16</v>
      </c>
    </row>
    <row r="8" spans="1:28" ht="24">
      <c r="A8" s="83" t="s">
        <v>17</v>
      </c>
      <c r="B8" s="81" t="s">
        <v>18</v>
      </c>
      <c r="C8" s="81" t="s">
        <v>19</v>
      </c>
      <c r="D8" s="84" t="s">
        <v>20</v>
      </c>
      <c r="E8" s="84" t="s">
        <v>21</v>
      </c>
      <c r="F8" s="84"/>
      <c r="G8" s="84"/>
      <c r="H8" s="84" t="s">
        <v>22</v>
      </c>
      <c r="I8" s="81" t="s">
        <v>23</v>
      </c>
      <c r="J8" s="81" t="s">
        <v>24</v>
      </c>
      <c r="K8" s="84" t="s">
        <v>25</v>
      </c>
      <c r="L8" s="84" t="s">
        <v>26</v>
      </c>
      <c r="M8" s="84" t="s">
        <v>27</v>
      </c>
      <c r="N8" s="81" t="s">
        <v>28</v>
      </c>
      <c r="O8" s="81" t="s">
        <v>29</v>
      </c>
      <c r="P8" s="81" t="s">
        <v>123</v>
      </c>
      <c r="Q8" s="81" t="s">
        <v>124</v>
      </c>
      <c r="R8" s="81"/>
      <c r="S8" s="81"/>
      <c r="T8" s="81" t="s">
        <v>30</v>
      </c>
      <c r="U8" s="81" t="s">
        <v>31</v>
      </c>
      <c r="V8" s="81" t="s">
        <v>32</v>
      </c>
      <c r="W8" s="81" t="s">
        <v>33</v>
      </c>
      <c r="X8" s="24" t="s">
        <v>39</v>
      </c>
      <c r="Y8" s="81" t="s">
        <v>40</v>
      </c>
      <c r="Z8" s="85" t="s">
        <v>41</v>
      </c>
      <c r="AA8" s="83" t="s">
        <v>145</v>
      </c>
      <c r="AB8" s="99" t="s">
        <v>44</v>
      </c>
    </row>
    <row r="9" spans="1:28" ht="24">
      <c r="A9" s="86" t="s">
        <v>63</v>
      </c>
      <c r="B9" s="87" t="s">
        <v>64</v>
      </c>
      <c r="C9" s="87" t="s">
        <v>65</v>
      </c>
      <c r="D9" s="87" t="s">
        <v>66</v>
      </c>
      <c r="E9" s="87" t="s">
        <v>67</v>
      </c>
      <c r="F9" s="87"/>
      <c r="G9" s="87" t="s">
        <v>68</v>
      </c>
      <c r="H9" s="87" t="s">
        <v>69</v>
      </c>
      <c r="I9" s="87" t="s">
        <v>70</v>
      </c>
      <c r="J9" s="87" t="s">
        <v>71</v>
      </c>
      <c r="K9" s="87" t="s">
        <v>72</v>
      </c>
      <c r="L9" s="87" t="s">
        <v>73</v>
      </c>
      <c r="M9" s="87" t="s">
        <v>74</v>
      </c>
      <c r="N9" s="87" t="s">
        <v>75</v>
      </c>
      <c r="O9" s="87" t="s">
        <v>76</v>
      </c>
      <c r="P9" s="87"/>
      <c r="Q9" s="87"/>
      <c r="R9" s="87"/>
      <c r="S9" s="87"/>
      <c r="T9" s="87" t="s">
        <v>77</v>
      </c>
      <c r="U9" s="87" t="s">
        <v>78</v>
      </c>
      <c r="V9" s="87" t="s">
        <v>79</v>
      </c>
      <c r="W9" s="87" t="s">
        <v>80</v>
      </c>
      <c r="X9" s="33">
        <v>15</v>
      </c>
      <c r="Y9" s="87" t="s">
        <v>82</v>
      </c>
      <c r="Z9" s="87">
        <v>16</v>
      </c>
      <c r="AA9" s="87"/>
      <c r="AB9" s="87"/>
    </row>
    <row r="10" spans="1:28" ht="63">
      <c r="A10" s="89">
        <v>1</v>
      </c>
      <c r="B10" s="90" t="s">
        <v>146</v>
      </c>
      <c r="C10" s="89" t="s">
        <v>147</v>
      </c>
      <c r="D10" s="90" t="s">
        <v>148</v>
      </c>
      <c r="E10" s="89"/>
      <c r="F10" s="89"/>
      <c r="G10" s="89"/>
      <c r="H10" s="90" t="s">
        <v>149</v>
      </c>
      <c r="I10" s="89"/>
      <c r="J10" s="89"/>
      <c r="K10" s="89"/>
      <c r="L10" s="89">
        <v>1</v>
      </c>
      <c r="M10" s="89"/>
      <c r="N10" s="91">
        <v>2249.37</v>
      </c>
      <c r="O10" s="91">
        <v>2249.37</v>
      </c>
      <c r="P10" s="91"/>
      <c r="Q10" s="91"/>
      <c r="R10" s="91"/>
      <c r="S10" s="91"/>
      <c r="T10" s="92"/>
      <c r="U10" s="89" t="s">
        <v>150</v>
      </c>
      <c r="V10" s="91">
        <v>92.52</v>
      </c>
      <c r="W10" s="91">
        <v>92.52</v>
      </c>
      <c r="X10" s="89" t="s">
        <v>88</v>
      </c>
      <c r="Y10" s="89"/>
      <c r="Z10" s="89" t="s">
        <v>89</v>
      </c>
      <c r="AA10" s="93" t="s">
        <v>134</v>
      </c>
      <c r="AB10" s="100">
        <v>46205</v>
      </c>
    </row>
    <row r="11" spans="1:28">
      <c r="A11" s="94"/>
      <c r="B11" s="95" t="s">
        <v>146</v>
      </c>
      <c r="C11" s="94" t="s">
        <v>147</v>
      </c>
      <c r="D11" s="95" t="s">
        <v>151</v>
      </c>
      <c r="E11" s="94" t="s">
        <v>152</v>
      </c>
      <c r="F11" s="94" t="s">
        <v>153</v>
      </c>
      <c r="G11" s="94" t="s">
        <v>138</v>
      </c>
      <c r="H11" s="95"/>
      <c r="I11" s="96">
        <v>200</v>
      </c>
      <c r="J11" s="94" t="s">
        <v>103</v>
      </c>
      <c r="K11" s="94">
        <v>4</v>
      </c>
      <c r="L11" s="94"/>
      <c r="M11" s="94">
        <v>4</v>
      </c>
      <c r="N11" s="96">
        <v>6.28</v>
      </c>
      <c r="O11" s="96">
        <v>25.12</v>
      </c>
      <c r="P11" s="96">
        <f>SUM(R11:S11)</f>
        <v>4</v>
      </c>
      <c r="Q11" s="96">
        <f>+M11-P11</f>
        <v>0</v>
      </c>
      <c r="R11" s="96">
        <v>4</v>
      </c>
      <c r="S11" s="96"/>
      <c r="T11" s="91"/>
      <c r="U11" s="94" t="s">
        <v>150</v>
      </c>
      <c r="V11" s="96">
        <v>0.1</v>
      </c>
      <c r="W11" s="96">
        <v>0.38</v>
      </c>
      <c r="X11" s="94" t="s">
        <v>88</v>
      </c>
      <c r="Y11" s="94"/>
      <c r="Z11" s="96"/>
      <c r="AA11" s="94" t="s">
        <v>139</v>
      </c>
      <c r="AB11" s="101">
        <v>46205</v>
      </c>
    </row>
    <row r="12" spans="1:28">
      <c r="A12" s="94"/>
      <c r="B12" s="95" t="s">
        <v>146</v>
      </c>
      <c r="C12" s="94" t="s">
        <v>147</v>
      </c>
      <c r="D12" s="95" t="s">
        <v>135</v>
      </c>
      <c r="E12" s="94" t="s">
        <v>154</v>
      </c>
      <c r="F12" s="94" t="s">
        <v>155</v>
      </c>
      <c r="G12" s="94" t="s">
        <v>156</v>
      </c>
      <c r="H12" s="95"/>
      <c r="I12" s="96">
        <v>200</v>
      </c>
      <c r="J12" s="94" t="s">
        <v>103</v>
      </c>
      <c r="K12" s="94">
        <v>4</v>
      </c>
      <c r="L12" s="94"/>
      <c r="M12" s="94">
        <v>4</v>
      </c>
      <c r="N12" s="96">
        <v>5.4</v>
      </c>
      <c r="O12" s="96">
        <v>21.59</v>
      </c>
      <c r="P12" s="96">
        <f>SUM(R12:S12)</f>
        <v>0</v>
      </c>
      <c r="Q12" s="96">
        <f>+M12-P12</f>
        <v>4</v>
      </c>
      <c r="R12" s="96"/>
      <c r="S12" s="96"/>
      <c r="T12" s="91"/>
      <c r="U12" s="94" t="s">
        <v>150</v>
      </c>
      <c r="V12" s="96">
        <v>0.08</v>
      </c>
      <c r="W12" s="96">
        <v>0.33</v>
      </c>
      <c r="X12" s="94" t="s">
        <v>88</v>
      </c>
      <c r="Y12" s="94"/>
      <c r="Z12" s="96"/>
      <c r="AA12" s="94" t="s">
        <v>139</v>
      </c>
      <c r="AB12" s="101">
        <v>46205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8F2DD-8E58-4B53-9F95-4855DEE7F508}">
  <dimension ref="A1:BH19"/>
  <sheetViews>
    <sheetView zoomScale="85" zoomScaleNormal="85" workbookViewId="0">
      <selection activeCell="S19" sqref="S19"/>
    </sheetView>
  </sheetViews>
  <sheetFormatPr defaultRowHeight="15.75"/>
  <cols>
    <col min="1" max="1" width="8" customWidth="1"/>
    <col min="2" max="2" width="22.5" customWidth="1"/>
    <col min="3" max="3" width="11.875" customWidth="1"/>
    <col min="4" max="4" width="15.75" customWidth="1"/>
    <col min="5" max="5" width="14.75" customWidth="1"/>
    <col min="6" max="6" width="31" customWidth="1"/>
    <col min="7" max="7" width="14" customWidth="1"/>
    <col min="8" max="8" width="10.25" customWidth="1"/>
    <col min="9" max="9" width="28.125" customWidth="1"/>
    <col min="10" max="12" width="5.875" customWidth="1"/>
    <col min="13" max="13" width="12" customWidth="1"/>
    <col min="14" max="14" width="12" bestFit="1" customWidth="1"/>
    <col min="15" max="19" width="12" customWidth="1"/>
    <col min="20" max="50" width="9" customWidth="1"/>
    <col min="51" max="51" width="13.375" bestFit="1" customWidth="1"/>
    <col min="52" max="52" width="26" customWidth="1"/>
    <col min="53" max="53" width="9.75" customWidth="1"/>
    <col min="54" max="54" width="22" customWidth="1"/>
    <col min="55" max="55" width="6.25" customWidth="1"/>
    <col min="56" max="56" width="11.5" customWidth="1"/>
    <col min="57" max="57" width="19" customWidth="1"/>
    <col min="58" max="58" width="6.25" customWidth="1"/>
    <col min="59" max="59" width="12.75" customWidth="1"/>
  </cols>
  <sheetData>
    <row r="1" spans="1:60" ht="24" thickTop="1">
      <c r="A1" s="1" t="s">
        <v>0</v>
      </c>
      <c r="B1" s="2"/>
      <c r="C1" s="2"/>
      <c r="D1" s="3"/>
      <c r="E1" s="3"/>
      <c r="F1" s="3"/>
      <c r="G1" s="3"/>
      <c r="H1" s="2"/>
      <c r="I1" s="4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4"/>
      <c r="V1" s="2"/>
      <c r="W1" s="2"/>
      <c r="X1" s="4"/>
      <c r="Y1" s="4"/>
      <c r="Z1" s="4"/>
      <c r="AA1" s="4"/>
      <c r="AB1" s="4"/>
      <c r="AC1" s="2"/>
      <c r="AD1" s="4"/>
      <c r="AE1" s="4"/>
      <c r="AF1" s="4"/>
      <c r="AG1" s="5"/>
      <c r="AH1" s="4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  <c r="AU1" s="4"/>
      <c r="AV1" s="4"/>
      <c r="AW1" s="4"/>
      <c r="AX1" s="4"/>
      <c r="AY1" s="2"/>
      <c r="AZ1" s="6"/>
      <c r="BA1" s="2"/>
      <c r="BB1" s="6"/>
      <c r="BC1" s="6"/>
      <c r="BD1" s="6"/>
      <c r="BE1" s="2"/>
      <c r="BF1" s="2"/>
      <c r="BG1" s="2"/>
      <c r="BH1" s="6"/>
    </row>
    <row r="2" spans="1:60">
      <c r="A2" s="7" t="s">
        <v>1</v>
      </c>
      <c r="B2" s="8"/>
      <c r="C2" s="9"/>
      <c r="D2" s="10"/>
      <c r="E2" s="11"/>
      <c r="F2" s="11"/>
      <c r="G2" s="11"/>
      <c r="H2" s="8"/>
      <c r="I2" s="9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9"/>
      <c r="V2" s="8"/>
      <c r="W2" s="8"/>
      <c r="X2" s="9"/>
      <c r="Y2" s="9"/>
      <c r="Z2" s="9"/>
      <c r="AA2" s="9"/>
      <c r="AB2" s="9"/>
      <c r="AC2" s="8"/>
      <c r="AD2" s="9"/>
      <c r="AE2" s="9"/>
      <c r="AF2" s="9"/>
      <c r="AG2" s="8"/>
      <c r="AH2" s="9"/>
      <c r="AI2" s="8"/>
      <c r="AJ2" s="8"/>
      <c r="AK2" s="8"/>
      <c r="AL2" s="8"/>
      <c r="AM2" s="8"/>
      <c r="AN2" s="8"/>
      <c r="AO2" s="8"/>
      <c r="AP2" s="8"/>
      <c r="AQ2" s="8"/>
      <c r="AR2" s="8"/>
      <c r="AS2" s="9"/>
      <c r="AT2" s="9"/>
      <c r="AU2" s="9"/>
      <c r="AV2" s="9"/>
      <c r="AW2" s="9"/>
      <c r="AX2" s="9"/>
      <c r="AY2" s="8"/>
      <c r="AZ2" s="12"/>
      <c r="BA2" s="8"/>
      <c r="BB2" s="12"/>
      <c r="BC2" s="12"/>
      <c r="BD2" s="12"/>
      <c r="BE2" s="8"/>
      <c r="BF2" s="8"/>
      <c r="BG2" s="8"/>
      <c r="BH2" s="12"/>
    </row>
    <row r="3" spans="1:60">
      <c r="A3" s="7" t="s">
        <v>2</v>
      </c>
      <c r="B3" s="8"/>
      <c r="C3" s="8"/>
      <c r="D3" s="10"/>
      <c r="E3" s="11"/>
      <c r="F3" s="11"/>
      <c r="G3" s="11"/>
      <c r="H3" s="8"/>
      <c r="I3" s="9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9"/>
      <c r="V3" s="8"/>
      <c r="W3" s="8"/>
      <c r="X3" s="9"/>
      <c r="Y3" s="9"/>
      <c r="Z3" s="9"/>
      <c r="AA3" s="9"/>
      <c r="AB3" s="9"/>
      <c r="AC3" s="8"/>
      <c r="AD3" s="9"/>
      <c r="AE3" s="9"/>
      <c r="AF3" s="9"/>
      <c r="AG3" s="8"/>
      <c r="AH3" s="9"/>
      <c r="AI3" s="8"/>
      <c r="AJ3" s="8"/>
      <c r="AK3" s="8"/>
      <c r="AL3" s="8"/>
      <c r="AM3" s="8"/>
      <c r="AN3" s="8"/>
      <c r="AO3" s="8"/>
      <c r="AP3" s="8"/>
      <c r="AQ3" s="8"/>
      <c r="AR3" s="8"/>
      <c r="AS3" s="9"/>
      <c r="AT3" s="9"/>
      <c r="AU3" s="9"/>
      <c r="AV3" s="9"/>
      <c r="AW3" s="9"/>
      <c r="AX3" s="9"/>
      <c r="AY3" s="8"/>
      <c r="AZ3" s="12"/>
      <c r="BA3" s="8"/>
      <c r="BB3" s="12"/>
      <c r="BC3" s="12"/>
      <c r="BD3" s="12"/>
      <c r="BE3" s="8"/>
      <c r="BF3" s="8"/>
      <c r="BG3" s="8"/>
      <c r="BH3" s="12"/>
    </row>
    <row r="4" spans="1:60">
      <c r="A4" s="7" t="s">
        <v>3</v>
      </c>
      <c r="B4" s="8"/>
      <c r="C4" s="8"/>
      <c r="D4" s="10"/>
      <c r="E4" s="11"/>
      <c r="F4" s="11"/>
      <c r="G4" s="11"/>
      <c r="H4" s="8"/>
      <c r="I4" s="9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9"/>
      <c r="V4" s="8"/>
      <c r="W4" s="8"/>
      <c r="X4" s="9"/>
      <c r="Y4" s="9"/>
      <c r="Z4" s="9"/>
      <c r="AA4" s="9"/>
      <c r="AB4" s="9"/>
      <c r="AC4" s="8"/>
      <c r="AD4" s="9"/>
      <c r="AE4" s="9"/>
      <c r="AF4" s="9"/>
      <c r="AG4" s="8"/>
      <c r="AH4" s="9"/>
      <c r="AI4" s="8"/>
      <c r="AJ4" s="8"/>
      <c r="AK4" s="8"/>
      <c r="AL4" s="8"/>
      <c r="AM4" s="8"/>
      <c r="AN4" s="8"/>
      <c r="AO4" s="8"/>
      <c r="AP4" s="8"/>
      <c r="AQ4" s="8"/>
      <c r="AR4" s="8"/>
      <c r="AS4" s="9"/>
      <c r="AT4" s="9"/>
      <c r="AU4" s="9"/>
      <c r="AV4" s="9"/>
      <c r="AW4" s="9"/>
      <c r="AX4" s="9"/>
      <c r="AY4" s="8"/>
      <c r="AZ4" s="12"/>
      <c r="BA4" s="8"/>
      <c r="BB4" s="12"/>
      <c r="BC4" s="12"/>
      <c r="BD4" s="12"/>
      <c r="BE4" s="8"/>
      <c r="BF4" s="8"/>
      <c r="BG4" s="8"/>
      <c r="BH4" s="12"/>
    </row>
    <row r="5" spans="1:60">
      <c r="A5" s="7" t="s">
        <v>4</v>
      </c>
      <c r="B5" s="8"/>
      <c r="C5" s="8"/>
      <c r="D5" s="10"/>
      <c r="E5" s="11"/>
      <c r="F5" s="11"/>
      <c r="G5" s="11"/>
      <c r="H5" s="8"/>
      <c r="I5" s="9"/>
      <c r="J5" s="8"/>
      <c r="K5" s="8"/>
      <c r="L5" s="8"/>
      <c r="M5" s="8"/>
      <c r="N5" s="11"/>
      <c r="O5" s="11"/>
      <c r="P5" s="11"/>
      <c r="Q5" s="11"/>
      <c r="R5" s="11"/>
      <c r="S5" s="11"/>
      <c r="T5" s="11"/>
      <c r="U5" s="13"/>
      <c r="V5" s="11"/>
      <c r="W5" s="11"/>
      <c r="X5" s="13"/>
      <c r="Y5" s="13"/>
      <c r="Z5" s="13"/>
      <c r="AA5" s="13"/>
      <c r="AB5" s="13"/>
      <c r="AC5" s="11"/>
      <c r="AD5" s="9"/>
      <c r="AE5" s="13"/>
      <c r="AF5" s="13"/>
      <c r="AG5" s="14"/>
      <c r="AH5" s="15"/>
      <c r="AI5" s="14"/>
      <c r="AJ5" s="16"/>
      <c r="AK5" s="16"/>
      <c r="AL5" s="16"/>
      <c r="AM5" s="16"/>
      <c r="AN5" s="16"/>
      <c r="AO5" s="16"/>
      <c r="AP5" s="16"/>
      <c r="AQ5" s="16"/>
      <c r="AR5" s="16"/>
      <c r="AS5" s="13"/>
      <c r="AT5" s="13"/>
      <c r="AU5" s="13"/>
      <c r="AV5" s="13"/>
      <c r="AW5" s="13"/>
      <c r="AX5" s="13"/>
      <c r="AY5" s="13"/>
      <c r="AZ5" s="17"/>
      <c r="BA5" s="13"/>
      <c r="BB5" s="17"/>
      <c r="BC5" s="17"/>
      <c r="BD5" s="18"/>
      <c r="BE5" s="13"/>
      <c r="BF5" s="13"/>
      <c r="BG5" s="13"/>
      <c r="BH5" s="17"/>
    </row>
    <row r="6" spans="1:60" ht="24">
      <c r="A6" s="7" t="s">
        <v>5</v>
      </c>
      <c r="B6" s="8"/>
      <c r="C6" s="8"/>
      <c r="D6" s="10"/>
      <c r="E6" s="19"/>
      <c r="F6" s="19"/>
      <c r="G6" s="19"/>
      <c r="H6" s="8"/>
      <c r="I6" s="20" t="s">
        <v>6</v>
      </c>
      <c r="J6" s="8"/>
      <c r="K6" s="8"/>
      <c r="L6" s="8"/>
      <c r="M6" s="21"/>
      <c r="N6" s="11"/>
      <c r="O6" s="11"/>
      <c r="P6" s="11"/>
      <c r="Q6" s="11"/>
      <c r="R6" s="11"/>
      <c r="S6" s="11"/>
      <c r="T6" s="11"/>
      <c r="U6" s="13"/>
      <c r="V6" s="11"/>
      <c r="W6" s="11"/>
      <c r="X6" s="13"/>
      <c r="Y6" s="13"/>
      <c r="Z6" s="13"/>
      <c r="AA6" s="13"/>
      <c r="AB6" s="13"/>
      <c r="AC6" s="11"/>
      <c r="AD6" s="22" t="s">
        <v>7</v>
      </c>
      <c r="AE6" s="13"/>
      <c r="AF6" s="13"/>
      <c r="AG6" s="54" t="s">
        <v>8</v>
      </c>
      <c r="AH6" s="55"/>
      <c r="AI6" s="55"/>
      <c r="AJ6" s="56"/>
      <c r="AK6" s="23"/>
      <c r="AL6" s="23"/>
      <c r="AM6" s="23"/>
      <c r="AN6" s="23"/>
      <c r="AO6" s="23"/>
      <c r="AP6" s="23"/>
      <c r="AQ6" s="23"/>
      <c r="AR6" s="23"/>
      <c r="AS6" s="24" t="s">
        <v>9</v>
      </c>
      <c r="AT6" s="25" t="s">
        <v>10</v>
      </c>
      <c r="AU6" s="25" t="s">
        <v>11</v>
      </c>
      <c r="AV6" s="25" t="s">
        <v>12</v>
      </c>
      <c r="AW6" s="25" t="s">
        <v>13</v>
      </c>
      <c r="AX6" s="25" t="s">
        <v>14</v>
      </c>
      <c r="AY6" s="26"/>
      <c r="AZ6" s="54" t="s">
        <v>15</v>
      </c>
      <c r="BA6" s="55"/>
      <c r="BB6" s="57"/>
      <c r="BC6" s="55"/>
      <c r="BD6" s="55"/>
      <c r="BE6" s="55"/>
      <c r="BF6" s="55"/>
      <c r="BG6" s="55"/>
      <c r="BH6" s="56"/>
    </row>
    <row r="7" spans="1:60">
      <c r="A7" s="24" t="s">
        <v>16</v>
      </c>
      <c r="B7" s="24" t="s">
        <v>16</v>
      </c>
      <c r="C7" s="24" t="s">
        <v>16</v>
      </c>
      <c r="D7" s="24" t="s">
        <v>16</v>
      </c>
      <c r="E7" s="24" t="s">
        <v>16</v>
      </c>
      <c r="F7" s="24" t="s">
        <v>16</v>
      </c>
      <c r="G7" s="24" t="s">
        <v>16</v>
      </c>
      <c r="H7" s="24" t="s">
        <v>16</v>
      </c>
      <c r="I7" s="24" t="s">
        <v>16</v>
      </c>
      <c r="J7" s="24" t="s">
        <v>16</v>
      </c>
      <c r="K7" s="24" t="s">
        <v>16</v>
      </c>
      <c r="L7" s="24" t="s">
        <v>16</v>
      </c>
      <c r="M7" s="24" t="s">
        <v>16</v>
      </c>
      <c r="N7" s="24" t="s">
        <v>16</v>
      </c>
      <c r="O7" s="24"/>
      <c r="P7" s="24"/>
      <c r="Q7" s="24"/>
      <c r="R7" s="24"/>
      <c r="S7" s="24"/>
      <c r="T7" s="24" t="s">
        <v>16</v>
      </c>
      <c r="U7" s="24" t="s">
        <v>16</v>
      </c>
      <c r="V7" s="24" t="s">
        <v>16</v>
      </c>
      <c r="W7" s="24" t="s">
        <v>16</v>
      </c>
      <c r="X7" s="58" t="s">
        <v>16</v>
      </c>
      <c r="Y7" s="59"/>
      <c r="Z7" s="60"/>
      <c r="AA7" s="27" t="s">
        <v>16</v>
      </c>
      <c r="AB7" s="24" t="s">
        <v>16</v>
      </c>
      <c r="AC7" s="24" t="s">
        <v>16</v>
      </c>
      <c r="AD7" s="24" t="s">
        <v>16</v>
      </c>
      <c r="AE7" s="24" t="s">
        <v>16</v>
      </c>
      <c r="AF7" s="24" t="s">
        <v>16</v>
      </c>
      <c r="AG7" s="24" t="s">
        <v>16</v>
      </c>
      <c r="AH7" s="24" t="s">
        <v>16</v>
      </c>
      <c r="AI7" s="24" t="s">
        <v>16</v>
      </c>
      <c r="AJ7" s="24" t="s">
        <v>16</v>
      </c>
      <c r="AK7" s="24" t="s">
        <v>16</v>
      </c>
      <c r="AL7" s="24" t="s">
        <v>16</v>
      </c>
      <c r="AM7" s="24" t="s">
        <v>16</v>
      </c>
      <c r="AN7" s="24" t="s">
        <v>16</v>
      </c>
      <c r="AO7" s="24" t="s">
        <v>16</v>
      </c>
      <c r="AP7" s="24" t="s">
        <v>16</v>
      </c>
      <c r="AQ7" s="24" t="s">
        <v>16</v>
      </c>
      <c r="AR7" s="24" t="s">
        <v>16</v>
      </c>
      <c r="AS7" s="24" t="s">
        <v>16</v>
      </c>
      <c r="AT7" s="24" t="s">
        <v>16</v>
      </c>
      <c r="AU7" s="24" t="s">
        <v>16</v>
      </c>
      <c r="AV7" s="24" t="s">
        <v>16</v>
      </c>
      <c r="AW7" s="24" t="s">
        <v>16</v>
      </c>
      <c r="AX7" s="24" t="s">
        <v>16</v>
      </c>
      <c r="AY7" s="24" t="s">
        <v>16</v>
      </c>
      <c r="AZ7" s="61" t="s">
        <v>16</v>
      </c>
      <c r="BA7" s="62"/>
      <c r="BB7" s="24" t="s">
        <v>16</v>
      </c>
      <c r="BC7" s="24" t="s">
        <v>16</v>
      </c>
      <c r="BD7" s="28" t="s">
        <v>16</v>
      </c>
      <c r="BE7" s="24" t="s">
        <v>16</v>
      </c>
      <c r="BF7" s="24" t="s">
        <v>16</v>
      </c>
      <c r="BG7" s="24" t="s">
        <v>16</v>
      </c>
      <c r="BH7" s="24" t="s">
        <v>16</v>
      </c>
    </row>
    <row r="8" spans="1:60" ht="36">
      <c r="A8" s="25" t="s">
        <v>17</v>
      </c>
      <c r="B8" s="24" t="s">
        <v>18</v>
      </c>
      <c r="C8" s="24" t="s">
        <v>19</v>
      </c>
      <c r="D8" s="29" t="s">
        <v>20</v>
      </c>
      <c r="E8" s="29" t="s">
        <v>21</v>
      </c>
      <c r="F8" s="29"/>
      <c r="G8" s="29" t="s">
        <v>22</v>
      </c>
      <c r="H8" s="24" t="s">
        <v>23</v>
      </c>
      <c r="I8" s="24" t="s">
        <v>24</v>
      </c>
      <c r="J8" s="29" t="s">
        <v>25</v>
      </c>
      <c r="K8" s="29" t="s">
        <v>26</v>
      </c>
      <c r="L8" s="29" t="s">
        <v>27</v>
      </c>
      <c r="M8" s="24" t="s">
        <v>28</v>
      </c>
      <c r="N8" s="24" t="s">
        <v>29</v>
      </c>
      <c r="O8" s="24" t="s">
        <v>123</v>
      </c>
      <c r="P8" s="24" t="s">
        <v>124</v>
      </c>
      <c r="Q8" s="53">
        <v>46199</v>
      </c>
      <c r="R8" s="53">
        <v>46205</v>
      </c>
      <c r="S8" s="53">
        <v>46213</v>
      </c>
      <c r="T8" s="24" t="s">
        <v>30</v>
      </c>
      <c r="U8" s="24" t="s">
        <v>31</v>
      </c>
      <c r="V8" s="24" t="s">
        <v>32</v>
      </c>
      <c r="W8" s="24" t="s">
        <v>33</v>
      </c>
      <c r="X8" s="27" t="s">
        <v>34</v>
      </c>
      <c r="Y8" s="27" t="s">
        <v>35</v>
      </c>
      <c r="Z8" s="27" t="s">
        <v>36</v>
      </c>
      <c r="AA8" s="27" t="s">
        <v>37</v>
      </c>
      <c r="AB8" s="24" t="s">
        <v>38</v>
      </c>
      <c r="AC8" s="24" t="s">
        <v>39</v>
      </c>
      <c r="AD8" s="24" t="s">
        <v>40</v>
      </c>
      <c r="AE8" s="30" t="s">
        <v>41</v>
      </c>
      <c r="AF8" s="30" t="s">
        <v>42</v>
      </c>
      <c r="AG8" s="25" t="s">
        <v>43</v>
      </c>
      <c r="AH8" s="28" t="s">
        <v>44</v>
      </c>
      <c r="AI8" s="25" t="s">
        <v>45</v>
      </c>
      <c r="AJ8" s="31" t="s">
        <v>44</v>
      </c>
      <c r="AK8" s="25" t="s">
        <v>46</v>
      </c>
      <c r="AL8" s="31" t="s">
        <v>44</v>
      </c>
      <c r="AM8" s="25" t="s">
        <v>47</v>
      </c>
      <c r="AN8" s="31" t="s">
        <v>44</v>
      </c>
      <c r="AO8" s="25" t="s">
        <v>48</v>
      </c>
      <c r="AP8" s="31" t="s">
        <v>44</v>
      </c>
      <c r="AQ8" s="25" t="s">
        <v>49</v>
      </c>
      <c r="AR8" s="31" t="s">
        <v>44</v>
      </c>
      <c r="AS8" s="25" t="s">
        <v>50</v>
      </c>
      <c r="AT8" s="24" t="s">
        <v>51</v>
      </c>
      <c r="AU8" s="24" t="s">
        <v>52</v>
      </c>
      <c r="AV8" s="24" t="s">
        <v>53</v>
      </c>
      <c r="AW8" s="24" t="s">
        <v>54</v>
      </c>
      <c r="AX8" s="24" t="s">
        <v>55</v>
      </c>
      <c r="AY8" s="24" t="s">
        <v>56</v>
      </c>
      <c r="AZ8" s="24" t="s">
        <v>57</v>
      </c>
      <c r="BA8" s="24" t="s">
        <v>58</v>
      </c>
      <c r="BB8" s="24" t="s">
        <v>59</v>
      </c>
      <c r="BC8" s="24" t="s">
        <v>60</v>
      </c>
      <c r="BD8" s="28" t="s">
        <v>61</v>
      </c>
      <c r="BE8" s="24" t="s">
        <v>59</v>
      </c>
      <c r="BF8" s="25" t="s">
        <v>60</v>
      </c>
      <c r="BG8" s="24" t="s">
        <v>61</v>
      </c>
      <c r="BH8" s="24" t="s">
        <v>62</v>
      </c>
    </row>
    <row r="9" spans="1:60" ht="24">
      <c r="A9" s="32" t="s">
        <v>63</v>
      </c>
      <c r="B9" s="33" t="s">
        <v>64</v>
      </c>
      <c r="C9" s="33" t="s">
        <v>65</v>
      </c>
      <c r="D9" s="33" t="s">
        <v>66</v>
      </c>
      <c r="E9" s="33" t="s">
        <v>67</v>
      </c>
      <c r="F9" s="33" t="s">
        <v>68</v>
      </c>
      <c r="G9" s="33" t="s">
        <v>69</v>
      </c>
      <c r="H9" s="33" t="s">
        <v>70</v>
      </c>
      <c r="I9" s="33" t="s">
        <v>71</v>
      </c>
      <c r="J9" s="33" t="s">
        <v>72</v>
      </c>
      <c r="K9" s="33" t="s">
        <v>73</v>
      </c>
      <c r="L9" s="33" t="s">
        <v>74</v>
      </c>
      <c r="M9" s="33" t="s">
        <v>75</v>
      </c>
      <c r="N9" s="33" t="s">
        <v>76</v>
      </c>
      <c r="O9" s="33"/>
      <c r="P9" s="33"/>
      <c r="Q9" s="33"/>
      <c r="R9" s="33"/>
      <c r="S9" s="33"/>
      <c r="T9" s="33" t="s">
        <v>77</v>
      </c>
      <c r="U9" s="33" t="s">
        <v>78</v>
      </c>
      <c r="V9" s="33" t="s">
        <v>79</v>
      </c>
      <c r="W9" s="33" t="s">
        <v>80</v>
      </c>
      <c r="X9" s="27" t="s">
        <v>81</v>
      </c>
      <c r="Y9" s="27" t="s">
        <v>81</v>
      </c>
      <c r="Z9" s="27" t="s">
        <v>81</v>
      </c>
      <c r="AA9" s="27" t="s">
        <v>81</v>
      </c>
      <c r="AB9" s="24" t="s">
        <v>81</v>
      </c>
      <c r="AC9" s="33">
        <v>15</v>
      </c>
      <c r="AD9" s="33" t="s">
        <v>82</v>
      </c>
      <c r="AE9" s="33">
        <v>17</v>
      </c>
      <c r="AF9" s="33">
        <v>18</v>
      </c>
      <c r="AG9" s="33">
        <v>19</v>
      </c>
      <c r="AH9" s="33">
        <v>20</v>
      </c>
      <c r="AI9" s="33">
        <v>21</v>
      </c>
      <c r="AJ9" s="33">
        <v>22</v>
      </c>
      <c r="AK9" s="33">
        <v>23</v>
      </c>
      <c r="AL9" s="33">
        <v>24</v>
      </c>
      <c r="AM9" s="33"/>
      <c r="AN9" s="33"/>
      <c r="AO9" s="33"/>
      <c r="AP9" s="33"/>
      <c r="AQ9" s="33"/>
      <c r="AR9" s="33"/>
      <c r="AS9" s="33">
        <v>21</v>
      </c>
      <c r="AT9" s="33">
        <v>22</v>
      </c>
      <c r="AU9" s="33">
        <v>23</v>
      </c>
      <c r="AV9" s="33">
        <v>24</v>
      </c>
      <c r="AW9" s="33">
        <v>25</v>
      </c>
      <c r="AX9" s="33">
        <v>26</v>
      </c>
      <c r="AY9" s="33">
        <v>27</v>
      </c>
      <c r="AZ9" s="33">
        <v>28</v>
      </c>
      <c r="BA9" s="33">
        <v>29</v>
      </c>
      <c r="BB9" s="33">
        <v>30</v>
      </c>
      <c r="BC9" s="33">
        <v>31</v>
      </c>
      <c r="BD9" s="33">
        <v>32</v>
      </c>
      <c r="BE9" s="33">
        <v>33</v>
      </c>
      <c r="BF9" s="33">
        <v>34</v>
      </c>
      <c r="BG9" s="33">
        <v>35</v>
      </c>
      <c r="BH9" s="33">
        <v>36</v>
      </c>
    </row>
    <row r="10" spans="1:60">
      <c r="A10" s="34">
        <v>1</v>
      </c>
      <c r="B10" s="35" t="s">
        <v>83</v>
      </c>
      <c r="C10" s="34" t="s">
        <v>84</v>
      </c>
      <c r="D10" s="36" t="s">
        <v>85</v>
      </c>
      <c r="E10" s="34"/>
      <c r="F10" s="34"/>
      <c r="G10" s="36" t="s">
        <v>86</v>
      </c>
      <c r="H10" s="34"/>
      <c r="I10" s="34"/>
      <c r="J10" s="34"/>
      <c r="K10" s="34">
        <v>1</v>
      </c>
      <c r="L10" s="34"/>
      <c r="M10" s="37">
        <v>618.55999999999995</v>
      </c>
      <c r="N10" s="37">
        <v>618.55999999999995</v>
      </c>
      <c r="O10" s="37"/>
      <c r="P10" s="37"/>
      <c r="Q10" s="37"/>
      <c r="R10" s="37"/>
      <c r="S10" s="37"/>
      <c r="T10" s="37"/>
      <c r="U10" s="34" t="s">
        <v>87</v>
      </c>
      <c r="V10" s="37">
        <v>6.66</v>
      </c>
      <c r="W10" s="37">
        <v>6.66</v>
      </c>
      <c r="X10" s="38"/>
      <c r="Y10" s="37"/>
      <c r="Z10" s="37"/>
      <c r="AA10" s="37"/>
      <c r="AB10" s="37"/>
      <c r="AC10" s="34" t="s">
        <v>88</v>
      </c>
      <c r="AD10" s="37"/>
      <c r="AE10" s="34" t="s">
        <v>89</v>
      </c>
      <c r="AF10" s="34" t="s">
        <v>90</v>
      </c>
      <c r="AG10" s="34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4"/>
      <c r="AT10" s="34"/>
      <c r="AU10" s="34"/>
      <c r="AV10" s="34"/>
      <c r="AW10" s="34"/>
      <c r="AX10" s="34"/>
      <c r="AY10" s="37"/>
      <c r="AZ10" s="34"/>
      <c r="BA10" s="37"/>
      <c r="BB10" s="34"/>
      <c r="BC10" s="34"/>
      <c r="BD10" s="34"/>
      <c r="BE10" s="37"/>
      <c r="BF10" s="37"/>
      <c r="BG10" s="37"/>
      <c r="BH10" s="34"/>
    </row>
    <row r="11" spans="1:60" ht="24">
      <c r="A11" s="39">
        <v>2</v>
      </c>
      <c r="B11" s="40" t="s">
        <v>83</v>
      </c>
      <c r="C11" s="39" t="s">
        <v>84</v>
      </c>
      <c r="D11" s="41" t="s">
        <v>91</v>
      </c>
      <c r="E11" s="39" t="s">
        <v>92</v>
      </c>
      <c r="F11" s="39" t="s">
        <v>93</v>
      </c>
      <c r="G11" s="41" t="s">
        <v>94</v>
      </c>
      <c r="H11" s="42">
        <v>4039</v>
      </c>
      <c r="I11" s="39" t="s">
        <v>95</v>
      </c>
      <c r="J11" s="39">
        <v>1</v>
      </c>
      <c r="K11" s="39"/>
      <c r="L11" s="39">
        <v>1</v>
      </c>
      <c r="M11" s="42">
        <v>244.53</v>
      </c>
      <c r="N11" s="42">
        <v>244.53</v>
      </c>
      <c r="O11" s="42">
        <f>SUM(Q11:S11)</f>
        <v>1</v>
      </c>
      <c r="P11" s="42">
        <f>+L11-O11</f>
        <v>0</v>
      </c>
      <c r="Q11" s="42"/>
      <c r="R11" s="42"/>
      <c r="S11" s="42">
        <v>1</v>
      </c>
      <c r="T11" s="42"/>
      <c r="U11" s="39" t="s">
        <v>87</v>
      </c>
      <c r="V11" s="42">
        <v>2.68</v>
      </c>
      <c r="W11" s="42">
        <v>2.68</v>
      </c>
      <c r="X11" s="43"/>
      <c r="Y11" s="39"/>
      <c r="Z11" s="39"/>
      <c r="AA11" s="39"/>
      <c r="AB11" s="39"/>
      <c r="AC11" s="39" t="s">
        <v>88</v>
      </c>
      <c r="AD11" s="39"/>
      <c r="AE11" s="39"/>
      <c r="AF11" s="39"/>
      <c r="AG11" s="41"/>
      <c r="AH11" s="42"/>
      <c r="AI11" s="42"/>
      <c r="AJ11" s="42"/>
      <c r="AK11" s="42"/>
      <c r="AL11" s="42"/>
      <c r="AM11" s="39"/>
      <c r="AN11" s="44"/>
      <c r="AO11" s="39"/>
      <c r="AP11" s="44"/>
      <c r="AQ11" s="44"/>
      <c r="AR11" s="44"/>
      <c r="AS11" s="39">
        <v>0</v>
      </c>
      <c r="AT11" s="39">
        <v>0</v>
      </c>
      <c r="AU11" s="39">
        <v>0</v>
      </c>
      <c r="AV11" s="39">
        <v>1</v>
      </c>
      <c r="AW11" s="39">
        <v>0</v>
      </c>
      <c r="AX11" s="39">
        <v>0</v>
      </c>
      <c r="AY11" s="39" t="s">
        <v>96</v>
      </c>
      <c r="AZ11" s="39" t="s">
        <v>97</v>
      </c>
      <c r="BA11" s="42"/>
      <c r="BB11" s="39" t="s">
        <v>98</v>
      </c>
      <c r="BC11" s="39">
        <v>1</v>
      </c>
      <c r="BD11" s="45">
        <v>46189</v>
      </c>
      <c r="BE11" s="42"/>
      <c r="BF11" s="42"/>
      <c r="BG11" s="42"/>
      <c r="BH11" s="39">
        <f>+L11-BC11</f>
        <v>0</v>
      </c>
    </row>
    <row r="12" spans="1:60">
      <c r="A12" s="39">
        <v>3</v>
      </c>
      <c r="B12" s="40" t="s">
        <v>83</v>
      </c>
      <c r="C12" s="39" t="s">
        <v>84</v>
      </c>
      <c r="D12" s="41" t="s">
        <v>99</v>
      </c>
      <c r="E12" s="39" t="s">
        <v>100</v>
      </c>
      <c r="F12" s="39" t="s">
        <v>101</v>
      </c>
      <c r="G12" s="41" t="s">
        <v>102</v>
      </c>
      <c r="H12" s="42">
        <v>495</v>
      </c>
      <c r="I12" s="39" t="s">
        <v>103</v>
      </c>
      <c r="J12" s="39">
        <v>4</v>
      </c>
      <c r="K12" s="39"/>
      <c r="L12" s="39">
        <v>4</v>
      </c>
      <c r="M12" s="42">
        <v>7.09</v>
      </c>
      <c r="N12" s="42">
        <v>28.38</v>
      </c>
      <c r="O12" s="42">
        <f t="shared" ref="O12:O15" si="0">SUM(Q12:S12)</f>
        <v>4</v>
      </c>
      <c r="P12" s="42">
        <f t="shared" ref="P12:P15" si="1">+L12-O12</f>
        <v>0</v>
      </c>
      <c r="Q12" s="42"/>
      <c r="R12" s="42">
        <v>4</v>
      </c>
      <c r="S12" s="42"/>
      <c r="T12" s="42"/>
      <c r="U12" s="39" t="s">
        <v>87</v>
      </c>
      <c r="V12" s="42">
        <v>0.19</v>
      </c>
      <c r="W12" s="42">
        <v>0.77</v>
      </c>
      <c r="X12" s="46"/>
      <c r="Y12" s="39"/>
      <c r="Z12" s="39"/>
      <c r="AA12" s="39"/>
      <c r="AB12" s="39"/>
      <c r="AC12" s="39" t="s">
        <v>88</v>
      </c>
      <c r="AD12" s="39"/>
      <c r="AE12" s="39"/>
      <c r="AF12" s="39"/>
      <c r="AG12" s="41"/>
      <c r="AH12" s="42"/>
      <c r="AI12" s="42"/>
      <c r="AJ12" s="42"/>
      <c r="AK12" s="42"/>
      <c r="AL12" s="42"/>
      <c r="AM12" s="39"/>
      <c r="AN12" s="44"/>
      <c r="AO12" s="39"/>
      <c r="AP12" s="44"/>
      <c r="AQ12" s="44"/>
      <c r="AR12" s="44"/>
      <c r="AS12" s="39">
        <v>1</v>
      </c>
      <c r="AT12" s="39">
        <v>0</v>
      </c>
      <c r="AU12" s="39">
        <v>0</v>
      </c>
      <c r="AV12" s="39">
        <v>0</v>
      </c>
      <c r="AW12" s="39">
        <v>0</v>
      </c>
      <c r="AX12" s="39">
        <v>0</v>
      </c>
      <c r="AY12" s="39" t="s">
        <v>96</v>
      </c>
      <c r="AZ12" s="39" t="s">
        <v>104</v>
      </c>
      <c r="BA12" s="42"/>
      <c r="BB12" s="39" t="s">
        <v>105</v>
      </c>
      <c r="BC12" s="39">
        <v>4</v>
      </c>
      <c r="BD12" s="45">
        <v>46189</v>
      </c>
      <c r="BE12" s="42"/>
      <c r="BF12" s="42"/>
      <c r="BG12" s="42"/>
      <c r="BH12" s="39">
        <f t="shared" ref="BH12:BH19" si="2">+L12-BC12</f>
        <v>0</v>
      </c>
    </row>
    <row r="13" spans="1:60">
      <c r="A13" s="39">
        <v>4</v>
      </c>
      <c r="B13" s="40" t="s">
        <v>83</v>
      </c>
      <c r="C13" s="39" t="s">
        <v>84</v>
      </c>
      <c r="D13" s="41" t="s">
        <v>99</v>
      </c>
      <c r="E13" s="39" t="s">
        <v>106</v>
      </c>
      <c r="F13" s="39" t="s">
        <v>107</v>
      </c>
      <c r="G13" s="41" t="s">
        <v>102</v>
      </c>
      <c r="H13" s="42">
        <v>200</v>
      </c>
      <c r="I13" s="39" t="s">
        <v>103</v>
      </c>
      <c r="J13" s="39">
        <v>8</v>
      </c>
      <c r="K13" s="39"/>
      <c r="L13" s="39">
        <v>8</v>
      </c>
      <c r="M13" s="42">
        <v>2.4</v>
      </c>
      <c r="N13" s="42">
        <v>19.23</v>
      </c>
      <c r="O13" s="42">
        <f t="shared" si="0"/>
        <v>8</v>
      </c>
      <c r="P13" s="42">
        <f t="shared" si="1"/>
        <v>0</v>
      </c>
      <c r="Q13" s="42"/>
      <c r="R13" s="42">
        <v>8</v>
      </c>
      <c r="S13" s="42"/>
      <c r="T13" s="42"/>
      <c r="U13" s="39" t="s">
        <v>87</v>
      </c>
      <c r="V13" s="42">
        <v>7.0000000000000007E-2</v>
      </c>
      <c r="W13" s="42">
        <v>0.54</v>
      </c>
      <c r="X13" s="43"/>
      <c r="Y13" s="39"/>
      <c r="Z13" s="39"/>
      <c r="AA13" s="39"/>
      <c r="AB13" s="39"/>
      <c r="AC13" s="39" t="s">
        <v>88</v>
      </c>
      <c r="AD13" s="39"/>
      <c r="AE13" s="39"/>
      <c r="AF13" s="39"/>
      <c r="AG13" s="41"/>
      <c r="AH13" s="42"/>
      <c r="AI13" s="42"/>
      <c r="AJ13" s="42"/>
      <c r="AK13" s="42"/>
      <c r="AL13" s="42"/>
      <c r="AM13" s="39"/>
      <c r="AN13" s="44"/>
      <c r="AO13" s="39"/>
      <c r="AP13" s="44"/>
      <c r="AQ13" s="44"/>
      <c r="AR13" s="44"/>
      <c r="AS13" s="39">
        <v>1</v>
      </c>
      <c r="AT13" s="39">
        <v>0</v>
      </c>
      <c r="AU13" s="39">
        <v>0</v>
      </c>
      <c r="AV13" s="39">
        <v>0</v>
      </c>
      <c r="AW13" s="39">
        <v>0</v>
      </c>
      <c r="AX13" s="39">
        <v>0</v>
      </c>
      <c r="AY13" s="39" t="s">
        <v>96</v>
      </c>
      <c r="AZ13" s="39" t="s">
        <v>104</v>
      </c>
      <c r="BA13" s="42"/>
      <c r="BB13" s="39" t="s">
        <v>105</v>
      </c>
      <c r="BC13" s="39">
        <v>8</v>
      </c>
      <c r="BD13" s="45">
        <v>46189</v>
      </c>
      <c r="BE13" s="42"/>
      <c r="BF13" s="42"/>
      <c r="BG13" s="42"/>
      <c r="BH13" s="39">
        <f t="shared" si="2"/>
        <v>0</v>
      </c>
    </row>
    <row r="14" spans="1:60">
      <c r="A14" s="39">
        <v>5</v>
      </c>
      <c r="B14" s="40" t="s">
        <v>83</v>
      </c>
      <c r="C14" s="39" t="s">
        <v>84</v>
      </c>
      <c r="D14" s="41" t="s">
        <v>99</v>
      </c>
      <c r="E14" s="39" t="s">
        <v>108</v>
      </c>
      <c r="F14" s="39" t="s">
        <v>109</v>
      </c>
      <c r="G14" s="41" t="s">
        <v>110</v>
      </c>
      <c r="H14" s="42">
        <v>856</v>
      </c>
      <c r="I14" s="39" t="s">
        <v>103</v>
      </c>
      <c r="J14" s="39">
        <v>2</v>
      </c>
      <c r="K14" s="39"/>
      <c r="L14" s="39">
        <v>2</v>
      </c>
      <c r="M14" s="42">
        <v>84.75</v>
      </c>
      <c r="N14" s="42">
        <v>169.49</v>
      </c>
      <c r="O14" s="42">
        <f t="shared" si="0"/>
        <v>2</v>
      </c>
      <c r="P14" s="42">
        <f t="shared" si="1"/>
        <v>0</v>
      </c>
      <c r="Q14" s="42">
        <v>2</v>
      </c>
      <c r="R14" s="42"/>
      <c r="S14" s="42"/>
      <c r="T14" s="42"/>
      <c r="U14" s="39" t="s">
        <v>87</v>
      </c>
      <c r="V14" s="42">
        <v>0.69</v>
      </c>
      <c r="W14" s="42">
        <v>1.39</v>
      </c>
      <c r="X14" s="46"/>
      <c r="Y14" s="39"/>
      <c r="Z14" s="39"/>
      <c r="AA14" s="39"/>
      <c r="AB14" s="39"/>
      <c r="AC14" s="39" t="s">
        <v>88</v>
      </c>
      <c r="AD14" s="39"/>
      <c r="AE14" s="39"/>
      <c r="AF14" s="39"/>
      <c r="AG14" s="41"/>
      <c r="AH14" s="42"/>
      <c r="AI14" s="42"/>
      <c r="AJ14" s="42"/>
      <c r="AK14" s="42"/>
      <c r="AL14" s="42"/>
      <c r="AM14" s="39"/>
      <c r="AN14" s="44"/>
      <c r="AO14" s="39"/>
      <c r="AP14" s="44"/>
      <c r="AQ14" s="44"/>
      <c r="AR14" s="44"/>
      <c r="AS14" s="39">
        <v>1</v>
      </c>
      <c r="AT14" s="39">
        <v>0</v>
      </c>
      <c r="AU14" s="39">
        <v>0</v>
      </c>
      <c r="AV14" s="39">
        <v>0</v>
      </c>
      <c r="AW14" s="39">
        <v>0</v>
      </c>
      <c r="AX14" s="39">
        <v>0</v>
      </c>
      <c r="AY14" s="39" t="s">
        <v>96</v>
      </c>
      <c r="AZ14" s="39" t="s">
        <v>111</v>
      </c>
      <c r="BA14" s="42"/>
      <c r="BB14" s="39" t="s">
        <v>112</v>
      </c>
      <c r="BC14" s="39">
        <v>2</v>
      </c>
      <c r="BD14" s="45">
        <v>46189</v>
      </c>
      <c r="BE14" s="42"/>
      <c r="BF14" s="42"/>
      <c r="BG14" s="42"/>
      <c r="BH14" s="39">
        <f t="shared" si="2"/>
        <v>0</v>
      </c>
    </row>
    <row r="15" spans="1:60">
      <c r="A15" s="39">
        <v>6</v>
      </c>
      <c r="B15" s="40" t="s">
        <v>83</v>
      </c>
      <c r="C15" s="39" t="s">
        <v>84</v>
      </c>
      <c r="D15" s="41" t="s">
        <v>99</v>
      </c>
      <c r="E15" s="39" t="s">
        <v>113</v>
      </c>
      <c r="F15" s="39" t="s">
        <v>114</v>
      </c>
      <c r="G15" s="41" t="s">
        <v>115</v>
      </c>
      <c r="H15" s="42">
        <v>600</v>
      </c>
      <c r="I15" s="39" t="s">
        <v>103</v>
      </c>
      <c r="J15" s="39">
        <v>2</v>
      </c>
      <c r="K15" s="39"/>
      <c r="L15" s="39">
        <v>2</v>
      </c>
      <c r="M15" s="42">
        <v>78.47</v>
      </c>
      <c r="N15" s="42">
        <v>156.93</v>
      </c>
      <c r="O15" s="42">
        <f t="shared" si="0"/>
        <v>2</v>
      </c>
      <c r="P15" s="42">
        <f t="shared" si="1"/>
        <v>0</v>
      </c>
      <c r="Q15" s="42">
        <v>2</v>
      </c>
      <c r="R15" s="42"/>
      <c r="S15" s="42"/>
      <c r="T15" s="42"/>
      <c r="U15" s="39" t="s">
        <v>87</v>
      </c>
      <c r="V15" s="42">
        <v>0.64</v>
      </c>
      <c r="W15" s="42">
        <v>1.29</v>
      </c>
      <c r="X15" s="43"/>
      <c r="Y15" s="39"/>
      <c r="Z15" s="39"/>
      <c r="AA15" s="39"/>
      <c r="AB15" s="39"/>
      <c r="AC15" s="39" t="s">
        <v>88</v>
      </c>
      <c r="AD15" s="39"/>
      <c r="AE15" s="39"/>
      <c r="AF15" s="39"/>
      <c r="AG15" s="41"/>
      <c r="AH15" s="42"/>
      <c r="AI15" s="42"/>
      <c r="AJ15" s="42"/>
      <c r="AK15" s="42"/>
      <c r="AL15" s="42"/>
      <c r="AM15" s="39"/>
      <c r="AN15" s="44"/>
      <c r="AO15" s="39"/>
      <c r="AP15" s="44"/>
      <c r="AQ15" s="44"/>
      <c r="AR15" s="44"/>
      <c r="AS15" s="39">
        <v>1</v>
      </c>
      <c r="AT15" s="39">
        <v>0</v>
      </c>
      <c r="AU15" s="39">
        <v>0</v>
      </c>
      <c r="AV15" s="39">
        <v>0</v>
      </c>
      <c r="AW15" s="39">
        <v>0</v>
      </c>
      <c r="AX15" s="39">
        <v>0</v>
      </c>
      <c r="AY15" s="39" t="s">
        <v>96</v>
      </c>
      <c r="AZ15" s="39" t="s">
        <v>111</v>
      </c>
      <c r="BA15" s="42"/>
      <c r="BB15" s="39" t="s">
        <v>112</v>
      </c>
      <c r="BC15" s="39">
        <v>2</v>
      </c>
      <c r="BD15" s="45">
        <v>46189</v>
      </c>
      <c r="BE15" s="42"/>
      <c r="BF15" s="42"/>
      <c r="BG15" s="42"/>
      <c r="BH15" s="39">
        <f t="shared" si="2"/>
        <v>0</v>
      </c>
    </row>
    <row r="16" spans="1:60">
      <c r="A16" s="34">
        <v>7</v>
      </c>
      <c r="B16" s="35" t="s">
        <v>116</v>
      </c>
      <c r="C16" s="34" t="s">
        <v>117</v>
      </c>
      <c r="D16" s="36" t="s">
        <v>85</v>
      </c>
      <c r="E16" s="34"/>
      <c r="F16" s="34"/>
      <c r="G16" s="36" t="s">
        <v>118</v>
      </c>
      <c r="H16" s="34"/>
      <c r="I16" s="34"/>
      <c r="J16" s="34"/>
      <c r="K16" s="34">
        <v>1</v>
      </c>
      <c r="L16" s="34"/>
      <c r="M16" s="37">
        <v>413.54</v>
      </c>
      <c r="N16" s="37">
        <v>413.54</v>
      </c>
      <c r="O16" s="37"/>
      <c r="P16" s="37"/>
      <c r="Q16" s="37"/>
      <c r="R16" s="37"/>
      <c r="S16" s="37"/>
      <c r="T16" s="47"/>
      <c r="U16" s="48" t="s">
        <v>87</v>
      </c>
      <c r="V16" s="37">
        <v>4.37</v>
      </c>
      <c r="W16" s="37">
        <v>4.37</v>
      </c>
      <c r="X16" s="49"/>
      <c r="Y16" s="48"/>
      <c r="Z16" s="48"/>
      <c r="AA16" s="48"/>
      <c r="AB16" s="48"/>
      <c r="AC16" s="48" t="s">
        <v>88</v>
      </c>
      <c r="AD16" s="48"/>
      <c r="AE16" s="34" t="s">
        <v>89</v>
      </c>
      <c r="AF16" s="34" t="s">
        <v>90</v>
      </c>
      <c r="AG16" s="50"/>
      <c r="AH16" s="47"/>
      <c r="AI16" s="47"/>
      <c r="AJ16" s="47"/>
      <c r="AK16" s="47"/>
      <c r="AL16" s="47"/>
      <c r="AM16" s="48"/>
      <c r="AN16" s="51"/>
      <c r="AO16" s="48"/>
      <c r="AP16" s="51"/>
      <c r="AQ16" s="51"/>
      <c r="AR16" s="51"/>
      <c r="AS16" s="48"/>
      <c r="AT16" s="48">
        <v>0</v>
      </c>
      <c r="AU16" s="48">
        <v>0</v>
      </c>
      <c r="AV16" s="48">
        <v>0</v>
      </c>
      <c r="AW16" s="48">
        <v>0</v>
      </c>
      <c r="AX16" s="48">
        <v>0</v>
      </c>
      <c r="AY16" s="48" t="s">
        <v>96</v>
      </c>
      <c r="AZ16" s="48"/>
      <c r="BA16" s="47"/>
      <c r="BB16" s="48"/>
      <c r="BC16" s="48"/>
      <c r="BD16" s="52"/>
      <c r="BE16" s="47"/>
      <c r="BF16" s="47"/>
      <c r="BG16" s="47"/>
      <c r="BH16" s="48"/>
    </row>
    <row r="17" spans="1:60" ht="24">
      <c r="A17" s="39">
        <v>8</v>
      </c>
      <c r="B17" s="40" t="s">
        <v>116</v>
      </c>
      <c r="C17" s="39" t="s">
        <v>117</v>
      </c>
      <c r="D17" s="41" t="s">
        <v>91</v>
      </c>
      <c r="E17" s="39" t="s">
        <v>119</v>
      </c>
      <c r="F17" s="39" t="s">
        <v>120</v>
      </c>
      <c r="G17" s="41" t="s">
        <v>94</v>
      </c>
      <c r="H17" s="42">
        <v>3646</v>
      </c>
      <c r="I17" s="39" t="s">
        <v>95</v>
      </c>
      <c r="J17" s="39">
        <v>1</v>
      </c>
      <c r="K17" s="39"/>
      <c r="L17" s="39">
        <v>1</v>
      </c>
      <c r="M17" s="42">
        <v>224.82</v>
      </c>
      <c r="N17" s="42">
        <v>224.82</v>
      </c>
      <c r="O17" s="42">
        <f t="shared" ref="O17" si="3">SUM(Q17:S17)</f>
        <v>1</v>
      </c>
      <c r="P17" s="42">
        <f t="shared" ref="P17" si="4">+L17-O17</f>
        <v>0</v>
      </c>
      <c r="Q17" s="42"/>
      <c r="R17" s="42"/>
      <c r="S17" s="42">
        <v>1</v>
      </c>
      <c r="T17" s="42"/>
      <c r="U17" s="39" t="s">
        <v>87</v>
      </c>
      <c r="V17" s="42">
        <v>2.4500000000000002</v>
      </c>
      <c r="W17" s="42">
        <v>2.4500000000000002</v>
      </c>
      <c r="X17" s="43"/>
      <c r="Y17" s="39"/>
      <c r="Z17" s="39"/>
      <c r="AA17" s="39"/>
      <c r="AB17" s="39"/>
      <c r="AC17" s="39" t="s">
        <v>88</v>
      </c>
      <c r="AD17" s="39"/>
      <c r="AE17" s="39"/>
      <c r="AF17" s="39"/>
      <c r="AG17" s="41"/>
      <c r="AH17" s="42"/>
      <c r="AI17" s="42"/>
      <c r="AJ17" s="42"/>
      <c r="AK17" s="42"/>
      <c r="AL17" s="42"/>
      <c r="AM17" s="39"/>
      <c r="AN17" s="44"/>
      <c r="AO17" s="39"/>
      <c r="AP17" s="44"/>
      <c r="AQ17" s="44"/>
      <c r="AR17" s="44"/>
      <c r="AS17" s="39">
        <v>0</v>
      </c>
      <c r="AT17" s="39">
        <v>0</v>
      </c>
      <c r="AU17" s="39">
        <v>0</v>
      </c>
      <c r="AV17" s="39">
        <v>1</v>
      </c>
      <c r="AW17" s="39">
        <v>0</v>
      </c>
      <c r="AX17" s="39">
        <v>0</v>
      </c>
      <c r="AY17" s="39" t="s">
        <v>96</v>
      </c>
      <c r="AZ17" s="39" t="s">
        <v>97</v>
      </c>
      <c r="BA17" s="42"/>
      <c r="BB17" s="39" t="s">
        <v>98</v>
      </c>
      <c r="BC17" s="39">
        <v>1</v>
      </c>
      <c r="BD17" s="45">
        <v>46189</v>
      </c>
      <c r="BE17" s="42"/>
      <c r="BF17" s="42"/>
      <c r="BG17" s="42"/>
      <c r="BH17" s="39">
        <f t="shared" si="2"/>
        <v>0</v>
      </c>
    </row>
    <row r="18" spans="1:60">
      <c r="A18" s="39">
        <v>9</v>
      </c>
      <c r="B18" s="40" t="s">
        <v>116</v>
      </c>
      <c r="C18" s="39" t="s">
        <v>117</v>
      </c>
      <c r="D18" s="41" t="s">
        <v>99</v>
      </c>
      <c r="E18" s="39" t="s">
        <v>106</v>
      </c>
      <c r="F18" s="39" t="s">
        <v>121</v>
      </c>
      <c r="G18" s="41" t="s">
        <v>102</v>
      </c>
      <c r="H18" s="42">
        <v>200</v>
      </c>
      <c r="I18" s="39" t="s">
        <v>103</v>
      </c>
      <c r="J18" s="39">
        <v>8</v>
      </c>
      <c r="K18" s="39"/>
      <c r="L18" s="39">
        <v>8</v>
      </c>
      <c r="M18" s="42">
        <v>2.4</v>
      </c>
      <c r="N18" s="42">
        <v>19.23</v>
      </c>
      <c r="O18" s="42">
        <f t="shared" ref="O18:O19" si="5">SUM(Q18:S18)</f>
        <v>8</v>
      </c>
      <c r="P18" s="42">
        <f t="shared" ref="P18:P19" si="6">+L18-O18</f>
        <v>0</v>
      </c>
      <c r="Q18" s="42"/>
      <c r="R18" s="42">
        <v>8</v>
      </c>
      <c r="S18" s="42"/>
      <c r="T18" s="42"/>
      <c r="U18" s="39" t="s">
        <v>87</v>
      </c>
      <c r="V18" s="42">
        <v>7.0000000000000007E-2</v>
      </c>
      <c r="W18" s="42">
        <v>0.54</v>
      </c>
      <c r="X18" s="46"/>
      <c r="Y18" s="39"/>
      <c r="Z18" s="39"/>
      <c r="AA18" s="39"/>
      <c r="AB18" s="39"/>
      <c r="AC18" s="39" t="s">
        <v>88</v>
      </c>
      <c r="AD18" s="39"/>
      <c r="AE18" s="39"/>
      <c r="AF18" s="39"/>
      <c r="AG18" s="41"/>
      <c r="AH18" s="42"/>
      <c r="AI18" s="42"/>
      <c r="AJ18" s="42"/>
      <c r="AK18" s="42"/>
      <c r="AL18" s="42"/>
      <c r="AM18" s="39"/>
      <c r="AN18" s="44"/>
      <c r="AO18" s="39"/>
      <c r="AP18" s="44"/>
      <c r="AQ18" s="44"/>
      <c r="AR18" s="44"/>
      <c r="AS18" s="39">
        <v>1</v>
      </c>
      <c r="AT18" s="39">
        <v>0</v>
      </c>
      <c r="AU18" s="39">
        <v>0</v>
      </c>
      <c r="AV18" s="39">
        <v>0</v>
      </c>
      <c r="AW18" s="39">
        <v>0</v>
      </c>
      <c r="AX18" s="39">
        <v>0</v>
      </c>
      <c r="AY18" s="39" t="s">
        <v>96</v>
      </c>
      <c r="AZ18" s="39" t="s">
        <v>104</v>
      </c>
      <c r="BA18" s="42"/>
      <c r="BB18" s="39" t="s">
        <v>105</v>
      </c>
      <c r="BC18" s="39">
        <v>8</v>
      </c>
      <c r="BD18" s="45">
        <v>46189</v>
      </c>
      <c r="BE18" s="42"/>
      <c r="BF18" s="42"/>
      <c r="BG18" s="42"/>
      <c r="BH18" s="39">
        <f t="shared" si="2"/>
        <v>0</v>
      </c>
    </row>
    <row r="19" spans="1:60">
      <c r="A19" s="39">
        <v>10</v>
      </c>
      <c r="B19" s="40" t="s">
        <v>116</v>
      </c>
      <c r="C19" s="39" t="s">
        <v>117</v>
      </c>
      <c r="D19" s="41" t="s">
        <v>99</v>
      </c>
      <c r="E19" s="39" t="s">
        <v>108</v>
      </c>
      <c r="F19" s="39" t="s">
        <v>122</v>
      </c>
      <c r="G19" s="41" t="s">
        <v>110</v>
      </c>
      <c r="H19" s="42">
        <v>856</v>
      </c>
      <c r="I19" s="39" t="s">
        <v>103</v>
      </c>
      <c r="J19" s="39">
        <v>2</v>
      </c>
      <c r="K19" s="39"/>
      <c r="L19" s="39">
        <v>2</v>
      </c>
      <c r="M19" s="42">
        <v>84.75</v>
      </c>
      <c r="N19" s="42">
        <v>169.49</v>
      </c>
      <c r="O19" s="42">
        <f t="shared" si="5"/>
        <v>2</v>
      </c>
      <c r="P19" s="42">
        <f t="shared" si="6"/>
        <v>0</v>
      </c>
      <c r="Q19" s="42">
        <v>2</v>
      </c>
      <c r="R19" s="42"/>
      <c r="S19" s="42"/>
      <c r="T19" s="42"/>
      <c r="U19" s="39" t="s">
        <v>87</v>
      </c>
      <c r="V19" s="42">
        <v>0.69</v>
      </c>
      <c r="W19" s="42">
        <v>1.39</v>
      </c>
      <c r="X19" s="43"/>
      <c r="Y19" s="39"/>
      <c r="Z19" s="39"/>
      <c r="AA19" s="39"/>
      <c r="AB19" s="39"/>
      <c r="AC19" s="39" t="s">
        <v>88</v>
      </c>
      <c r="AD19" s="39"/>
      <c r="AE19" s="39"/>
      <c r="AF19" s="39"/>
      <c r="AG19" s="41"/>
      <c r="AH19" s="42"/>
      <c r="AI19" s="42"/>
      <c r="AJ19" s="42"/>
      <c r="AK19" s="42"/>
      <c r="AL19" s="42"/>
      <c r="AM19" s="39"/>
      <c r="AN19" s="44"/>
      <c r="AO19" s="39"/>
      <c r="AP19" s="44"/>
      <c r="AQ19" s="44"/>
      <c r="AR19" s="44"/>
      <c r="AS19" s="39">
        <v>1</v>
      </c>
      <c r="AT19" s="39">
        <v>0</v>
      </c>
      <c r="AU19" s="39">
        <v>0</v>
      </c>
      <c r="AV19" s="39">
        <v>0</v>
      </c>
      <c r="AW19" s="39">
        <v>0</v>
      </c>
      <c r="AX19" s="39">
        <v>0</v>
      </c>
      <c r="AY19" s="39" t="s">
        <v>96</v>
      </c>
      <c r="AZ19" s="39" t="s">
        <v>111</v>
      </c>
      <c r="BA19" s="42"/>
      <c r="BB19" s="39" t="s">
        <v>112</v>
      </c>
      <c r="BC19" s="39">
        <v>2</v>
      </c>
      <c r="BD19" s="45">
        <v>46189</v>
      </c>
      <c r="BE19" s="42"/>
      <c r="BF19" s="42"/>
      <c r="BG19" s="42"/>
      <c r="BH19" s="39">
        <f t="shared" si="2"/>
        <v>0</v>
      </c>
    </row>
  </sheetData>
  <mergeCells count="4">
    <mergeCell ref="AG6:AJ6"/>
    <mergeCell ref="AZ6:BH6"/>
    <mergeCell ref="X7:Z7"/>
    <mergeCell ref="AZ7:B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SM1L1Tai cẩu</vt:lpstr>
      <vt:lpstr>SM2L2TC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Cuong</dc:creator>
  <cp:lastModifiedBy>Nguyen Cuong</cp:lastModifiedBy>
  <dcterms:created xsi:type="dcterms:W3CDTF">2026-06-29T03:45:17Z</dcterms:created>
  <dcterms:modified xsi:type="dcterms:W3CDTF">2026-07-14T03:35:14Z</dcterms:modified>
</cp:coreProperties>
</file>